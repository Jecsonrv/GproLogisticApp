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 PRINCIPAL" sheetId="1" r:id="rId4"/>
    <sheet state="visible" name="REGISTRO OS" sheetId="2" r:id="rId5"/>
    <sheet state="visible" name="BASE OS" sheetId="3" r:id="rId6"/>
    <sheet state="visible" name="REGISTRO TRANSFERENCIAS" sheetId="4" r:id="rId7"/>
    <sheet state="visible" name="BASE TRANSFERENCIAS" sheetId="5" r:id="rId8"/>
    <sheet state="visible" name="CALCULO COBROS" sheetId="6" r:id="rId9"/>
    <sheet state="visible" name="HISTÓRICO COBROS" sheetId="7" r:id="rId10"/>
    <sheet state="visible" name="CXC" sheetId="8" r:id="rId11"/>
    <sheet state="visible" name="DATOS_COMPARACION" sheetId="9" r:id="rId12"/>
    <sheet state="hidden" name="BUSQUEDAS" sheetId="10" r:id="rId13"/>
    <sheet state="hidden" name="LISTAS" sheetId="11" r:id="rId14"/>
    <sheet state="hidden" name="DATOS_GRAFICO" sheetId="12" r:id="rId15"/>
    <sheet state="hidden" name="TARIFARIO" sheetId="13" r:id="rId16"/>
  </sheets>
  <definedNames>
    <definedName name="lista_aforadores">LISTAS!$A$1:$A$1000</definedName>
    <definedName name="lista_clientes">LISTAS!$B$1:$B$1000</definedName>
    <definedName name="lista_tipo_gasto">LISTAS!$D$1:$D$1000</definedName>
    <definedName name="OsTransferencias">LISTAS!$E$2:$E$1000</definedName>
    <definedName name="lista_bancos">LISTAS!$C$1:$C$1000</definedName>
    <definedName name="ListaOS">'BASE OS'!$A$2:$A$1000</definedName>
    <definedName name="lista_tipo_factura">LISTAS!$F$2:$F$1000</definedName>
    <definedName name="lista_tipo_pago">LISTAS!$G$2:$G$1000</definedName>
  </definedNames>
  <calcPr/>
</workbook>
</file>

<file path=xl/sharedStrings.xml><?xml version="1.0" encoding="utf-8"?>
<sst xmlns="http://schemas.openxmlformats.org/spreadsheetml/2006/main" count="698" uniqueCount="315">
  <si>
    <t>PANEL PRINCIPAL DE GESTIÓN OS</t>
  </si>
  <si>
    <t>GENERADOR DE OS</t>
  </si>
  <si>
    <t>Próxima OS</t>
  </si>
  <si>
    <t>RESUMEN DEL DÍA</t>
  </si>
  <si>
    <t>Os Pendientes</t>
  </si>
  <si>
    <t>Transferencias Hoy</t>
  </si>
  <si>
    <t>REGISTRO DE NUEVA OS</t>
  </si>
  <si>
    <t>Número OS</t>
  </si>
  <si>
    <t xml:space="preserve">  Vista Previa</t>
  </si>
  <si>
    <t>Cliente</t>
  </si>
  <si>
    <t>TRANSTAINER</t>
  </si>
  <si>
    <t xml:space="preserve">  OS:</t>
  </si>
  <si>
    <t xml:space="preserve">  Cliente:</t>
  </si>
  <si>
    <t>Sub - Cliente</t>
  </si>
  <si>
    <t>N/A</t>
  </si>
  <si>
    <t xml:space="preserve">  Sub - Cliente:</t>
  </si>
  <si>
    <t xml:space="preserve">  DUCA / Servicio:</t>
  </si>
  <si>
    <t>DUCA / Servicio</t>
  </si>
  <si>
    <t>4-16283</t>
  </si>
  <si>
    <t xml:space="preserve">  Aforador:</t>
  </si>
  <si>
    <t xml:space="preserve">  Referencia / BL:</t>
  </si>
  <si>
    <t>Aforador</t>
  </si>
  <si>
    <t>GLENDA CAÑAS</t>
  </si>
  <si>
    <t xml:space="preserve">  Fecha:</t>
  </si>
  <si>
    <t>Referencia / BL</t>
  </si>
  <si>
    <t>146-25382</t>
  </si>
  <si>
    <t>Fecha</t>
  </si>
  <si>
    <t>OS</t>
  </si>
  <si>
    <t>CLIENTE</t>
  </si>
  <si>
    <t>SUB CLIENTE</t>
  </si>
  <si>
    <t>DUCA - SERVICIO</t>
  </si>
  <si>
    <t>AFORADOR</t>
  </si>
  <si>
    <t>REFERENCIA / BL</t>
  </si>
  <si>
    <t>FECHA</t>
  </si>
  <si>
    <t>MES</t>
  </si>
  <si>
    <t>FACTURADO</t>
  </si>
  <si>
    <t>001-2024</t>
  </si>
  <si>
    <t>PANADERIA SINAI</t>
  </si>
  <si>
    <t>4-38493</t>
  </si>
  <si>
    <t>ADELAYDA</t>
  </si>
  <si>
    <t>146-28394</t>
  </si>
  <si>
    <t>NOVIEMBRE</t>
  </si>
  <si>
    <t>Sí</t>
  </si>
  <si>
    <t>002-2024</t>
  </si>
  <si>
    <t>PINTO Y COMPANIA</t>
  </si>
  <si>
    <t>4-28394</t>
  </si>
  <si>
    <t>003-2024</t>
  </si>
  <si>
    <t>DIVACO</t>
  </si>
  <si>
    <t>4-23934</t>
  </si>
  <si>
    <t>146-33843</t>
  </si>
  <si>
    <t>004-2024</t>
  </si>
  <si>
    <t>DIGICEL</t>
  </si>
  <si>
    <t>4-29394</t>
  </si>
  <si>
    <t>ROBERTO</t>
  </si>
  <si>
    <t>146-29934</t>
  </si>
  <si>
    <t>No</t>
  </si>
  <si>
    <t>005-2024</t>
  </si>
  <si>
    <t>AISAL</t>
  </si>
  <si>
    <t>4-22567</t>
  </si>
  <si>
    <t>MARÍA JOSE</t>
  </si>
  <si>
    <t>146-34223</t>
  </si>
  <si>
    <t>006-2024</t>
  </si>
  <si>
    <t>GEVI</t>
  </si>
  <si>
    <t>4-35685</t>
  </si>
  <si>
    <t>146-34251</t>
  </si>
  <si>
    <t>007-2024</t>
  </si>
  <si>
    <t>4-35969</t>
  </si>
  <si>
    <t>146-34599</t>
  </si>
  <si>
    <t>008-2024</t>
  </si>
  <si>
    <t>QUIMICA INDUSTRIAL</t>
  </si>
  <si>
    <t>4-38492</t>
  </si>
  <si>
    <t>Proteger registro</t>
  </si>
  <si>
    <t>REGISTRO DE TRANSFERENCIAS</t>
  </si>
  <si>
    <t>A Nombre De</t>
  </si>
  <si>
    <t>Detalle</t>
  </si>
  <si>
    <t>Monto</t>
  </si>
  <si>
    <t>Solicitado Por</t>
  </si>
  <si>
    <t>Banco</t>
  </si>
  <si>
    <t>Tipo de Gasto</t>
  </si>
  <si>
    <t>A NOMBRE DE</t>
  </si>
  <si>
    <t>DETALLE</t>
  </si>
  <si>
    <t>CCF</t>
  </si>
  <si>
    <t>MONTO</t>
  </si>
  <si>
    <t>SOLICITADO POR</t>
  </si>
  <si>
    <t>BANCO</t>
  </si>
  <si>
    <t>TIPO</t>
  </si>
  <si>
    <t>M.H</t>
  </si>
  <si>
    <t>IMPUESTOS</t>
  </si>
  <si>
    <t>AGRICOLA</t>
  </si>
  <si>
    <t>CARGOS A CLIENTES</t>
  </si>
  <si>
    <t>CEPA</t>
  </si>
  <si>
    <t>ALMACENAJE</t>
  </si>
  <si>
    <t>CALCULO DE COBROS</t>
  </si>
  <si>
    <t>RESUMEN DE COBRO</t>
  </si>
  <si>
    <t>Total Servicios (IVA incluido)</t>
  </si>
  <si>
    <t>Gastos a Terceros:</t>
  </si>
  <si>
    <t>Subcliente</t>
  </si>
  <si>
    <t>DUCA</t>
  </si>
  <si>
    <t>Total a pagar:</t>
  </si>
  <si>
    <t>Referencia/BL</t>
  </si>
  <si>
    <t>SERVICIOS PRESTADOS</t>
  </si>
  <si>
    <t>SI / NO</t>
  </si>
  <si>
    <t>SERVICIO</t>
  </si>
  <si>
    <t>PRECIO BASE</t>
  </si>
  <si>
    <t>AJUSTE</t>
  </si>
  <si>
    <t>PRECIO FINAL</t>
  </si>
  <si>
    <t>NOTAS</t>
  </si>
  <si>
    <t>TOTALES</t>
  </si>
  <si>
    <t>TRANSFERENCIAS ASOCIADAS</t>
  </si>
  <si>
    <t>HISTORICO DE COBROS</t>
  </si>
  <si>
    <t>SERVICIOS</t>
  </si>
  <si>
    <t>TOTAL SERVICIOS</t>
  </si>
  <si>
    <t>TOTAL GASTOS A TERCEROS</t>
  </si>
  <si>
    <t>TOTAL COBRADO</t>
  </si>
  <si>
    <t>ASESORÍA Y GESTIÓN ADUANAL - OTRO</t>
  </si>
  <si>
    <t>ASESORIA Y GESTION ADUANERA - ACAJUTLA</t>
  </si>
  <si>
    <t>ASESORIA Y GESTION ADUANERA ALMACENADORA - AEROPUERTO, TRANSPORTE LOCAL DHL - DIGICEL</t>
  </si>
  <si>
    <t>ASESORÍA Y GESTIÓN ADUANAL - OTRO, TRANSPORTE LOCAL - OTRO</t>
  </si>
  <si>
    <t>Fecha de Factura</t>
  </si>
  <si>
    <t>Numero</t>
  </si>
  <si>
    <t>Fecha de vencimiento</t>
  </si>
  <si>
    <t>Nº Quedan</t>
  </si>
  <si>
    <t>Facturacion</t>
  </si>
  <si>
    <t>Gastos a tercero</t>
  </si>
  <si>
    <t>Total de Facturación</t>
  </si>
  <si>
    <t>Abono o Pago Facturación</t>
  </si>
  <si>
    <t>Abono o Pago Prestamos</t>
  </si>
  <si>
    <t>CxC</t>
  </si>
  <si>
    <t>CXC Facturación</t>
  </si>
  <si>
    <t>CXC Prestamos</t>
  </si>
  <si>
    <t>Fecha de Abono</t>
  </si>
  <si>
    <t>Tipo de pago</t>
  </si>
  <si>
    <t>Estado</t>
  </si>
  <si>
    <t>Días Vencidos</t>
  </si>
  <si>
    <t>PO</t>
  </si>
  <si>
    <t>Observaciones</t>
  </si>
  <si>
    <t>Mes</t>
  </si>
  <si>
    <t>No. Mes</t>
  </si>
  <si>
    <t>Año</t>
  </si>
  <si>
    <t>DTE</t>
  </si>
  <si>
    <t>TRANSFERENCIA</t>
  </si>
  <si>
    <t>PENDIENTE</t>
  </si>
  <si>
    <t>SERVICIOS CXC</t>
  </si>
  <si>
    <t>SERVICIOS PREVISTO</t>
  </si>
  <si>
    <t>GASTOS A TERCEROS CXC</t>
  </si>
  <si>
    <t>GASTOS A TERCEROS PREVISTO</t>
  </si>
  <si>
    <t>TOTAL CXC</t>
  </si>
  <si>
    <t>TOTAL PREVISTO</t>
  </si>
  <si>
    <t>DIFERENCIA SERVICIOS</t>
  </si>
  <si>
    <t>DIFERENCIA GASTOS A TERCEROS</t>
  </si>
  <si>
    <t>BÚSQUEDA PERSONALIZADA</t>
  </si>
  <si>
    <t>Buscar Por OS</t>
  </si>
  <si>
    <t>Aforadores</t>
  </si>
  <si>
    <t>Clientes</t>
  </si>
  <si>
    <t>Bancos</t>
  </si>
  <si>
    <t>Tipo de Factura</t>
  </si>
  <si>
    <t>Tipo de Pago</t>
  </si>
  <si>
    <t>EFL</t>
  </si>
  <si>
    <t>SERTAGRI</t>
  </si>
  <si>
    <t>DAVIVIENDA</t>
  </si>
  <si>
    <t>COSTO</t>
  </si>
  <si>
    <t>FEX</t>
  </si>
  <si>
    <t>EFECTIVO</t>
  </si>
  <si>
    <t>CHEQUE</t>
  </si>
  <si>
    <t>GASTOS DE OPERACIÓN</t>
  </si>
  <si>
    <t>FERRETERIA TIO WILLIS</t>
  </si>
  <si>
    <t>DANIEL MONTERROZA</t>
  </si>
  <si>
    <t>HAROLD CALDERON</t>
  </si>
  <si>
    <t>PINTO Y COMPAÑIA</t>
  </si>
  <si>
    <t>MEDICALD</t>
  </si>
  <si>
    <t>IMPORTADORA MILKY</t>
  </si>
  <si>
    <t>ALIMENTOS MADRE TIERRA</t>
  </si>
  <si>
    <t>SOLVI</t>
  </si>
  <si>
    <t>AVICOLA</t>
  </si>
  <si>
    <t>POLLO CAMPESTRE</t>
  </si>
  <si>
    <t>CODIGO</t>
  </si>
  <si>
    <t>MONTO SIN IVA</t>
  </si>
  <si>
    <t>SERVICIOS PARA OTROS CLIENTES</t>
  </si>
  <si>
    <t>LISTA DE SERVICIOS POR CLIENTE SELECCIONADO</t>
  </si>
  <si>
    <t>ALIMENTO IMPORTADOS SUPERIORES DE EL SALVADOR, S.A DE C.V</t>
  </si>
  <si>
    <t>ASESORIA Y GESTION ADUANERA</t>
  </si>
  <si>
    <t>PRECIO</t>
  </si>
  <si>
    <t>ASESORIA Y GESTION ADUANERA GT</t>
  </si>
  <si>
    <t>GESTION DE PERMISO DE SALUD</t>
  </si>
  <si>
    <t>DECLARACIÓN ESCALONADA - OTRO</t>
  </si>
  <si>
    <t>SERVICIO POR TIEMPO EXTRAORDINARIO</t>
  </si>
  <si>
    <t>ELABORACIÓN DUCA T - OTRO</t>
  </si>
  <si>
    <t>GESTION POR SELECTIVO ROJO</t>
  </si>
  <si>
    <t>GESTIÓN DE PERMISO DE SALUD - OTRO</t>
  </si>
  <si>
    <t>SERVICIO DE CUADRILLA SAN CRISTOBAL</t>
  </si>
  <si>
    <t>GESTIÓN POR MULTA - OTRO</t>
  </si>
  <si>
    <t>REGISTRO SANITARIO POR PRODUCTO</t>
  </si>
  <si>
    <t>GESTIÓN POR SELECTIVO ROJO - OTRO</t>
  </si>
  <si>
    <t>TRANSPORTE LOCAL CLG (OFI BODEGA)</t>
  </si>
  <si>
    <t>GESTIÓN REVISIÓN DAN - OTRO</t>
  </si>
  <si>
    <t>ADVANCE</t>
  </si>
  <si>
    <t>ADVANCE BS EL SALVADOR, S.A DE C.V</t>
  </si>
  <si>
    <t>REGISTRO SANITARIO POR PRODUCTO - OTRO</t>
  </si>
  <si>
    <t>SERVICIO DE CUADRILLA - OTRO</t>
  </si>
  <si>
    <t>ADIMACON</t>
  </si>
  <si>
    <t>ADIMACON, S.A DE C.V</t>
  </si>
  <si>
    <t>ASESORIA Y GESTION ADUANERA AMATILLO SV</t>
  </si>
  <si>
    <t>TRANSPORTE LOCAL - OTRO</t>
  </si>
  <si>
    <t>ASESORIA Y GESTION ADUANERA AMATILLO HN</t>
  </si>
  <si>
    <t>ASESORIA Y GESTION ADUANERA ACAJUTLA</t>
  </si>
  <si>
    <t>GESTION REVISION DAN</t>
  </si>
  <si>
    <t>ENERLAND</t>
  </si>
  <si>
    <t>ENERLAND GROUP EL SALVADOR, S.A DE C.V</t>
  </si>
  <si>
    <t>TRANSPORTE LOCAL INGENIO JIBOA</t>
  </si>
  <si>
    <t>TRANSPORTE LOCAL SOLAR INTERNACIONAL</t>
  </si>
  <si>
    <t>SELECTIVO ROJO</t>
  </si>
  <si>
    <t>MOVIMIENTO POR ESCALONADO</t>
  </si>
  <si>
    <t>DECLARACION ESCALONADA</t>
  </si>
  <si>
    <t>ESTADIA</t>
  </si>
  <si>
    <t>PRESENTACION DE ESCRITO POR AGRUPACION DE BL</t>
  </si>
  <si>
    <t>TRANSPORTE LOCAL LA ESPERANZA// INDEPENDENCIA</t>
  </si>
  <si>
    <t>TRANSPORTE LOCAL ALMACENADORA- INGENIO JIBOA</t>
  </si>
  <si>
    <t>SERVICIO POR SOBRE PESO (21,500 KG)</t>
  </si>
  <si>
    <t>AGROCAMPESTRE</t>
  </si>
  <si>
    <t>AGROCAMPESTRE, S.A DE C.V</t>
  </si>
  <si>
    <t>TRANSPORTE LOCAL</t>
  </si>
  <si>
    <t>PANADERIA_SINAI</t>
  </si>
  <si>
    <t>PANADERIA SINAI, S.A DE C.V</t>
  </si>
  <si>
    <t>TRANSPORTE LOCAL DE EQUIPO DE 8 TN</t>
  </si>
  <si>
    <t>TRANSPORTE LOCAL DE DHL-SAN MIGUEL PLATA DE PROCESO</t>
  </si>
  <si>
    <t>TRANSPORTE LOCAL AEROPUERTO - SALAMANCA</t>
  </si>
  <si>
    <t>POLLO_CAMPESTRE</t>
  </si>
  <si>
    <t>POLLO CAMPESTRE, S.A DE C.V</t>
  </si>
  <si>
    <t>ALIMENTOS_PARA_LLEVAR</t>
  </si>
  <si>
    <t>ALIMENTOS PARA LLEVAR, S.A DE C.V</t>
  </si>
  <si>
    <t>GEVI, S.A DE C.V</t>
  </si>
  <si>
    <t>ASESORIA Y GESTION ADUANERA - DHL</t>
  </si>
  <si>
    <t>ASESORIA Y GESTION ADUANERA - AEROPUERTO - ALMACENADORA</t>
  </si>
  <si>
    <t>ASESORIA Y GESTION ADUANERA - ANGUIATU</t>
  </si>
  <si>
    <t>ASESORIA Y GESTION ADUANERA - LAS CHINAMAS- HACHADURA</t>
  </si>
  <si>
    <t>DIGICEL, S.A DE C.V</t>
  </si>
  <si>
    <t>ASESORIA Y GESTION ADUANERA ALMACENADORA - AEROPUERTO</t>
  </si>
  <si>
    <t>TRANSPORTE LOCAL DHL - DIGICEL</t>
  </si>
  <si>
    <t>MULTINET</t>
  </si>
  <si>
    <t>GRUPO MULTINET, S.A DE C.V</t>
  </si>
  <si>
    <t>ASESORIA Y GESTION ADUANERA  AMATILLO-SAN CRISTOBAL-CHINAMAS</t>
  </si>
  <si>
    <t>ASESORIA Y GESTION ADUANERA HN</t>
  </si>
  <si>
    <t>ELABORACION DE DUCA T</t>
  </si>
  <si>
    <t>PARTIDAS ADICIONALES MAYORES A 10</t>
  </si>
  <si>
    <t>TIBA</t>
  </si>
  <si>
    <t>TIBA EL SALVADOR, S.A DE C.V</t>
  </si>
  <si>
    <t>ASESORIA Y GESTION ADUANERA AEROPUERTO - ANGUIATU - SANTA TECLA</t>
  </si>
  <si>
    <t>TRANSPORTE LOCAL -AEROPUERTO</t>
  </si>
  <si>
    <t>TRANSPORTE LOCAL - SANTA TECLA</t>
  </si>
  <si>
    <t>SERVICIO DE CUADRILLA - ACAJUTLA</t>
  </si>
  <si>
    <t>SERVICIO DE CUADRILLA - SANTA ANA</t>
  </si>
  <si>
    <t>PROYECTO</t>
  </si>
  <si>
    <t>PROYECTO E INVERSIONES, S.A DE C.V</t>
  </si>
  <si>
    <t>PARQUES_Y_JARDINES</t>
  </si>
  <si>
    <t>PARQUES Y JARDINES DE CUSCATLAN, S.A DE C.V</t>
  </si>
  <si>
    <t>ASESORIA Y GESTION ADUANERA - AGDOSA</t>
  </si>
  <si>
    <t>ENVIO DE DOCUMENTOS A FRONTERA</t>
  </si>
  <si>
    <t>TRANSPORTE LOCAL  - BODESA - AGDOSA</t>
  </si>
  <si>
    <t>SERVICIO DE CUADRILLA</t>
  </si>
  <si>
    <t>TRANSPORTE LOCAL (4 TON)</t>
  </si>
  <si>
    <t>TRANSPORTE LOCAL SANTA TECLA</t>
  </si>
  <si>
    <t>GESTION POR MULTA</t>
  </si>
  <si>
    <t>TRANSTAINER EL SALVADOR, S.A DE C.V</t>
  </si>
  <si>
    <t>ASESORIA Y GESTION ADUANERA- ANGUIATU -  HACHADURA</t>
  </si>
  <si>
    <t>ASESORIA Y GESTION ADUANERA- BODESA - AEROPUERTO</t>
  </si>
  <si>
    <t>ASESORIA Y GESTION ADUANERA - SANTA ANA</t>
  </si>
  <si>
    <t>ASESORIA Y GESTION ADUANERA- ACAJUTLA</t>
  </si>
  <si>
    <t>GESTION LOGISTICA OPERACIONAL - AEROPUERTO</t>
  </si>
  <si>
    <t>TRANSPORTE LOCAL - AEROPUERTO</t>
  </si>
  <si>
    <t>RAMON_POLIO</t>
  </si>
  <si>
    <t>RAMON ARISTIDES POLIO ARAGON</t>
  </si>
  <si>
    <t>ASESORIA Y GESTION ADUANERA - EXPORTACION</t>
  </si>
  <si>
    <t>ASESORIA Y GESTION ADUANERA - IMPORTACION</t>
  </si>
  <si>
    <t>TABLEROS</t>
  </si>
  <si>
    <t>TABLEROS Y MADERAS DE MARIA, S.A DE C.V</t>
  </si>
  <si>
    <t>DIVACO, S.A DE C.V</t>
  </si>
  <si>
    <t>CARLOS</t>
  </si>
  <si>
    <t>CARLOS ALEJANDRO VALLECILLOS MARTINEZ</t>
  </si>
  <si>
    <t>SERVICIO POR SOBREPESO</t>
  </si>
  <si>
    <t>LUBRICANTES</t>
  </si>
  <si>
    <t>LUBRICANTES METALICOS, S.A DE C.V</t>
  </si>
  <si>
    <t>TMCA</t>
  </si>
  <si>
    <t>TMCA EL SALVADOR, S.A DE C.V</t>
  </si>
  <si>
    <t>RUBIKSOL</t>
  </si>
  <si>
    <t>RUBIKSOL , S.A DE C.V</t>
  </si>
  <si>
    <t>HAROLD</t>
  </si>
  <si>
    <t>HAROLD OMAR CALDERON</t>
  </si>
  <si>
    <t>TRANSPORTE LOCAL Z.F SANTA TECLA</t>
  </si>
  <si>
    <t>SERTAGRI, S.A DE C.V</t>
  </si>
  <si>
    <t>GESTION DE PERMISO MAG</t>
  </si>
  <si>
    <t>SOLVI, S.A DE C.V</t>
  </si>
  <si>
    <t>ENVIO DE DOCUMENTOS A FRONTERA (HACHADURA)</t>
  </si>
  <si>
    <t>SERVICIO DE EXTRACCION DE MUESTRA</t>
  </si>
  <si>
    <t>ENVIO DE DOCUMENTOS A FRONTERA ( SAN BARTOLO)</t>
  </si>
  <si>
    <t>SERVICIO POR TIEMPO EXTRAORDINARIO ( SAN BARTOLO)</t>
  </si>
  <si>
    <t>QUIMICA</t>
  </si>
  <si>
    <t>QUIMICA INDUSTRIAL, S.A DE C.V</t>
  </si>
  <si>
    <t>GESTION POR SELECTIVO ROJO (ACAJUTLA)</t>
  </si>
  <si>
    <t>IMPORTADORA</t>
  </si>
  <si>
    <t>IMPORTADORA DE REPUESTOS AUTOMOTORES, S.A DE C.V</t>
  </si>
  <si>
    <t>AVICOLA CAMPESTRE, S.A DE C.V</t>
  </si>
  <si>
    <t>EXONERACION MAG</t>
  </si>
  <si>
    <t>SERVICIO DE CUSTODIO SIMPLE</t>
  </si>
  <si>
    <t>SERVICIO DE PATRULLA SIMPLE ACAJUTLA- SAN MIGUEL</t>
  </si>
  <si>
    <t>SERVICIO POR SOBRE PESO</t>
  </si>
  <si>
    <t>TRAMITE DE CERTIFICACION DNM (POR PRODUCTO)</t>
  </si>
  <si>
    <t>TRANSPORTE LOCAL 4TN</t>
  </si>
  <si>
    <t>TRANSPORTE LOCAL ACAJUTLA- SAN MIGUEL CONT 40 TN 20 TN</t>
  </si>
  <si>
    <t>TRANSPORTE LOCAL AEROPUERTO - SALAMANCA (PROPIO)</t>
  </si>
  <si>
    <t>TRANSPORTE LOCAL DE DHL-SALAMANCA (PROPIO)</t>
  </si>
  <si>
    <t>TRANSPORTE LOCAL DE DHL-SAN MIGUEL PLATA DE PROCESO (PROPIO)</t>
  </si>
  <si>
    <t>TRANSPORTE LOCAL DHL- BRAZO SAN MIGUEL (TRANSPORTE ANSSONY)</t>
  </si>
  <si>
    <t>TRANSPORTE LOCAL DHL- SALAMANCA (TRANSPORTE ANSSONY)</t>
  </si>
  <si>
    <t>TRANSPORTE LOCAL Z.F SANTA TECLA-EL BRAZO SAN MIGUEL ( TRANSPORTE ANSSONY)</t>
  </si>
  <si>
    <t>TRANSPOTR LOCAL EQUIPO DE 8 TONELADAS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</si>
</sst>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m-yyyy"/>
    <numFmt numFmtId="166" formatCode="d/m"/>
    <numFmt numFmtId="167" formatCode="_-&quot;$&quot;* #,##0.00_-;_-&quot;$&quot;* \-#,##0.00_-;_-&quot;$&quot;* &quot;-&quot;??_-;_-@"/>
    <numFmt numFmtId="168" formatCode="dd&quot;-&quot;mm&quot;-&quot;yyyy"/>
    <numFmt numFmtId="169" formatCode="d&quot;-&quot;mmm&quot;-&quot;yyyy"/>
  </numFmts>
  <fonts count="35">
    <font>
      <sz val="10.0"/>
      <color rgb="FF000000"/>
      <name val="Arial"/>
      <scheme val="minor"/>
    </font>
    <font>
      <sz val="14.0"/>
      <color rgb="FFFFFFFF"/>
      <name val="Roboto"/>
    </font>
    <font>
      <color theme="1"/>
      <name val="Roboto"/>
    </font>
    <font>
      <b/>
      <sz val="11.0"/>
      <color theme="1"/>
      <name val="Roboto"/>
    </font>
    <font/>
    <font>
      <b/>
      <sz val="11.0"/>
      <color rgb="FF1155CC"/>
      <name val="Roboto"/>
    </font>
    <font>
      <b/>
      <sz val="11.0"/>
      <color rgb="FFFF9900"/>
      <name val="Roboto"/>
    </font>
    <font>
      <b/>
      <sz val="11.0"/>
      <color rgb="FF6AA84F"/>
      <name val="Roboto"/>
    </font>
    <font>
      <b/>
      <color theme="1"/>
      <name val="Roboto"/>
    </font>
    <font>
      <color rgb="FF434343"/>
      <name val="Roboto"/>
    </font>
    <font>
      <b/>
      <sz val="14.0"/>
      <color rgb="FFFFFFFF"/>
      <name val="Arial"/>
      <scheme val="minor"/>
    </font>
    <font>
      <b/>
      <sz val="14.0"/>
      <color rgb="FFFFFFFF"/>
      <name val="Roboto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Roboto"/>
    </font>
    <font>
      <b/>
      <sz val="11.0"/>
      <color rgb="FFFFFFFF"/>
      <name val="Roboto"/>
    </font>
    <font>
      <b/>
      <color theme="1"/>
      <name val="Arial"/>
      <scheme val="minor"/>
    </font>
    <font>
      <color rgb="FFFFFFFF"/>
      <name val="Arial"/>
      <scheme val="minor"/>
    </font>
    <font>
      <sz val="11.0"/>
      <color rgb="FFFFFFFF"/>
      <name val="Arial"/>
      <scheme val="minor"/>
    </font>
    <font>
      <sz val="10.0"/>
      <color theme="1"/>
      <name val="Roboto"/>
    </font>
    <font>
      <sz val="10.0"/>
      <color theme="1"/>
      <name val="Arial"/>
      <scheme val="minor"/>
    </font>
    <font>
      <b/>
      <sz val="10.0"/>
      <color theme="1"/>
      <name val="Roboto"/>
    </font>
    <font>
      <sz val="12.0"/>
      <color rgb="FFFFFFFF"/>
      <name val="Roboto"/>
    </font>
    <font>
      <sz val="10.0"/>
      <color rgb="FFFFFFFF"/>
      <name val="Arial"/>
    </font>
    <font>
      <sz val="11.0"/>
      <color rgb="FF000000"/>
      <name val="Roboto"/>
    </font>
    <font>
      <b/>
      <sz val="14.0"/>
      <color rgb="FF000000"/>
      <name val="Arial"/>
      <scheme val="minor"/>
    </font>
    <font>
      <sz val="14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2.0"/>
      <color rgb="FFFFFFFF"/>
      <name val="Roboto"/>
    </font>
    <font>
      <sz val="11.0"/>
      <color rgb="FF434343"/>
      <name val="Roboto"/>
    </font>
    <font>
      <sz val="11.0"/>
      <color rgb="FF000000"/>
      <name val="Calibri"/>
    </font>
    <font>
      <color rgb="FF000000"/>
      <name val="Roboto"/>
    </font>
    <font>
      <color rgb="FF000000"/>
      <name val="Arial"/>
    </font>
    <font>
      <sz val="11.0"/>
      <color rgb="FF000000"/>
      <name val="&quot;Calibri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9DAF8"/>
        <bgColor rgb="FFC9DAF8"/>
      </patternFill>
    </fill>
    <fill>
      <patternFill patternType="solid">
        <fgColor rgb="FFF5F5F5"/>
        <bgColor rgb="FFF5F5F5"/>
      </patternFill>
    </fill>
    <fill>
      <patternFill patternType="solid">
        <fgColor rgb="FF06114B"/>
        <bgColor rgb="FF06114B"/>
      </patternFill>
    </fill>
    <fill>
      <patternFill patternType="solid">
        <fgColor rgb="FFFFFFFF"/>
        <bgColor rgb="FFFFFFFF"/>
      </patternFill>
    </fill>
    <fill>
      <patternFill patternType="solid">
        <fgColor rgb="FFE9ECF5"/>
        <bgColor rgb="FFE9ECF5"/>
      </patternFill>
    </fill>
    <fill>
      <patternFill patternType="solid">
        <fgColor rgb="FFF8F9FA"/>
        <bgColor rgb="FFF8F9FA"/>
      </patternFill>
    </fill>
    <fill>
      <patternFill patternType="solid">
        <fgColor rgb="FFF3F3F3"/>
        <bgColor rgb="FFF3F3F3"/>
      </patternFill>
    </fill>
    <fill>
      <patternFill patternType="solid">
        <fgColor rgb="FF073763"/>
        <bgColor rgb="FF073763"/>
      </patternFill>
    </fill>
  </fills>
  <borders count="19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1" fillId="3" fontId="3" numFmtId="0" xfId="0" applyAlignment="1" applyBorder="1" applyFill="1" applyFont="1">
      <alignment readingOrder="0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5" fillId="0" fontId="4" numFmtId="0" xfId="0" applyBorder="1" applyFont="1"/>
    <xf borderId="6" fillId="0" fontId="5" numFmtId="0" xfId="0" applyAlignment="1" applyBorder="1" applyFont="1">
      <alignment horizontal="right"/>
    </xf>
    <xf borderId="4" fillId="0" fontId="2" numFmtId="0" xfId="0" applyAlignment="1" applyBorder="1" applyFont="1">
      <alignment readingOrder="0"/>
    </xf>
    <xf borderId="6" fillId="0" fontId="6" numFmtId="0" xfId="0" applyAlignment="1" applyBorder="1" applyFont="1">
      <alignment horizontal="right"/>
    </xf>
    <xf borderId="6" fillId="0" fontId="7" numFmtId="0" xfId="0" applyAlignment="1" applyBorder="1" applyFont="1">
      <alignment horizontal="right"/>
    </xf>
    <xf borderId="2" fillId="0" fontId="2" numFmtId="0" xfId="0" applyBorder="1" applyFont="1"/>
    <xf borderId="0" fillId="3" fontId="8" numFmtId="0" xfId="0" applyFont="1"/>
    <xf borderId="7" fillId="0" fontId="9" numFmtId="0" xfId="0" applyBorder="1" applyFont="1"/>
    <xf borderId="7" fillId="0" fontId="9" numFmtId="164" xfId="0" applyBorder="1" applyFont="1" applyNumberFormat="1"/>
    <xf borderId="0" fillId="0" fontId="9" numFmtId="0" xfId="0" applyFont="1"/>
    <xf borderId="0" fillId="4" fontId="10" numFmtId="0" xfId="0" applyAlignment="1" applyFill="1" applyFont="1">
      <alignment horizontal="center" readingOrder="0" shrinkToFit="0" vertical="center" wrapText="0"/>
    </xf>
    <xf borderId="0" fillId="5" fontId="11" numFmtId="0" xfId="0" applyAlignment="1" applyFill="1" applyFont="1">
      <alignment horizontal="center" readingOrder="0" shrinkToFit="0" vertical="center" wrapText="0"/>
    </xf>
    <xf borderId="0" fillId="4" fontId="12" numFmtId="0" xfId="0" applyFont="1"/>
    <xf borderId="0" fillId="4" fontId="13" numFmtId="0" xfId="0" applyAlignment="1" applyFont="1">
      <alignment readingOrder="0"/>
    </xf>
    <xf borderId="8" fillId="4" fontId="3" numFmtId="0" xfId="0" applyAlignment="1" applyBorder="1" applyFont="1">
      <alignment readingOrder="0"/>
    </xf>
    <xf borderId="2" fillId="4" fontId="2" numFmtId="165" xfId="0" applyAlignment="1" applyBorder="1" applyFont="1" applyNumberFormat="1">
      <alignment readingOrder="0"/>
    </xf>
    <xf borderId="2" fillId="4" fontId="2" numFmtId="0" xfId="0" applyBorder="1" applyFont="1"/>
    <xf borderId="9" fillId="4" fontId="3" numFmtId="0" xfId="0" applyAlignment="1" applyBorder="1" applyFont="1">
      <alignment readingOrder="0"/>
    </xf>
    <xf borderId="0" fillId="4" fontId="14" numFmtId="0" xfId="0" applyFont="1"/>
    <xf borderId="8" fillId="4" fontId="15" numFmtId="0" xfId="0" applyBorder="1" applyFont="1"/>
    <xf borderId="0" fillId="4" fontId="3" numFmtId="0" xfId="0" applyAlignment="1" applyFont="1">
      <alignment readingOrder="0"/>
    </xf>
    <xf borderId="7" fillId="6" fontId="15" numFmtId="0" xfId="0" applyBorder="1" applyFill="1" applyFont="1"/>
    <xf borderId="0" fillId="4" fontId="15" numFmtId="0" xfId="0" applyFont="1"/>
    <xf borderId="1" fillId="7" fontId="3" numFmtId="0" xfId="0" applyAlignment="1" applyBorder="1" applyFill="1" applyFont="1">
      <alignment readingOrder="0"/>
    </xf>
    <xf borderId="9" fillId="4" fontId="15" numFmtId="0" xfId="0" applyBorder="1" applyFont="1"/>
    <xf borderId="0" fillId="4" fontId="2" numFmtId="165" xfId="0" applyAlignment="1" applyFont="1" applyNumberFormat="1">
      <alignment readingOrder="0"/>
    </xf>
    <xf borderId="0" fillId="4" fontId="2" numFmtId="0" xfId="0" applyFont="1"/>
    <xf borderId="0" fillId="4" fontId="15" numFmtId="0" xfId="0" applyAlignment="1" applyFont="1">
      <alignment horizontal="left"/>
    </xf>
    <xf borderId="8" fillId="7" fontId="2" numFmtId="0" xfId="0" applyBorder="1" applyFont="1"/>
    <xf borderId="9" fillId="7" fontId="2" numFmtId="0" xfId="0" applyBorder="1" applyFont="1"/>
    <xf borderId="0" fillId="4" fontId="15" numFmtId="0" xfId="0" applyAlignment="1" applyFont="1">
      <alignment horizontal="left" readingOrder="0"/>
    </xf>
    <xf borderId="0" fillId="4" fontId="15" numFmtId="0" xfId="0" applyAlignment="1" applyFont="1">
      <alignment readingOrder="0"/>
    </xf>
    <xf borderId="8" fillId="7" fontId="2" numFmtId="0" xfId="0" applyAlignment="1" applyBorder="1" applyFont="1">
      <alignment horizontal="left" readingOrder="0"/>
    </xf>
    <xf borderId="9" fillId="7" fontId="2" numFmtId="0" xfId="0" applyAlignment="1" applyBorder="1" applyFont="1">
      <alignment horizontal="left"/>
    </xf>
    <xf borderId="8" fillId="7" fontId="15" numFmtId="0" xfId="0" applyAlignment="1" applyBorder="1" applyFont="1">
      <alignment horizontal="left" readingOrder="0"/>
    </xf>
    <xf borderId="7" fillId="6" fontId="15" numFmtId="0" xfId="0" applyAlignment="1" applyBorder="1" applyFont="1">
      <alignment horizontal="left" readingOrder="0"/>
    </xf>
    <xf borderId="0" fillId="4" fontId="2" numFmtId="165" xfId="0" applyAlignment="1" applyFont="1" applyNumberFormat="1">
      <alignment vertical="bottom"/>
    </xf>
    <xf borderId="0" fillId="4" fontId="2" numFmtId="0" xfId="0" applyAlignment="1" applyFont="1">
      <alignment vertical="bottom"/>
    </xf>
    <xf borderId="9" fillId="7" fontId="2" numFmtId="49" xfId="0" applyAlignment="1" applyBorder="1" applyFont="1" applyNumberFormat="1">
      <alignment horizontal="left"/>
    </xf>
    <xf borderId="7" fillId="6" fontId="15" numFmtId="49" xfId="0" applyAlignment="1" applyBorder="1" applyFont="1" applyNumberFormat="1">
      <alignment horizontal="left" readingOrder="0"/>
    </xf>
    <xf borderId="0" fillId="4" fontId="2" numFmtId="0" xfId="0" applyAlignment="1" applyFont="1">
      <alignment horizontal="left"/>
    </xf>
    <xf borderId="9" fillId="7" fontId="2" numFmtId="166" xfId="0" applyAlignment="1" applyBorder="1" applyFont="1" applyNumberFormat="1">
      <alignment horizontal="left"/>
    </xf>
    <xf borderId="0" fillId="4" fontId="2" numFmtId="0" xfId="0" applyAlignment="1" applyFont="1">
      <alignment horizontal="left" readingOrder="0"/>
    </xf>
    <xf borderId="8" fillId="7" fontId="2" numFmtId="0" xfId="0" applyAlignment="1" applyBorder="1" applyFont="1">
      <alignment readingOrder="0" vertical="bottom"/>
    </xf>
    <xf borderId="7" fillId="6" fontId="2" numFmtId="0" xfId="0" applyAlignment="1" applyBorder="1" applyFont="1">
      <alignment horizontal="left" readingOrder="0"/>
    </xf>
    <xf borderId="8" fillId="7" fontId="2" numFmtId="165" xfId="0" applyAlignment="1" applyBorder="1" applyFont="1" applyNumberFormat="1">
      <alignment vertical="bottom"/>
    </xf>
    <xf borderId="7" fillId="6" fontId="2" numFmtId="166" xfId="0" applyAlignment="1" applyBorder="1" applyFont="1" applyNumberFormat="1">
      <alignment horizontal="left" readingOrder="0"/>
    </xf>
    <xf borderId="4" fillId="7" fontId="2" numFmtId="165" xfId="0" applyAlignment="1" applyBorder="1" applyFont="1" applyNumberFormat="1">
      <alignment vertical="bottom"/>
    </xf>
    <xf borderId="6" fillId="7" fontId="2" numFmtId="0" xfId="0" applyBorder="1" applyFont="1"/>
    <xf borderId="4" fillId="4" fontId="15" numFmtId="0" xfId="0" applyBorder="1" applyFont="1"/>
    <xf borderId="5" fillId="4" fontId="2" numFmtId="0" xfId="0" applyBorder="1" applyFont="1"/>
    <xf borderId="6" fillId="4" fontId="15" numFmtId="0" xfId="0" applyBorder="1" applyFont="1"/>
    <xf borderId="7" fillId="5" fontId="16" numFmtId="0" xfId="0" applyAlignment="1" applyBorder="1" applyFont="1">
      <alignment horizontal="center" readingOrder="0" vertical="center"/>
    </xf>
    <xf borderId="7" fillId="5" fontId="16" numFmtId="49" xfId="0" applyAlignment="1" applyBorder="1" applyFont="1" applyNumberFormat="1">
      <alignment horizontal="center" readingOrder="0" vertical="center"/>
    </xf>
    <xf borderId="7" fillId="0" fontId="9" numFmtId="0" xfId="0" applyAlignment="1" applyBorder="1" applyFont="1">
      <alignment readingOrder="0"/>
    </xf>
    <xf borderId="7" fillId="0" fontId="9" numFmtId="49" xfId="0" applyAlignment="1" applyBorder="1" applyFont="1" applyNumberFormat="1">
      <alignment readingOrder="0"/>
    </xf>
    <xf borderId="7" fillId="0" fontId="9" numFmtId="164" xfId="0" applyAlignment="1" applyBorder="1" applyFont="1" applyNumberFormat="1">
      <alignment readingOrder="0"/>
    </xf>
    <xf borderId="0" fillId="0" fontId="12" numFmtId="0" xfId="0" applyAlignment="1" applyFont="1">
      <alignment readingOrder="0"/>
    </xf>
    <xf borderId="0" fillId="0" fontId="17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1" fillId="5" fontId="11" numFmtId="0" xfId="0" applyAlignment="1" applyBorder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4" fontId="12" numFmtId="0" xfId="0" applyAlignment="1" applyFont="1">
      <alignment readingOrder="0"/>
    </xf>
    <xf borderId="8" fillId="4" fontId="2" numFmtId="0" xfId="0" applyAlignment="1" applyBorder="1" applyFont="1">
      <alignment readingOrder="0"/>
    </xf>
    <xf borderId="9" fillId="4" fontId="2" numFmtId="0" xfId="0" applyBorder="1" applyFont="1"/>
    <xf borderId="0" fillId="4" fontId="18" numFmtId="0" xfId="0" applyFont="1"/>
    <xf borderId="0" fillId="4" fontId="19" numFmtId="0" xfId="0" applyFont="1"/>
    <xf borderId="0" fillId="4" fontId="14" numFmtId="0" xfId="0" applyAlignment="1" applyFont="1">
      <alignment readingOrder="0"/>
    </xf>
    <xf borderId="7" fillId="6" fontId="15" numFmtId="167" xfId="0" applyAlignment="1" applyBorder="1" applyFont="1" applyNumberFormat="1">
      <alignment horizontal="left" readingOrder="0"/>
    </xf>
    <xf borderId="8" fillId="4" fontId="2" numFmtId="0" xfId="0" applyBorder="1" applyFont="1"/>
    <xf borderId="7" fillId="6" fontId="2" numFmtId="168" xfId="0" applyAlignment="1" applyBorder="1" applyFont="1" applyNumberFormat="1">
      <alignment horizontal="left" readingOrder="0"/>
    </xf>
    <xf borderId="4" fillId="4" fontId="2" numFmtId="0" xfId="0" applyBorder="1" applyFont="1"/>
    <xf borderId="6" fillId="4" fontId="2" numFmtId="0" xfId="0" applyBorder="1" applyFont="1"/>
    <xf borderId="7" fillId="0" fontId="9" numFmtId="167" xfId="0" applyAlignment="1" applyBorder="1" applyFont="1" applyNumberFormat="1">
      <alignment readingOrder="0"/>
    </xf>
    <xf borderId="7" fillId="0" fontId="9" numFmtId="14" xfId="0" applyAlignment="1" applyBorder="1" applyFont="1" applyNumberFormat="1">
      <alignment readingOrder="0"/>
    </xf>
    <xf borderId="7" fillId="8" fontId="9" numFmtId="0" xfId="0" applyAlignment="1" applyBorder="1" applyFill="1" applyFont="1">
      <alignment readingOrder="0"/>
    </xf>
    <xf borderId="7" fillId="8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7" fillId="9" fontId="9" numFmtId="0" xfId="0" applyAlignment="1" applyBorder="1" applyFill="1" applyFont="1">
      <alignment readingOrder="0"/>
    </xf>
    <xf borderId="7" fillId="9" fontId="9" numFmtId="0" xfId="0" applyBorder="1" applyFont="1"/>
    <xf borderId="7" fillId="9" fontId="9" numFmtId="167" xfId="0" applyAlignment="1" applyBorder="1" applyFont="1" applyNumberFormat="1">
      <alignment readingOrder="0"/>
    </xf>
    <xf borderId="7" fillId="9" fontId="9" numFmtId="14" xfId="0" applyAlignment="1" applyBorder="1" applyFont="1" applyNumberFormat="1">
      <alignment readingOrder="0"/>
    </xf>
    <xf borderId="7" fillId="0" fontId="9" numFmtId="167" xfId="0" applyBorder="1" applyFont="1" applyNumberFormat="1"/>
    <xf borderId="0" fillId="0" fontId="9" numFmtId="167" xfId="0" applyFont="1" applyNumberFormat="1"/>
    <xf borderId="0" fillId="6" fontId="12" numFmtId="0" xfId="0" applyFont="1"/>
    <xf borderId="0" fillId="0" fontId="20" numFmtId="0" xfId="0" applyFont="1"/>
    <xf borderId="0" fillId="0" fontId="21" numFmtId="0" xfId="0" applyFont="1"/>
    <xf borderId="0" fillId="6" fontId="21" numFmtId="0" xfId="0" applyFont="1"/>
    <xf borderId="0" fillId="0" fontId="22" numFmtId="0" xfId="0" applyAlignment="1" applyFont="1">
      <alignment readingOrder="0"/>
    </xf>
    <xf borderId="0" fillId="2" fontId="23" numFmtId="0" xfId="0" applyAlignment="1" applyFont="1">
      <alignment horizontal="center" readingOrder="0"/>
    </xf>
    <xf borderId="0" fillId="6" fontId="24" numFmtId="0" xfId="0" applyAlignment="1" applyFont="1">
      <alignment horizontal="center" readingOrder="0"/>
    </xf>
    <xf borderId="0" fillId="0" fontId="20" numFmtId="0" xfId="0" applyAlignment="1" applyFont="1">
      <alignment readingOrder="0" shrinkToFit="0" wrapText="1"/>
    </xf>
    <xf borderId="10" fillId="0" fontId="20" numFmtId="0" xfId="0" applyAlignment="1" applyBorder="1" applyFont="1">
      <alignment shrinkToFit="0" wrapText="1"/>
    </xf>
    <xf borderId="11" fillId="0" fontId="4" numFmtId="0" xfId="0" applyBorder="1" applyFont="1"/>
    <xf borderId="7" fillId="0" fontId="22" numFmtId="0" xfId="0" applyAlignment="1" applyBorder="1" applyFont="1">
      <alignment readingOrder="0"/>
    </xf>
    <xf borderId="7" fillId="0" fontId="20" numFmtId="167" xfId="0" applyAlignment="1" applyBorder="1" applyFont="1" applyNumberFormat="1">
      <alignment shrinkToFit="0" wrapText="1"/>
    </xf>
    <xf borderId="0" fillId="6" fontId="21" numFmtId="0" xfId="0" applyAlignment="1" applyFont="1">
      <alignment horizontal="center" readingOrder="0"/>
    </xf>
    <xf borderId="0" fillId="6" fontId="21" numFmtId="167" xfId="0" applyFont="1" applyNumberFormat="1"/>
    <xf borderId="10" fillId="0" fontId="20" numFmtId="0" xfId="0" applyBorder="1" applyFont="1"/>
    <xf borderId="10" fillId="0" fontId="20" numFmtId="164" xfId="0" applyAlignment="1" applyBorder="1" applyFont="1" applyNumberFormat="1">
      <alignment horizontal="left" shrinkToFit="0" wrapText="1"/>
    </xf>
    <xf borderId="0" fillId="7" fontId="20" numFmtId="0" xfId="0" applyAlignment="1" applyFont="1">
      <alignment horizontal="center" readingOrder="0"/>
    </xf>
    <xf borderId="7" fillId="0" fontId="20" numFmtId="0" xfId="0" applyAlignment="1" applyBorder="1" applyFont="1">
      <alignment readingOrder="0"/>
    </xf>
    <xf borderId="10" fillId="0" fontId="20" numFmtId="0" xfId="0" applyAlignment="1" applyBorder="1" applyFont="1">
      <alignment readingOrder="0"/>
    </xf>
    <xf borderId="7" fillId="0" fontId="20" numFmtId="167" xfId="0" applyAlignment="1" applyBorder="1" applyFont="1" applyNumberFormat="1">
      <alignment readingOrder="0"/>
    </xf>
    <xf borderId="7" fillId="0" fontId="20" numFmtId="167" xfId="0" applyBorder="1" applyFont="1" applyNumberFormat="1"/>
    <xf borderId="7" fillId="0" fontId="20" numFmtId="0" xfId="0" applyBorder="1" applyFont="1"/>
    <xf borderId="7" fillId="0" fontId="20" numFmtId="0" xfId="0" applyAlignment="1" applyBorder="1" applyFont="1">
      <alignment horizontal="center"/>
    </xf>
    <xf borderId="7" fillId="0" fontId="20" numFmtId="0" xfId="0" applyAlignment="1" applyBorder="1" applyFont="1">
      <alignment vertical="center"/>
    </xf>
    <xf borderId="7" fillId="0" fontId="20" numFmtId="0" xfId="0" applyAlignment="1" applyBorder="1" applyFont="1">
      <alignment shrinkToFit="0" vertical="center" wrapText="1"/>
    </xf>
    <xf borderId="7" fillId="0" fontId="20" numFmtId="167" xfId="0" applyAlignment="1" applyBorder="1" applyFont="1" applyNumberFormat="1">
      <alignment vertical="center"/>
    </xf>
    <xf borderId="0" fillId="0" fontId="15" numFmtId="0" xfId="0" applyFont="1"/>
    <xf borderId="0" fillId="0" fontId="14" numFmtId="0" xfId="0" applyFont="1"/>
    <xf borderId="0" fillId="2" fontId="1" numFmtId="0" xfId="0" applyAlignment="1" applyFont="1">
      <alignment horizontal="center" readingOrder="0" vertical="center"/>
    </xf>
    <xf borderId="7" fillId="3" fontId="25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readingOrder="0" shrinkToFit="0" vertical="center" wrapText="1"/>
    </xf>
    <xf borderId="7" fillId="0" fontId="9" numFmtId="14" xfId="0" applyAlignment="1" applyBorder="1" applyFont="1" applyNumberFormat="1">
      <alignment readingOrder="0" shrinkToFit="0" vertical="center" wrapText="1"/>
    </xf>
    <xf borderId="7" fillId="0" fontId="9" numFmtId="167" xfId="0" applyAlignment="1" applyBorder="1" applyFont="1" applyNumberFormat="1">
      <alignment readingOrder="0" shrinkToFit="0" vertical="center" wrapText="1"/>
    </xf>
    <xf borderId="7" fillId="0" fontId="9" numFmtId="0" xfId="0" applyAlignment="1" applyBorder="1" applyFont="1">
      <alignment shrinkToFit="0" vertical="center" wrapText="1"/>
    </xf>
    <xf borderId="7" fillId="0" fontId="9" numFmtId="167" xfId="0" applyAlignment="1" applyBorder="1" applyFont="1" applyNumberFormat="1">
      <alignment shrinkToFit="0" vertical="center" wrapText="1"/>
    </xf>
    <xf borderId="0" fillId="0" fontId="12" numFmtId="0" xfId="0" applyFont="1"/>
    <xf borderId="0" fillId="0" fontId="12" numFmtId="169" xfId="0" applyAlignment="1" applyFont="1" applyNumberFormat="1">
      <alignment readingOrder="0"/>
    </xf>
    <xf borderId="0" fillId="0" fontId="12" numFmtId="167" xfId="0" applyAlignment="1" applyFont="1" applyNumberFormat="1">
      <alignment readingOrder="0"/>
    </xf>
    <xf borderId="0" fillId="0" fontId="12" numFmtId="167" xfId="0" applyFont="1" applyNumberFormat="1"/>
    <xf borderId="0" fillId="0" fontId="12" numFmtId="49" xfId="0" applyFont="1" applyNumberFormat="1"/>
    <xf borderId="0" fillId="0" fontId="12" numFmtId="169" xfId="0" applyFont="1" applyNumberFormat="1"/>
    <xf borderId="0" fillId="0" fontId="12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169" xfId="0" applyAlignment="1" applyFont="1" applyNumberFormat="1">
      <alignment shrinkToFit="0" vertical="center" wrapText="0"/>
    </xf>
    <xf borderId="0" fillId="0" fontId="12" numFmtId="167" xfId="0" applyAlignment="1" applyFont="1" applyNumberFormat="1">
      <alignment shrinkToFit="0" vertical="center" wrapText="0"/>
    </xf>
    <xf borderId="0" fillId="0" fontId="12" numFmtId="167" xfId="0" applyAlignment="1" applyFont="1" applyNumberFormat="1">
      <alignment shrinkToFit="0" vertical="center" wrapText="0"/>
    </xf>
    <xf borderId="0" fillId="0" fontId="12" numFmtId="167" xfId="0" applyAlignment="1" applyFont="1" applyNumberFormat="1">
      <alignment shrinkToFit="0" vertical="center" wrapText="0"/>
    </xf>
    <xf borderId="0" fillId="0" fontId="12" numFmtId="0" xfId="0" applyAlignment="1" applyFont="1">
      <alignment shrinkToFit="0" vertical="center" wrapText="0"/>
    </xf>
    <xf borderId="0" fillId="7" fontId="26" numFmtId="0" xfId="0" applyAlignment="1" applyFont="1">
      <alignment horizontal="center" readingOrder="0"/>
    </xf>
    <xf borderId="0" fillId="6" fontId="27" numFmtId="0" xfId="0" applyAlignment="1" applyFont="1">
      <alignment horizontal="center" readingOrder="0"/>
    </xf>
    <xf borderId="0" fillId="5" fontId="19" numFmtId="0" xfId="0" applyAlignment="1" applyFont="1">
      <alignment horizontal="left" readingOrder="0"/>
    </xf>
    <xf borderId="7" fillId="0" fontId="12" numFmtId="0" xfId="0" applyAlignment="1" applyBorder="1" applyFont="1">
      <alignment readingOrder="0"/>
    </xf>
    <xf borderId="7" fillId="5" fontId="28" numFmtId="0" xfId="0" applyBorder="1" applyFont="1"/>
    <xf borderId="7" fillId="0" fontId="12" numFmtId="0" xfId="0" applyBorder="1" applyFont="1"/>
    <xf borderId="7" fillId="0" fontId="12" numFmtId="167" xfId="0" applyBorder="1" applyFont="1" applyNumberFormat="1"/>
    <xf borderId="7" fillId="0" fontId="12" numFmtId="14" xfId="0" applyBorder="1" applyFont="1" applyNumberFormat="1"/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shrinkToFit="0" vertical="center" wrapText="0"/>
    </xf>
    <xf borderId="12" fillId="10" fontId="29" numFmtId="0" xfId="0" applyAlignment="1" applyBorder="1" applyFill="1" applyFont="1">
      <alignment vertical="bottom"/>
    </xf>
    <xf borderId="12" fillId="10" fontId="29" numFmtId="167" xfId="0" applyAlignment="1" applyBorder="1" applyFont="1" applyNumberFormat="1">
      <alignment vertical="bottom"/>
    </xf>
    <xf borderId="13" fillId="10" fontId="29" numFmtId="0" xfId="0" applyAlignment="1" applyBorder="1" applyFont="1">
      <alignment vertical="bottom"/>
    </xf>
    <xf borderId="14" fillId="0" fontId="4" numFmtId="0" xfId="0" applyBorder="1" applyFont="1"/>
    <xf borderId="15" fillId="10" fontId="29" numFmtId="0" xfId="0" applyAlignment="1" applyBorder="1" applyFont="1">
      <alignment vertical="bottom"/>
    </xf>
    <xf borderId="16" fillId="0" fontId="4" numFmtId="0" xfId="0" applyBorder="1" applyFont="1"/>
    <xf borderId="12" fillId="0" fontId="30" numFmtId="0" xfId="0" applyAlignment="1" applyBorder="1" applyFont="1">
      <alignment vertical="bottom"/>
    </xf>
    <xf borderId="12" fillId="0" fontId="30" numFmtId="167" xfId="0" applyAlignment="1" applyBorder="1" applyFont="1" applyNumberFormat="1">
      <alignment horizontal="right" vertical="bottom"/>
    </xf>
    <xf borderId="0" fillId="7" fontId="9" numFmtId="0" xfId="0" applyAlignment="1" applyFont="1">
      <alignment readingOrder="0"/>
    </xf>
    <xf borderId="12" fillId="0" fontId="30" numFmtId="0" xfId="0" applyAlignment="1" applyBorder="1" applyFont="1">
      <alignment vertical="top"/>
    </xf>
    <xf borderId="12" fillId="0" fontId="31" numFmtId="0" xfId="0" applyAlignment="1" applyBorder="1" applyFont="1">
      <alignment readingOrder="0" shrinkToFit="0" vertical="bottom" wrapText="0"/>
    </xf>
    <xf borderId="14" fillId="0" fontId="31" numFmtId="0" xfId="0" applyAlignment="1" applyBorder="1" applyFont="1">
      <alignment readingOrder="0" shrinkToFit="0" vertical="bottom" wrapText="0"/>
    </xf>
    <xf borderId="14" fillId="0" fontId="31" numFmtId="167" xfId="0" applyAlignment="1" applyBorder="1" applyFont="1" applyNumberFormat="1">
      <alignment horizontal="right" readingOrder="0" shrinkToFit="0" vertical="bottom" wrapText="0"/>
    </xf>
    <xf borderId="17" fillId="0" fontId="31" numFmtId="0" xfId="0" applyAlignment="1" applyBorder="1" applyFont="1">
      <alignment readingOrder="0" shrinkToFit="0" vertical="bottom" wrapText="0"/>
    </xf>
    <xf borderId="18" fillId="0" fontId="31" numFmtId="0" xfId="0" applyAlignment="1" applyBorder="1" applyFont="1">
      <alignment readingOrder="0" shrinkToFit="0" vertical="bottom" wrapText="0"/>
    </xf>
    <xf borderId="18" fillId="0" fontId="31" numFmtId="167" xfId="0" applyAlignment="1" applyBorder="1" applyFont="1" applyNumberFormat="1">
      <alignment horizontal="right" readingOrder="0" shrinkToFit="0" vertical="bottom" wrapText="0"/>
    </xf>
    <xf borderId="0" fillId="0" fontId="32" numFmtId="0" xfId="0" applyFont="1"/>
    <xf borderId="0" fillId="0" fontId="32" numFmtId="167" xfId="0" applyFont="1" applyNumberFormat="1"/>
    <xf borderId="18" fillId="0" fontId="33" numFmtId="0" xfId="0" applyAlignment="1" applyBorder="1" applyFont="1">
      <alignment readingOrder="0" shrinkToFit="0" vertical="bottom" wrapText="0"/>
    </xf>
    <xf borderId="18" fillId="0" fontId="33" numFmtId="167" xfId="0" applyAlignment="1" applyBorder="1" applyFont="1" applyNumberFormat="1">
      <alignment readingOrder="0" shrinkToFit="0" vertical="bottom" wrapText="0"/>
    </xf>
    <xf borderId="18" fillId="6" fontId="34" numFmtId="0" xfId="0" applyAlignment="1" applyBorder="1" applyFont="1">
      <alignment readingOrder="0" shrinkToFit="0" vertical="bottom" wrapText="0"/>
    </xf>
    <xf borderId="18" fillId="0" fontId="34" numFmtId="0" xfId="0" applyAlignment="1" applyBorder="1" applyFont="1">
      <alignment readingOrder="0" shrinkToFit="0" vertical="bottom" wrapText="0"/>
    </xf>
    <xf borderId="18" fillId="6" fontId="3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14"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5F5F5"/>
          <bgColor rgb="FFF5F5F5"/>
        </patternFill>
      </fill>
      <border/>
    </dxf>
    <dxf>
      <font>
        <color rgb="FFFF0000"/>
      </font>
      <fill>
        <patternFill patternType="none"/>
      </fill>
      <border/>
    </dxf>
    <dxf>
      <font>
        <color rgb="FF93C47D"/>
      </font>
      <fill>
        <patternFill patternType="none"/>
      </fill>
      <border/>
    </dxf>
    <dxf>
      <font/>
      <fill>
        <patternFill patternType="solid">
          <fgColor rgb="FF06114B"/>
          <bgColor rgb="FF06114B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6114B"/>
        </left>
        <right style="thin">
          <color rgb="FF06114B"/>
        </right>
        <top style="thin">
          <color rgb="FF06114B"/>
        </top>
        <bottom style="thin">
          <color rgb="FF06114B"/>
        </bottom>
      </border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BASE TRANSFERENCIAS-style">
      <tableStyleElement dxfId="2" type="headerRow"/>
      <tableStyleElement dxfId="3" type="firstRowStripe"/>
      <tableStyleElement dxfId="4" type="secondRowStripe"/>
    </tableStyle>
    <tableStyle count="4" pivot="0" name="DATOS_COMPARACION-style">
      <tableStyleElement dxfId="9" type="headerRow"/>
      <tableStyleElement dxfId="3" type="firstRowStripe"/>
      <tableStyleElement dxfId="10" type="secondRowStripe"/>
      <tableStyleElement dxfId="11" size="0" type="wholeTable"/>
    </tableStyle>
    <tableStyle count="4" pivot="0" name="LISTAS-style">
      <tableStyleElement dxfId="12" type="headerRow"/>
      <tableStyleElement dxfId="3" type="firstRowStripe"/>
      <tableStyleElement dxfId="10" type="secondRowStripe"/>
      <tableStyleElement dxfId="1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OS REGISTRADAS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DATOS_GRAFICO!$A$2:$A$5</c:f>
            </c:strRef>
          </c:cat>
          <c:val>
            <c:numRef>
              <c:f>DATOS_GRAFICO!$B$2:$B$5</c:f>
              <c:numCache/>
            </c:numRef>
          </c:val>
        </c:ser>
        <c:axId val="1033916630"/>
        <c:axId val="311956246"/>
      </c:barChart>
      <c:catAx>
        <c:axId val="10339166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11956246"/>
      </c:catAx>
      <c:valAx>
        <c:axId val="3119562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9166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2</xdr:row>
      <xdr:rowOff>9525</xdr:rowOff>
    </xdr:from>
    <xdr:ext cx="3857625" cy="22955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15</xdr:row>
      <xdr:rowOff>190500</xdr:rowOff>
    </xdr:from>
    <xdr:ext cx="2543175" cy="371475"/>
    <xdr:sp>
      <xdr:nvSpPr>
        <xdr:cNvPr id="3" name="Shape 3"/>
        <xdr:cNvSpPr/>
      </xdr:nvSpPr>
      <xdr:spPr>
        <a:xfrm>
          <a:off x="1696350" y="488375"/>
          <a:ext cx="2527500" cy="355200"/>
        </a:xfrm>
        <a:prstGeom prst="roundRect">
          <a:avLst>
            <a:gd fmla="val 16667" name="adj"/>
          </a:avLst>
        </a:prstGeom>
        <a:solidFill>
          <a:srgbClr val="040C33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</a:rPr>
            <a:t>REGISTRAR OS</a:t>
          </a:r>
          <a:endParaRPr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5</xdr:col>
      <xdr:colOff>257175</xdr:colOff>
      <xdr:row>15</xdr:row>
      <xdr:rowOff>190500</xdr:rowOff>
    </xdr:from>
    <xdr:ext cx="2543175" cy="381000"/>
    <xdr:sp>
      <xdr:nvSpPr>
        <xdr:cNvPr id="4" name="Shape 4"/>
        <xdr:cNvSpPr/>
      </xdr:nvSpPr>
      <xdr:spPr>
        <a:xfrm>
          <a:off x="1696350" y="315800"/>
          <a:ext cx="2527500" cy="3654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D9D9D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30823"/>
              </a:solidFill>
            </a:rPr>
            <a:t>LIMPIAR FORMULARIO</a:t>
          </a:r>
          <a:endParaRPr sz="1200">
            <a:solidFill>
              <a:srgbClr val="030823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20</xdr:row>
      <xdr:rowOff>28575</xdr:rowOff>
    </xdr:from>
    <xdr:ext cx="1885950" cy="457200"/>
    <xdr:sp>
      <xdr:nvSpPr>
        <xdr:cNvPr id="5" name="Shape 5"/>
        <xdr:cNvSpPr/>
      </xdr:nvSpPr>
      <xdr:spPr>
        <a:xfrm>
          <a:off x="275200" y="356450"/>
          <a:ext cx="1867800" cy="436500"/>
        </a:xfrm>
        <a:prstGeom prst="roundRect">
          <a:avLst>
            <a:gd fmla="val 16667" name="adj"/>
          </a:avLst>
        </a:prstGeom>
        <a:solidFill>
          <a:srgbClr val="040C33"/>
        </a:solidFill>
        <a:ln cap="flat" cmpd="sng" w="9525">
          <a:solidFill>
            <a:srgbClr val="040C3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</a:rPr>
            <a:t>REGISTRAR TRANSFERENCIA</a:t>
          </a:r>
          <a:endParaRPr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4</xdr:col>
      <xdr:colOff>95250</xdr:colOff>
      <xdr:row>20</xdr:row>
      <xdr:rowOff>28575</xdr:rowOff>
    </xdr:from>
    <xdr:ext cx="1895475" cy="457200"/>
    <xdr:sp>
      <xdr:nvSpPr>
        <xdr:cNvPr id="6" name="Shape 6"/>
        <xdr:cNvSpPr/>
      </xdr:nvSpPr>
      <xdr:spPr>
        <a:xfrm>
          <a:off x="275200" y="356425"/>
          <a:ext cx="1878000" cy="446700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D9D9D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LIMPIAR</a:t>
          </a:r>
          <a:r>
            <a:rPr lang="en-US" sz="1200"/>
            <a:t> FORMULARIO</a:t>
          </a:r>
          <a:endParaRPr sz="12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1219200</xdr:colOff>
      <xdr:row>6</xdr:row>
      <xdr:rowOff>152400</xdr:rowOff>
    </xdr:from>
    <xdr:ext cx="2133600" cy="409575"/>
    <xdr:sp>
      <xdr:nvSpPr>
        <xdr:cNvPr id="7" name="Shape 7"/>
        <xdr:cNvSpPr/>
      </xdr:nvSpPr>
      <xdr:spPr>
        <a:xfrm>
          <a:off x="1462875" y="366575"/>
          <a:ext cx="2111400" cy="385800"/>
        </a:xfrm>
        <a:prstGeom prst="roundRect">
          <a:avLst>
            <a:gd fmla="val 16667" name="adj"/>
          </a:avLst>
        </a:prstGeom>
        <a:solidFill>
          <a:srgbClr val="152644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</a:rPr>
            <a:t>GUARDAR COBRO</a:t>
          </a:r>
          <a:endParaRPr sz="12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4:E5" displayName="Table_1" name="Table_1" id="1">
  <tableColumns count="1">
    <tableColumn name="IMPUESTOS" id="1"/>
  </tableColumns>
  <tableStyleInfo name="BASE TRANSFERENCIAS-style" showColumnStripes="0" showFirstColumn="1" showLastColumn="1" showRowStripes="1"/>
</table>
</file>

<file path=xl/tables/table2.xml><?xml version="1.0" encoding="utf-8"?>
<table xmlns="http://schemas.openxmlformats.org/spreadsheetml/2006/main" ref="A1:K1000" displayName="COMPARACIONES" name="COMPARACIONES" id="2">
  <tableColumns count="11">
    <tableColumn name="OS" id="1"/>
    <tableColumn name="CLIENTE" id="2"/>
    <tableColumn name="FECHA" id="3"/>
    <tableColumn name="SERVICIOS CXC" id="4"/>
    <tableColumn name="SERVICIOS PREVISTO" id="5"/>
    <tableColumn name="GASTOS A TERCEROS CXC" id="6"/>
    <tableColumn name="GASTOS A TERCEROS PREVISTO" id="7"/>
    <tableColumn name="TOTAL CXC" id="8"/>
    <tableColumn name="TOTAL PREVISTO" id="9"/>
    <tableColumn name="DIFERENCIA SERVICIOS" id="10"/>
    <tableColumn name="DIFERENCIA GASTOS A TERCEROS" id="11"/>
  </tableColumns>
  <tableStyleInfo name="DATOS_COMPARACION-style" showColumnStripes="0" showFirstColumn="1" showLastColumn="1" showRowStripes="1"/>
</table>
</file>

<file path=xl/tables/table3.xml><?xml version="1.0" encoding="utf-8"?>
<table xmlns="http://schemas.openxmlformats.org/spreadsheetml/2006/main" ref="A1:G1000" displayName="ListaDatos" name="ListaDatos" id="3">
  <tableColumns count="7">
    <tableColumn name="Aforadores" id="1"/>
    <tableColumn name="Clientes" id="2"/>
    <tableColumn name="Bancos" id="3"/>
    <tableColumn name="Tipo de Gasto" id="4"/>
    <tableColumn name="OS" id="5"/>
    <tableColumn name="Tipo de Factura" id="6"/>
    <tableColumn name="Tipo de Pago" id="7"/>
  </tableColumns>
  <tableStyleInfo name="LIS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13"/>
    <col customWidth="1" min="2" max="2" width="18.5"/>
    <col customWidth="1" min="3" max="3" width="14.0"/>
    <col customWidth="1" min="4" max="4" width="15.13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4"/>
      <c r="C3" s="4"/>
      <c r="D3" s="4"/>
      <c r="E3" s="4"/>
      <c r="F3" s="5"/>
      <c r="G3" s="2"/>
      <c r="H3" s="6"/>
      <c r="I3" s="6"/>
      <c r="J3" s="6"/>
      <c r="K3" s="2"/>
    </row>
    <row r="4">
      <c r="A4" s="7" t="s">
        <v>2</v>
      </c>
      <c r="B4" s="8"/>
      <c r="C4" s="8"/>
      <c r="D4" s="8"/>
      <c r="E4" s="8"/>
      <c r="F4" s="9" t="str">
        <f>CONCATENATE(TEXT(COUNTIF('BASE OS'!A:A,"*-"&amp;TEXT(YEAR(TODAY()),"0000"))+1,"000"),"-",TEXT(YEAR(TODAY()),"0000"))</f>
        <v>001-2025</v>
      </c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3</v>
      </c>
      <c r="B6" s="4"/>
      <c r="C6" s="4"/>
      <c r="D6" s="4"/>
      <c r="E6" s="4"/>
      <c r="F6" s="5"/>
      <c r="G6" s="2"/>
      <c r="H6" s="2"/>
      <c r="I6" s="2"/>
      <c r="J6" s="2"/>
      <c r="K6" s="2"/>
    </row>
    <row r="7">
      <c r="A7" s="10" t="s">
        <v>4</v>
      </c>
      <c r="B7" s="8"/>
      <c r="C7" s="8"/>
      <c r="D7" s="8"/>
      <c r="E7" s="8"/>
      <c r="F7" s="11">
        <f>COUNTIF('BASE OS'!I:I,"No")</f>
        <v>5</v>
      </c>
      <c r="G7" s="2"/>
      <c r="H7" s="2"/>
      <c r="I7" s="2"/>
      <c r="J7" s="2"/>
      <c r="K7" s="2"/>
    </row>
    <row r="8">
      <c r="A8" s="10" t="s">
        <v>5</v>
      </c>
      <c r="B8" s="8"/>
      <c r="C8" s="8"/>
      <c r="D8" s="8"/>
      <c r="E8" s="8"/>
      <c r="F8" s="12">
        <f>COUNTIF('BASE TRANSFERENCIAS'!K:K,TODAY())</f>
        <v>0</v>
      </c>
      <c r="G8" s="2"/>
      <c r="H8" s="2"/>
      <c r="I8" s="2"/>
      <c r="J8" s="2"/>
      <c r="K8" s="2"/>
    </row>
    <row r="9">
      <c r="A9" s="2"/>
      <c r="B9" s="13"/>
      <c r="C9" s="2"/>
      <c r="D9" s="2"/>
      <c r="E9" s="2"/>
      <c r="F9" s="2"/>
      <c r="G9" s="2"/>
      <c r="H9" s="2"/>
      <c r="I9" s="2"/>
      <c r="J9" s="2"/>
      <c r="K9" s="2"/>
    </row>
    <row r="10">
      <c r="A10" s="14" t="str">
        <f>IFERROR(__xludf.DUMMYFUNCTION("QUERY(
     'BASE OS'!A:I,
     ""SELECT A, B, E, F, G, I 
     ORDER BY A DESC
     LIMIT 5"",
     1
   )"),"OS")</f>
        <v>OS</v>
      </c>
      <c r="B10" s="14" t="str">
        <f>IFERROR(__xludf.DUMMYFUNCTION("""COMPUTED_VALUE"""),"CLIENTE")</f>
        <v>CLIENTE</v>
      </c>
      <c r="C10" s="14" t="str">
        <f>IFERROR(__xludf.DUMMYFUNCTION("""COMPUTED_VALUE"""),"AFORADOR")</f>
        <v>AFORADOR</v>
      </c>
      <c r="D10" s="14" t="str">
        <f>IFERROR(__xludf.DUMMYFUNCTION("""COMPUTED_VALUE"""),"REFERENCIA / BL")</f>
        <v>REFERENCIA / BL</v>
      </c>
      <c r="E10" s="14" t="str">
        <f>IFERROR(__xludf.DUMMYFUNCTION("""COMPUTED_VALUE"""),"FECHA")</f>
        <v>FECHA</v>
      </c>
      <c r="F10" s="14" t="str">
        <f>IFERROR(__xludf.DUMMYFUNCTION("""COMPUTED_VALUE"""),"FACTURADO")</f>
        <v>FACTURADO</v>
      </c>
      <c r="G10" s="2"/>
      <c r="H10" s="2"/>
      <c r="I10" s="2"/>
      <c r="J10" s="2"/>
      <c r="K10" s="2"/>
    </row>
    <row r="11">
      <c r="A11" s="15" t="str">
        <f>IFERROR(__xludf.DUMMYFUNCTION("""COMPUTED_VALUE"""),"008-2024")</f>
        <v>008-2024</v>
      </c>
      <c r="B11" s="15" t="str">
        <f>IFERROR(__xludf.DUMMYFUNCTION("""COMPUTED_VALUE"""),"QUIMICA INDUSTRIAL")</f>
        <v>QUIMICA INDUSTRIAL</v>
      </c>
      <c r="C11" s="15" t="str">
        <f>IFERROR(__xludf.DUMMYFUNCTION("""COMPUTED_VALUE"""),"ROBERTO")</f>
        <v>ROBERTO</v>
      </c>
      <c r="D11" s="15" t="str">
        <f>IFERROR(__xludf.DUMMYFUNCTION("""COMPUTED_VALUE"""),"146-28394")</f>
        <v>146-28394</v>
      </c>
      <c r="E11" s="16">
        <f>IFERROR(__xludf.DUMMYFUNCTION("""COMPUTED_VALUE"""),45609.0)</f>
        <v>45609</v>
      </c>
      <c r="F11" s="15" t="str">
        <f>IFERROR(__xludf.DUMMYFUNCTION("""COMPUTED_VALUE"""),"No")</f>
        <v>No</v>
      </c>
      <c r="G11" s="2"/>
      <c r="H11" s="2"/>
      <c r="I11" s="2"/>
      <c r="J11" s="2"/>
      <c r="K11" s="2"/>
    </row>
    <row r="12">
      <c r="A12" s="15" t="str">
        <f>IFERROR(__xludf.DUMMYFUNCTION("""COMPUTED_VALUE"""),"007-2024")</f>
        <v>007-2024</v>
      </c>
      <c r="B12" s="15" t="str">
        <f>IFERROR(__xludf.DUMMYFUNCTION("""COMPUTED_VALUE"""),"AISAL")</f>
        <v>AISAL</v>
      </c>
      <c r="C12" s="15" t="str">
        <f>IFERROR(__xludf.DUMMYFUNCTION("""COMPUTED_VALUE"""),"MARÍA JOSE")</f>
        <v>MARÍA JOSE</v>
      </c>
      <c r="D12" s="15" t="str">
        <f>IFERROR(__xludf.DUMMYFUNCTION("""COMPUTED_VALUE"""),"146-34599")</f>
        <v>146-34599</v>
      </c>
      <c r="E12" s="16">
        <f>IFERROR(__xludf.DUMMYFUNCTION("""COMPUTED_VALUE"""),45608.0)</f>
        <v>45608</v>
      </c>
      <c r="F12" s="15" t="str">
        <f>IFERROR(__xludf.DUMMYFUNCTION("""COMPUTED_VALUE"""),"No")</f>
        <v>No</v>
      </c>
      <c r="G12" s="2"/>
      <c r="H12" s="2"/>
      <c r="I12" s="2"/>
      <c r="J12" s="2"/>
      <c r="K12" s="2"/>
    </row>
    <row r="13">
      <c r="A13" s="15" t="str">
        <f>IFERROR(__xludf.DUMMYFUNCTION("""COMPUTED_VALUE"""),"006-2024")</f>
        <v>006-2024</v>
      </c>
      <c r="B13" s="15" t="str">
        <f>IFERROR(__xludf.DUMMYFUNCTION("""COMPUTED_VALUE"""),"GEVI")</f>
        <v>GEVI</v>
      </c>
      <c r="C13" s="15" t="str">
        <f>IFERROR(__xludf.DUMMYFUNCTION("""COMPUTED_VALUE"""),"GLENDA CAÑAS")</f>
        <v>GLENDA CAÑAS</v>
      </c>
      <c r="D13" s="15" t="str">
        <f>IFERROR(__xludf.DUMMYFUNCTION("""COMPUTED_VALUE"""),"146-34251")</f>
        <v>146-34251</v>
      </c>
      <c r="E13" s="16">
        <f>IFERROR(__xludf.DUMMYFUNCTION("""COMPUTED_VALUE"""),45607.0)</f>
        <v>45607</v>
      </c>
      <c r="F13" s="15" t="str">
        <f>IFERROR(__xludf.DUMMYFUNCTION("""COMPUTED_VALUE"""),"No")</f>
        <v>No</v>
      </c>
      <c r="G13" s="2"/>
      <c r="H13" s="2"/>
      <c r="I13" s="2"/>
      <c r="J13" s="2"/>
      <c r="K13" s="2"/>
    </row>
    <row r="14">
      <c r="A14" s="15" t="str">
        <f>IFERROR(__xludf.DUMMYFUNCTION("""COMPUTED_VALUE"""),"005-2024")</f>
        <v>005-2024</v>
      </c>
      <c r="B14" s="15" t="str">
        <f>IFERROR(__xludf.DUMMYFUNCTION("""COMPUTED_VALUE"""),"AISAL")</f>
        <v>AISAL</v>
      </c>
      <c r="C14" s="15" t="str">
        <f>IFERROR(__xludf.DUMMYFUNCTION("""COMPUTED_VALUE"""),"MARÍA JOSE")</f>
        <v>MARÍA JOSE</v>
      </c>
      <c r="D14" s="15" t="str">
        <f>IFERROR(__xludf.DUMMYFUNCTION("""COMPUTED_VALUE"""),"146-34223")</f>
        <v>146-34223</v>
      </c>
      <c r="E14" s="16">
        <f>IFERROR(__xludf.DUMMYFUNCTION("""COMPUTED_VALUE"""),45607.0)</f>
        <v>45607</v>
      </c>
      <c r="F14" s="15" t="str">
        <f>IFERROR(__xludf.DUMMYFUNCTION("""COMPUTED_VALUE"""),"No")</f>
        <v>No</v>
      </c>
      <c r="G14" s="2"/>
      <c r="H14" s="2"/>
      <c r="I14" s="2"/>
      <c r="J14" s="2"/>
      <c r="K14" s="2"/>
    </row>
    <row r="15">
      <c r="A15" s="15" t="str">
        <f>IFERROR(__xludf.DUMMYFUNCTION("""COMPUTED_VALUE"""),"004-2024")</f>
        <v>004-2024</v>
      </c>
      <c r="B15" s="15" t="str">
        <f>IFERROR(__xludf.DUMMYFUNCTION("""COMPUTED_VALUE"""),"DIGICEL")</f>
        <v>DIGICEL</v>
      </c>
      <c r="C15" s="15" t="str">
        <f>IFERROR(__xludf.DUMMYFUNCTION("""COMPUTED_VALUE"""),"ROBERTO")</f>
        <v>ROBERTO</v>
      </c>
      <c r="D15" s="15" t="str">
        <f>IFERROR(__xludf.DUMMYFUNCTION("""COMPUTED_VALUE"""),"146-29934")</f>
        <v>146-29934</v>
      </c>
      <c r="E15" s="16">
        <f>IFERROR(__xludf.DUMMYFUNCTION("""COMPUTED_VALUE"""),45606.0)</f>
        <v>45606</v>
      </c>
      <c r="F15" s="15" t="str">
        <f>IFERROR(__xludf.DUMMYFUNCTION("""COMPUTED_VALUE"""),"No")</f>
        <v>No</v>
      </c>
      <c r="G15" s="2"/>
      <c r="H15" s="2"/>
      <c r="I15" s="2"/>
      <c r="J15" s="2"/>
      <c r="K15" s="2"/>
    </row>
    <row r="16">
      <c r="A16" s="17"/>
      <c r="B16" s="17"/>
      <c r="C16" s="17"/>
      <c r="D16" s="17"/>
      <c r="E16" s="17"/>
      <c r="F16" s="17"/>
      <c r="G16" s="2"/>
      <c r="H16" s="2"/>
      <c r="I16" s="2"/>
      <c r="J16" s="2"/>
      <c r="K16" s="2"/>
    </row>
    <row r="17">
      <c r="A17" s="17"/>
      <c r="B17" s="17"/>
      <c r="C17" s="17"/>
      <c r="D17" s="17"/>
      <c r="E17" s="17"/>
      <c r="F17" s="17"/>
      <c r="G17" s="2"/>
      <c r="H17" s="2"/>
      <c r="I17" s="2"/>
      <c r="J17" s="2"/>
      <c r="K17" s="2"/>
    </row>
    <row r="18">
      <c r="A18" s="17"/>
      <c r="B18" s="17"/>
      <c r="C18" s="17"/>
      <c r="D18" s="17"/>
      <c r="E18" s="17"/>
      <c r="F18" s="17"/>
      <c r="G18" s="2"/>
      <c r="H18" s="2"/>
      <c r="I18" s="2"/>
      <c r="J18" s="2"/>
      <c r="K18" s="2"/>
    </row>
    <row r="19">
      <c r="A19" s="17"/>
      <c r="B19" s="17"/>
      <c r="C19" s="17"/>
      <c r="D19" s="17"/>
      <c r="E19" s="17"/>
      <c r="F19" s="17"/>
      <c r="G19" s="2"/>
      <c r="H19" s="2"/>
      <c r="I19" s="2"/>
      <c r="J19" s="2"/>
      <c r="K19" s="2"/>
    </row>
    <row r="20">
      <c r="A20" s="17"/>
      <c r="B20" s="17"/>
      <c r="C20" s="17"/>
      <c r="D20" s="17"/>
      <c r="E20" s="17"/>
      <c r="F20" s="17"/>
      <c r="G20" s="2"/>
      <c r="H20" s="2"/>
      <c r="I20" s="2"/>
      <c r="J20" s="2"/>
      <c r="K20" s="2"/>
    </row>
    <row r="21">
      <c r="A21" s="17"/>
      <c r="B21" s="17"/>
      <c r="C21" s="17"/>
      <c r="D21" s="17"/>
      <c r="E21" s="17"/>
      <c r="F21" s="17"/>
      <c r="G21" s="2"/>
      <c r="H21" s="2"/>
      <c r="I21" s="2"/>
      <c r="J21" s="2"/>
      <c r="K21" s="2"/>
    </row>
    <row r="22">
      <c r="A22" s="17"/>
      <c r="B22" s="17"/>
      <c r="C22" s="17"/>
      <c r="D22" s="17"/>
      <c r="E22" s="17"/>
      <c r="F22" s="17"/>
      <c r="G22" s="2"/>
      <c r="H22" s="2"/>
      <c r="I22" s="2"/>
      <c r="J22" s="2"/>
      <c r="K22" s="2"/>
    </row>
    <row r="23">
      <c r="A23" s="17"/>
      <c r="B23" s="17"/>
      <c r="C23" s="17"/>
      <c r="D23" s="17"/>
      <c r="E23" s="17"/>
      <c r="F23" s="17"/>
      <c r="G23" s="2"/>
      <c r="H23" s="2"/>
      <c r="I23" s="2"/>
      <c r="J23" s="2"/>
      <c r="K23" s="2"/>
    </row>
    <row r="24">
      <c r="A24" s="17"/>
      <c r="B24" s="17"/>
      <c r="C24" s="17"/>
      <c r="D24" s="17"/>
      <c r="E24" s="17"/>
      <c r="F24" s="17"/>
      <c r="G24" s="2"/>
      <c r="H24" s="2"/>
      <c r="I24" s="2"/>
      <c r="J24" s="2"/>
      <c r="K24" s="2"/>
    </row>
    <row r="25">
      <c r="A25" s="17"/>
      <c r="B25" s="17"/>
      <c r="C25" s="17"/>
      <c r="D25" s="17"/>
      <c r="E25" s="17"/>
      <c r="F25" s="17"/>
      <c r="G25" s="2"/>
      <c r="H25" s="2"/>
      <c r="I25" s="2"/>
      <c r="J25" s="2"/>
      <c r="K25" s="2"/>
    </row>
    <row r="26">
      <c r="A26" s="17"/>
      <c r="B26" s="17"/>
      <c r="C26" s="17"/>
      <c r="D26" s="17"/>
      <c r="E26" s="17"/>
      <c r="F26" s="17"/>
      <c r="G26" s="2"/>
      <c r="H26" s="2"/>
      <c r="I26" s="2"/>
      <c r="J26" s="2"/>
      <c r="K26" s="2"/>
    </row>
    <row r="27">
      <c r="A27" s="17"/>
      <c r="B27" s="17"/>
      <c r="C27" s="17"/>
      <c r="D27" s="17"/>
      <c r="E27" s="17"/>
      <c r="F27" s="17"/>
      <c r="G27" s="2"/>
      <c r="H27" s="2"/>
      <c r="I27" s="2"/>
      <c r="J27" s="2"/>
      <c r="K27" s="2"/>
    </row>
    <row r="28">
      <c r="A28" s="17"/>
      <c r="B28" s="17"/>
      <c r="C28" s="17"/>
      <c r="D28" s="17"/>
      <c r="E28" s="17"/>
      <c r="F28" s="17"/>
      <c r="G28" s="2"/>
      <c r="H28" s="2"/>
      <c r="I28" s="2"/>
      <c r="J28" s="2"/>
      <c r="K28" s="2"/>
    </row>
    <row r="29">
      <c r="A29" s="17"/>
      <c r="B29" s="17"/>
      <c r="C29" s="17"/>
      <c r="D29" s="17"/>
      <c r="E29" s="17"/>
      <c r="F29" s="17"/>
      <c r="G29" s="2"/>
      <c r="H29" s="2"/>
      <c r="I29" s="2"/>
      <c r="J29" s="2"/>
      <c r="K29" s="2"/>
    </row>
    <row r="30">
      <c r="A30" s="17"/>
      <c r="B30" s="17"/>
      <c r="C30" s="17"/>
      <c r="D30" s="17"/>
      <c r="E30" s="17"/>
      <c r="F30" s="17"/>
      <c r="G30" s="2"/>
      <c r="H30" s="2"/>
      <c r="I30" s="2"/>
      <c r="J30" s="2"/>
      <c r="K30" s="2"/>
    </row>
    <row r="31">
      <c r="A31" s="17"/>
      <c r="B31" s="17"/>
      <c r="C31" s="17"/>
      <c r="D31" s="17"/>
      <c r="E31" s="17"/>
      <c r="F31" s="17"/>
      <c r="G31" s="2"/>
      <c r="H31" s="2"/>
      <c r="I31" s="2"/>
      <c r="J31" s="2"/>
      <c r="K31" s="2"/>
    </row>
    <row r="32">
      <c r="A32" s="17"/>
      <c r="B32" s="17"/>
      <c r="C32" s="17"/>
      <c r="D32" s="17"/>
      <c r="E32" s="17"/>
      <c r="F32" s="17"/>
      <c r="G32" s="2"/>
      <c r="H32" s="2"/>
      <c r="I32" s="2"/>
      <c r="J32" s="2"/>
      <c r="K32" s="2"/>
    </row>
    <row r="33">
      <c r="A33" s="17"/>
      <c r="B33" s="17"/>
      <c r="C33" s="17"/>
      <c r="D33" s="17"/>
      <c r="E33" s="17"/>
      <c r="F33" s="17"/>
      <c r="G33" s="2"/>
      <c r="H33" s="2"/>
      <c r="I33" s="2"/>
      <c r="J33" s="2"/>
      <c r="K33" s="2"/>
    </row>
    <row r="34">
      <c r="A34" s="17"/>
      <c r="B34" s="17"/>
      <c r="C34" s="17"/>
      <c r="D34" s="17"/>
      <c r="E34" s="17"/>
      <c r="F34" s="17"/>
      <c r="G34" s="2"/>
      <c r="H34" s="2"/>
      <c r="I34" s="2"/>
      <c r="J34" s="2"/>
      <c r="K34" s="2"/>
    </row>
    <row r="35">
      <c r="A35" s="17"/>
      <c r="B35" s="17"/>
      <c r="C35" s="17"/>
      <c r="D35" s="17"/>
      <c r="E35" s="17"/>
      <c r="F35" s="17"/>
      <c r="G35" s="2"/>
      <c r="H35" s="2"/>
      <c r="I35" s="2"/>
      <c r="J35" s="2"/>
      <c r="K35" s="2"/>
    </row>
    <row r="36">
      <c r="A36" s="17"/>
      <c r="B36" s="17"/>
      <c r="C36" s="17"/>
      <c r="D36" s="17"/>
      <c r="E36" s="17"/>
      <c r="F36" s="17"/>
      <c r="G36" s="2"/>
      <c r="H36" s="2"/>
      <c r="I36" s="2"/>
      <c r="J36" s="2"/>
      <c r="K36" s="2"/>
    </row>
    <row r="37">
      <c r="A37" s="17"/>
      <c r="B37" s="17"/>
      <c r="C37" s="17"/>
      <c r="D37" s="17"/>
      <c r="E37" s="17"/>
      <c r="F37" s="17"/>
      <c r="G37" s="2"/>
      <c r="H37" s="2"/>
      <c r="I37" s="2"/>
      <c r="J37" s="2"/>
      <c r="K37" s="2"/>
    </row>
    <row r="38">
      <c r="A38" s="17"/>
      <c r="B38" s="17"/>
      <c r="C38" s="17"/>
      <c r="D38" s="17"/>
      <c r="E38" s="17"/>
      <c r="F38" s="17"/>
      <c r="G38" s="2"/>
      <c r="H38" s="2"/>
      <c r="I38" s="2"/>
      <c r="J38" s="2"/>
      <c r="K38" s="2"/>
    </row>
    <row r="39">
      <c r="A39" s="17"/>
      <c r="B39" s="17"/>
      <c r="C39" s="17"/>
      <c r="D39" s="17"/>
      <c r="E39" s="17"/>
      <c r="F39" s="17"/>
      <c r="G39" s="2"/>
      <c r="H39" s="2"/>
      <c r="I39" s="2"/>
      <c r="J39" s="2"/>
      <c r="K39" s="2"/>
    </row>
    <row r="40">
      <c r="A40" s="17"/>
      <c r="B40" s="17"/>
      <c r="C40" s="17"/>
      <c r="D40" s="17"/>
      <c r="E40" s="17"/>
      <c r="F40" s="17"/>
      <c r="G40" s="2"/>
      <c r="H40" s="2"/>
      <c r="I40" s="2"/>
      <c r="J40" s="2"/>
      <c r="K40" s="2"/>
    </row>
    <row r="41">
      <c r="A41" s="17"/>
      <c r="B41" s="17"/>
      <c r="C41" s="17"/>
      <c r="D41" s="17"/>
      <c r="E41" s="17"/>
      <c r="F41" s="17"/>
      <c r="G41" s="2"/>
      <c r="H41" s="2"/>
      <c r="I41" s="2"/>
      <c r="J41" s="2"/>
      <c r="K41" s="2"/>
    </row>
    <row r="42">
      <c r="A42" s="17"/>
      <c r="B42" s="17"/>
      <c r="C42" s="17"/>
      <c r="D42" s="17"/>
      <c r="E42" s="17"/>
      <c r="F42" s="17"/>
      <c r="G42" s="2"/>
      <c r="H42" s="2"/>
      <c r="I42" s="2"/>
      <c r="J42" s="2"/>
      <c r="K42" s="2"/>
    </row>
    <row r="43">
      <c r="A43" s="17"/>
      <c r="B43" s="17"/>
      <c r="C43" s="17"/>
      <c r="D43" s="17"/>
      <c r="E43" s="17"/>
      <c r="F43" s="17"/>
      <c r="G43" s="2"/>
      <c r="H43" s="2"/>
      <c r="I43" s="2"/>
      <c r="J43" s="2"/>
      <c r="K43" s="2"/>
    </row>
    <row r="44">
      <c r="A44" s="17"/>
      <c r="B44" s="17"/>
      <c r="C44" s="17"/>
      <c r="D44" s="17"/>
      <c r="E44" s="17"/>
      <c r="F44" s="17"/>
      <c r="G44" s="2"/>
      <c r="H44" s="2"/>
      <c r="I44" s="2"/>
      <c r="J44" s="2"/>
      <c r="K44" s="2"/>
    </row>
    <row r="45">
      <c r="A45" s="17"/>
      <c r="B45" s="17"/>
      <c r="C45" s="17"/>
      <c r="D45" s="17"/>
      <c r="E45" s="17"/>
      <c r="F45" s="17"/>
      <c r="G45" s="2"/>
      <c r="H45" s="2"/>
      <c r="I45" s="2"/>
      <c r="J45" s="2"/>
      <c r="K45" s="2"/>
    </row>
    <row r="46">
      <c r="A46" s="17"/>
      <c r="B46" s="17"/>
      <c r="C46" s="17"/>
      <c r="D46" s="17"/>
      <c r="E46" s="17"/>
      <c r="F46" s="17"/>
      <c r="G46" s="2"/>
      <c r="H46" s="2"/>
      <c r="I46" s="2"/>
      <c r="J46" s="2"/>
      <c r="K46" s="2"/>
    </row>
    <row r="47">
      <c r="A47" s="17"/>
      <c r="B47" s="17"/>
      <c r="C47" s="17"/>
      <c r="D47" s="17"/>
      <c r="E47" s="17"/>
      <c r="F47" s="17"/>
      <c r="G47" s="2"/>
      <c r="H47" s="2"/>
      <c r="I47" s="2"/>
      <c r="J47" s="2"/>
      <c r="K47" s="2"/>
    </row>
    <row r="48">
      <c r="A48" s="17"/>
      <c r="B48" s="17"/>
      <c r="C48" s="17"/>
      <c r="D48" s="17"/>
      <c r="E48" s="17"/>
      <c r="F48" s="17"/>
      <c r="G48" s="2"/>
      <c r="H48" s="2"/>
      <c r="I48" s="2"/>
      <c r="J48" s="2"/>
      <c r="K48" s="2"/>
    </row>
    <row r="49">
      <c r="A49" s="17"/>
      <c r="B49" s="17"/>
      <c r="C49" s="17"/>
      <c r="D49" s="17"/>
      <c r="E49" s="17"/>
      <c r="F49" s="17"/>
      <c r="G49" s="2"/>
      <c r="H49" s="2"/>
      <c r="I49" s="2"/>
      <c r="J49" s="2"/>
      <c r="K49" s="2"/>
    </row>
    <row r="50">
      <c r="A50" s="17"/>
      <c r="B50" s="17"/>
      <c r="C50" s="17"/>
      <c r="D50" s="17"/>
      <c r="E50" s="17"/>
      <c r="F50" s="17"/>
      <c r="G50" s="2"/>
      <c r="H50" s="2"/>
      <c r="I50" s="2"/>
      <c r="J50" s="2"/>
      <c r="K50" s="2"/>
    </row>
    <row r="51">
      <c r="A51" s="17"/>
      <c r="B51" s="17"/>
      <c r="C51" s="17"/>
      <c r="D51" s="17"/>
      <c r="E51" s="17"/>
      <c r="F51" s="17"/>
      <c r="G51" s="2"/>
      <c r="H51" s="2"/>
      <c r="I51" s="2"/>
      <c r="J51" s="2"/>
      <c r="K51" s="2"/>
    </row>
    <row r="52">
      <c r="A52" s="17"/>
      <c r="B52" s="17"/>
      <c r="C52" s="17"/>
      <c r="D52" s="17"/>
      <c r="E52" s="17"/>
      <c r="F52" s="17"/>
      <c r="G52" s="2"/>
      <c r="H52" s="2"/>
      <c r="I52" s="2"/>
      <c r="J52" s="2"/>
      <c r="K52" s="2"/>
    </row>
    <row r="53">
      <c r="A53" s="17"/>
      <c r="B53" s="17"/>
      <c r="C53" s="17"/>
      <c r="D53" s="17"/>
      <c r="E53" s="17"/>
      <c r="F53" s="17"/>
      <c r="G53" s="2"/>
      <c r="H53" s="2"/>
      <c r="I53" s="2"/>
      <c r="J53" s="2"/>
      <c r="K53" s="2"/>
    </row>
    <row r="54">
      <c r="A54" s="17"/>
      <c r="B54" s="17"/>
      <c r="C54" s="17"/>
      <c r="D54" s="17"/>
      <c r="E54" s="17"/>
      <c r="F54" s="17"/>
      <c r="G54" s="2"/>
      <c r="H54" s="2"/>
      <c r="I54" s="2"/>
      <c r="J54" s="2"/>
      <c r="K54" s="2"/>
    </row>
    <row r="55">
      <c r="A55" s="17"/>
      <c r="B55" s="17"/>
      <c r="C55" s="17"/>
      <c r="D55" s="17"/>
      <c r="E55" s="17"/>
      <c r="F55" s="17"/>
      <c r="G55" s="2"/>
      <c r="H55" s="2"/>
      <c r="I55" s="2"/>
      <c r="J55" s="2"/>
      <c r="K55" s="2"/>
    </row>
    <row r="56">
      <c r="A56" s="17"/>
      <c r="B56" s="17"/>
      <c r="C56" s="17"/>
      <c r="D56" s="17"/>
      <c r="E56" s="17"/>
      <c r="F56" s="17"/>
      <c r="G56" s="2"/>
      <c r="H56" s="2"/>
      <c r="I56" s="2"/>
      <c r="J56" s="2"/>
      <c r="K56" s="2"/>
    </row>
    <row r="57">
      <c r="A57" s="17"/>
      <c r="B57" s="17"/>
      <c r="C57" s="17"/>
      <c r="D57" s="17"/>
      <c r="E57" s="17"/>
      <c r="F57" s="17"/>
      <c r="G57" s="2"/>
      <c r="H57" s="2"/>
      <c r="I57" s="2"/>
      <c r="J57" s="2"/>
      <c r="K57" s="2"/>
    </row>
    <row r="58">
      <c r="A58" s="17"/>
      <c r="B58" s="17"/>
      <c r="C58" s="17"/>
      <c r="D58" s="17"/>
      <c r="E58" s="17"/>
      <c r="F58" s="17"/>
      <c r="G58" s="2"/>
      <c r="H58" s="2"/>
      <c r="I58" s="2"/>
      <c r="J58" s="2"/>
      <c r="K58" s="2"/>
    </row>
    <row r="59">
      <c r="A59" s="17"/>
      <c r="B59" s="17"/>
      <c r="C59" s="17"/>
      <c r="D59" s="17"/>
      <c r="E59" s="17"/>
      <c r="F59" s="17"/>
      <c r="G59" s="2"/>
      <c r="H59" s="2"/>
      <c r="I59" s="2"/>
      <c r="J59" s="2"/>
      <c r="K59" s="2"/>
    </row>
    <row r="60">
      <c r="A60" s="17"/>
      <c r="B60" s="17"/>
      <c r="C60" s="17"/>
      <c r="D60" s="17"/>
      <c r="E60" s="17"/>
      <c r="F60" s="17"/>
      <c r="G60" s="2"/>
      <c r="H60" s="2"/>
      <c r="I60" s="2"/>
      <c r="J60" s="2"/>
      <c r="K60" s="2"/>
    </row>
    <row r="61">
      <c r="A61" s="17"/>
      <c r="B61" s="17"/>
      <c r="C61" s="17"/>
      <c r="D61" s="17"/>
      <c r="E61" s="17"/>
      <c r="F61" s="17"/>
      <c r="G61" s="2"/>
      <c r="H61" s="2"/>
      <c r="I61" s="2"/>
      <c r="J61" s="2"/>
      <c r="K61" s="2"/>
    </row>
    <row r="62">
      <c r="A62" s="17"/>
      <c r="B62" s="17"/>
      <c r="C62" s="17"/>
      <c r="D62" s="17"/>
      <c r="E62" s="17"/>
      <c r="F62" s="17"/>
      <c r="G62" s="2"/>
      <c r="H62" s="2"/>
      <c r="I62" s="2"/>
      <c r="J62" s="2"/>
      <c r="K62" s="2"/>
    </row>
    <row r="63">
      <c r="A63" s="17"/>
      <c r="B63" s="17"/>
      <c r="C63" s="17"/>
      <c r="D63" s="17"/>
      <c r="E63" s="17"/>
      <c r="F63" s="17"/>
      <c r="G63" s="2"/>
      <c r="H63" s="2"/>
      <c r="I63" s="2"/>
      <c r="J63" s="2"/>
      <c r="K63" s="2"/>
    </row>
    <row r="64">
      <c r="A64" s="17"/>
      <c r="B64" s="17"/>
      <c r="C64" s="17"/>
      <c r="D64" s="17"/>
      <c r="E64" s="17"/>
      <c r="F64" s="17"/>
      <c r="G64" s="2"/>
      <c r="H64" s="2"/>
      <c r="I64" s="2"/>
      <c r="J64" s="2"/>
      <c r="K64" s="2"/>
    </row>
    <row r="65">
      <c r="A65" s="17"/>
      <c r="B65" s="17"/>
      <c r="C65" s="17"/>
      <c r="D65" s="17"/>
      <c r="E65" s="17"/>
      <c r="F65" s="17"/>
      <c r="G65" s="2"/>
      <c r="H65" s="2"/>
      <c r="I65" s="2"/>
      <c r="J65" s="2"/>
      <c r="K65" s="2"/>
    </row>
    <row r="66">
      <c r="A66" s="17"/>
      <c r="B66" s="17"/>
      <c r="C66" s="17"/>
      <c r="D66" s="17"/>
      <c r="E66" s="17"/>
      <c r="F66" s="17"/>
      <c r="G66" s="2"/>
      <c r="H66" s="2"/>
      <c r="I66" s="2"/>
      <c r="J66" s="2"/>
      <c r="K66" s="2"/>
    </row>
    <row r="67">
      <c r="A67" s="17"/>
      <c r="B67" s="17"/>
      <c r="C67" s="17"/>
      <c r="D67" s="17"/>
      <c r="E67" s="17"/>
      <c r="F67" s="17"/>
      <c r="G67" s="2"/>
      <c r="H67" s="2"/>
      <c r="I67" s="2"/>
      <c r="J67" s="2"/>
      <c r="K67" s="2"/>
    </row>
    <row r="68">
      <c r="A68" s="17"/>
      <c r="B68" s="17"/>
      <c r="C68" s="17"/>
      <c r="D68" s="17"/>
      <c r="E68" s="17"/>
      <c r="F68" s="17"/>
      <c r="G68" s="2"/>
      <c r="H68" s="2"/>
      <c r="I68" s="2"/>
      <c r="J68" s="2"/>
      <c r="K68" s="2"/>
    </row>
    <row r="69">
      <c r="A69" s="17"/>
      <c r="B69" s="17"/>
      <c r="C69" s="17"/>
      <c r="D69" s="17"/>
      <c r="E69" s="17"/>
      <c r="F69" s="17"/>
      <c r="G69" s="2"/>
      <c r="H69" s="2"/>
      <c r="I69" s="2"/>
      <c r="J69" s="2"/>
      <c r="K69" s="2"/>
    </row>
    <row r="70">
      <c r="A70" s="17"/>
      <c r="B70" s="17"/>
      <c r="C70" s="17"/>
      <c r="D70" s="17"/>
      <c r="E70" s="17"/>
      <c r="F70" s="17"/>
      <c r="G70" s="2"/>
      <c r="H70" s="2"/>
      <c r="I70" s="2"/>
      <c r="J70" s="2"/>
      <c r="K70" s="2"/>
    </row>
    <row r="71">
      <c r="A71" s="17"/>
      <c r="B71" s="17"/>
      <c r="C71" s="17"/>
      <c r="D71" s="17"/>
      <c r="E71" s="17"/>
      <c r="F71" s="17"/>
      <c r="G71" s="2"/>
      <c r="H71" s="2"/>
      <c r="I71" s="2"/>
      <c r="J71" s="2"/>
      <c r="K71" s="2"/>
    </row>
    <row r="72">
      <c r="A72" s="17"/>
      <c r="B72" s="17"/>
      <c r="C72" s="17"/>
      <c r="D72" s="17"/>
      <c r="E72" s="17"/>
      <c r="F72" s="17"/>
      <c r="G72" s="2"/>
      <c r="H72" s="2"/>
      <c r="I72" s="2"/>
      <c r="J72" s="2"/>
      <c r="K72" s="2"/>
    </row>
    <row r="73">
      <c r="A73" s="17"/>
      <c r="B73" s="17"/>
      <c r="C73" s="17"/>
      <c r="D73" s="17"/>
      <c r="E73" s="17"/>
      <c r="F73" s="17"/>
      <c r="G73" s="2"/>
      <c r="H73" s="2"/>
      <c r="I73" s="2"/>
      <c r="J73" s="2"/>
      <c r="K73" s="2"/>
    </row>
    <row r="74">
      <c r="A74" s="17"/>
      <c r="B74" s="17"/>
      <c r="C74" s="17"/>
      <c r="D74" s="17"/>
      <c r="E74" s="17"/>
      <c r="F74" s="17"/>
      <c r="G74" s="2"/>
      <c r="H74" s="2"/>
      <c r="I74" s="2"/>
      <c r="J74" s="2"/>
      <c r="K74" s="2"/>
    </row>
    <row r="75">
      <c r="A75" s="17"/>
      <c r="B75" s="17"/>
      <c r="C75" s="17"/>
      <c r="D75" s="17"/>
      <c r="E75" s="17"/>
      <c r="F75" s="17"/>
      <c r="G75" s="2"/>
      <c r="H75" s="2"/>
      <c r="I75" s="2"/>
      <c r="J75" s="2"/>
      <c r="K75" s="2"/>
    </row>
    <row r="76">
      <c r="A76" s="17"/>
      <c r="B76" s="17"/>
      <c r="C76" s="17"/>
      <c r="D76" s="17"/>
      <c r="E76" s="17"/>
      <c r="F76" s="17"/>
      <c r="G76" s="2"/>
      <c r="H76" s="2"/>
      <c r="I76" s="2"/>
      <c r="J76" s="2"/>
      <c r="K76" s="2"/>
    </row>
    <row r="77">
      <c r="A77" s="17"/>
      <c r="B77" s="17"/>
      <c r="C77" s="17"/>
      <c r="D77" s="17"/>
      <c r="E77" s="17"/>
      <c r="F77" s="17"/>
      <c r="G77" s="2"/>
      <c r="H77" s="2"/>
      <c r="I77" s="2"/>
      <c r="J77" s="2"/>
      <c r="K77" s="2"/>
    </row>
    <row r="78">
      <c r="A78" s="17"/>
      <c r="B78" s="17"/>
      <c r="C78" s="17"/>
      <c r="D78" s="17"/>
      <c r="E78" s="17"/>
      <c r="F78" s="17"/>
      <c r="G78" s="2"/>
      <c r="H78" s="2"/>
      <c r="I78" s="2"/>
      <c r="J78" s="2"/>
      <c r="K78" s="2"/>
    </row>
    <row r="79">
      <c r="A79" s="17"/>
      <c r="B79" s="17"/>
      <c r="C79" s="17"/>
      <c r="D79" s="17"/>
      <c r="E79" s="17"/>
      <c r="F79" s="17"/>
      <c r="G79" s="2"/>
      <c r="H79" s="2"/>
      <c r="I79" s="2"/>
      <c r="J79" s="2"/>
      <c r="K79" s="2"/>
    </row>
    <row r="80">
      <c r="A80" s="17"/>
      <c r="B80" s="17"/>
      <c r="C80" s="17"/>
      <c r="D80" s="17"/>
      <c r="E80" s="17"/>
      <c r="F80" s="17"/>
      <c r="G80" s="2"/>
      <c r="H80" s="2"/>
      <c r="I80" s="2"/>
      <c r="J80" s="2"/>
      <c r="K80" s="2"/>
    </row>
    <row r="81">
      <c r="A81" s="17"/>
      <c r="B81" s="17"/>
      <c r="C81" s="17"/>
      <c r="D81" s="17"/>
      <c r="E81" s="17"/>
      <c r="F81" s="17"/>
      <c r="G81" s="2"/>
      <c r="H81" s="2"/>
      <c r="I81" s="2"/>
      <c r="J81" s="2"/>
      <c r="K81" s="2"/>
    </row>
    <row r="82">
      <c r="A82" s="17"/>
      <c r="B82" s="17"/>
      <c r="C82" s="17"/>
      <c r="D82" s="17"/>
      <c r="E82" s="17"/>
      <c r="F82" s="17"/>
      <c r="G82" s="2"/>
      <c r="H82" s="2"/>
      <c r="I82" s="2"/>
      <c r="J82" s="2"/>
      <c r="K82" s="2"/>
    </row>
    <row r="83">
      <c r="A83" s="17"/>
      <c r="B83" s="17"/>
      <c r="C83" s="17"/>
      <c r="D83" s="17"/>
      <c r="E83" s="17"/>
      <c r="F83" s="17"/>
      <c r="G83" s="2"/>
      <c r="H83" s="2"/>
      <c r="I83" s="2"/>
      <c r="J83" s="2"/>
      <c r="K83" s="2"/>
    </row>
    <row r="84">
      <c r="A84" s="17"/>
      <c r="B84" s="17"/>
      <c r="C84" s="17"/>
      <c r="D84" s="17"/>
      <c r="E84" s="17"/>
      <c r="F84" s="17"/>
      <c r="G84" s="2"/>
      <c r="H84" s="2"/>
      <c r="I84" s="2"/>
      <c r="J84" s="2"/>
      <c r="K84" s="2"/>
    </row>
    <row r="85">
      <c r="A85" s="17"/>
      <c r="B85" s="17"/>
      <c r="C85" s="17"/>
      <c r="D85" s="17"/>
      <c r="E85" s="17"/>
      <c r="F85" s="17"/>
      <c r="G85" s="2"/>
      <c r="H85" s="2"/>
      <c r="I85" s="2"/>
      <c r="J85" s="2"/>
      <c r="K85" s="2"/>
    </row>
    <row r="86">
      <c r="A86" s="17"/>
      <c r="B86" s="17"/>
      <c r="C86" s="17"/>
      <c r="D86" s="17"/>
      <c r="E86" s="17"/>
      <c r="F86" s="17"/>
      <c r="G86" s="2"/>
      <c r="H86" s="2"/>
      <c r="I86" s="2"/>
      <c r="J86" s="2"/>
      <c r="K86" s="2"/>
    </row>
    <row r="87">
      <c r="A87" s="17"/>
      <c r="B87" s="17"/>
      <c r="C87" s="17"/>
      <c r="D87" s="17"/>
      <c r="E87" s="17"/>
      <c r="F87" s="17"/>
      <c r="G87" s="2"/>
      <c r="H87" s="2"/>
      <c r="I87" s="2"/>
      <c r="J87" s="2"/>
      <c r="K87" s="2"/>
    </row>
    <row r="88">
      <c r="A88" s="17"/>
      <c r="B88" s="17"/>
      <c r="C88" s="17"/>
      <c r="D88" s="17"/>
      <c r="E88" s="17"/>
      <c r="F88" s="17"/>
      <c r="G88" s="2"/>
      <c r="H88" s="2"/>
      <c r="I88" s="2"/>
      <c r="J88" s="2"/>
      <c r="K88" s="2"/>
    </row>
    <row r="89">
      <c r="A89" s="17"/>
      <c r="B89" s="17"/>
      <c r="C89" s="17"/>
      <c r="D89" s="17"/>
      <c r="E89" s="17"/>
      <c r="F89" s="17"/>
      <c r="G89" s="2"/>
      <c r="H89" s="2"/>
      <c r="I89" s="2"/>
      <c r="J89" s="2"/>
      <c r="K89" s="2"/>
    </row>
    <row r="90">
      <c r="A90" s="17"/>
      <c r="B90" s="17"/>
      <c r="C90" s="17"/>
      <c r="D90" s="17"/>
      <c r="E90" s="17"/>
      <c r="F90" s="17"/>
      <c r="G90" s="2"/>
      <c r="H90" s="2"/>
      <c r="I90" s="2"/>
      <c r="J90" s="2"/>
      <c r="K90" s="2"/>
    </row>
    <row r="91">
      <c r="A91" s="17"/>
      <c r="B91" s="17"/>
      <c r="C91" s="17"/>
      <c r="D91" s="17"/>
      <c r="E91" s="17"/>
      <c r="F91" s="17"/>
      <c r="G91" s="2"/>
      <c r="H91" s="2"/>
      <c r="I91" s="2"/>
      <c r="J91" s="2"/>
      <c r="K91" s="2"/>
    </row>
    <row r="92">
      <c r="A92" s="17"/>
      <c r="B92" s="17"/>
      <c r="C92" s="17"/>
      <c r="D92" s="17"/>
      <c r="E92" s="17"/>
      <c r="F92" s="17"/>
      <c r="G92" s="2"/>
      <c r="H92" s="2"/>
      <c r="I92" s="2"/>
      <c r="J92" s="2"/>
      <c r="K92" s="2"/>
    </row>
    <row r="93">
      <c r="A93" s="17"/>
      <c r="B93" s="17"/>
      <c r="C93" s="17"/>
      <c r="D93" s="17"/>
      <c r="E93" s="17"/>
      <c r="F93" s="17"/>
      <c r="G93" s="2"/>
      <c r="H93" s="2"/>
      <c r="I93" s="2"/>
      <c r="J93" s="2"/>
      <c r="K93" s="2"/>
    </row>
    <row r="94">
      <c r="A94" s="17"/>
      <c r="B94" s="17"/>
      <c r="C94" s="17"/>
      <c r="D94" s="17"/>
      <c r="E94" s="17"/>
      <c r="F94" s="17"/>
      <c r="G94" s="2"/>
      <c r="H94" s="2"/>
      <c r="I94" s="2"/>
      <c r="J94" s="2"/>
      <c r="K94" s="2"/>
    </row>
    <row r="95">
      <c r="A95" s="17"/>
      <c r="B95" s="17"/>
      <c r="C95" s="17"/>
      <c r="D95" s="17"/>
      <c r="E95" s="17"/>
      <c r="F95" s="17"/>
      <c r="G95" s="2"/>
      <c r="H95" s="2"/>
      <c r="I95" s="2"/>
      <c r="J95" s="2"/>
      <c r="K95" s="2"/>
    </row>
    <row r="96">
      <c r="A96" s="17"/>
      <c r="B96" s="17"/>
      <c r="C96" s="17"/>
      <c r="D96" s="17"/>
      <c r="E96" s="17"/>
      <c r="F96" s="17"/>
      <c r="G96" s="2"/>
      <c r="H96" s="2"/>
      <c r="I96" s="2"/>
      <c r="J96" s="2"/>
      <c r="K96" s="2"/>
    </row>
    <row r="97">
      <c r="A97" s="17"/>
      <c r="B97" s="17"/>
      <c r="C97" s="17"/>
      <c r="D97" s="17"/>
      <c r="E97" s="17"/>
      <c r="F97" s="17"/>
      <c r="G97" s="2"/>
      <c r="H97" s="2"/>
      <c r="I97" s="2"/>
      <c r="J97" s="2"/>
      <c r="K97" s="2"/>
    </row>
    <row r="98">
      <c r="A98" s="17"/>
      <c r="B98" s="17"/>
      <c r="C98" s="17"/>
      <c r="D98" s="17"/>
      <c r="E98" s="17"/>
      <c r="F98" s="17"/>
      <c r="G98" s="2"/>
      <c r="H98" s="2"/>
      <c r="I98" s="2"/>
      <c r="J98" s="2"/>
      <c r="K98" s="2"/>
    </row>
    <row r="99">
      <c r="A99" s="17"/>
      <c r="B99" s="17"/>
      <c r="C99" s="17"/>
      <c r="D99" s="17"/>
      <c r="E99" s="17"/>
      <c r="F99" s="17"/>
      <c r="G99" s="2"/>
      <c r="H99" s="2"/>
      <c r="I99" s="2"/>
      <c r="J99" s="2"/>
      <c r="K99" s="2"/>
    </row>
    <row r="100">
      <c r="A100" s="17"/>
      <c r="B100" s="17"/>
      <c r="C100" s="17"/>
      <c r="D100" s="17"/>
      <c r="E100" s="17"/>
      <c r="F100" s="17"/>
      <c r="G100" s="2"/>
      <c r="H100" s="2"/>
      <c r="I100" s="2"/>
      <c r="J100" s="2"/>
      <c r="K100" s="2"/>
    </row>
    <row r="101">
      <c r="A101" s="17"/>
      <c r="B101" s="17"/>
      <c r="C101" s="17"/>
      <c r="D101" s="17"/>
      <c r="E101" s="17"/>
      <c r="F101" s="17"/>
      <c r="G101" s="2"/>
      <c r="H101" s="2"/>
      <c r="I101" s="2"/>
      <c r="J101" s="2"/>
      <c r="K101" s="2"/>
    </row>
    <row r="102">
      <c r="A102" s="17"/>
      <c r="B102" s="17"/>
      <c r="C102" s="17"/>
      <c r="D102" s="17"/>
      <c r="E102" s="17"/>
      <c r="F102" s="17"/>
      <c r="G102" s="2"/>
      <c r="H102" s="2"/>
      <c r="I102" s="2"/>
      <c r="J102" s="2"/>
      <c r="K102" s="2"/>
    </row>
    <row r="103">
      <c r="A103" s="17"/>
      <c r="B103" s="17"/>
      <c r="C103" s="17"/>
      <c r="D103" s="17"/>
      <c r="E103" s="17"/>
      <c r="F103" s="17"/>
      <c r="G103" s="2"/>
      <c r="H103" s="2"/>
      <c r="I103" s="2"/>
      <c r="J103" s="2"/>
      <c r="K103" s="2"/>
    </row>
    <row r="104">
      <c r="A104" s="17"/>
      <c r="B104" s="17"/>
      <c r="C104" s="17"/>
      <c r="D104" s="17"/>
      <c r="E104" s="17"/>
      <c r="F104" s="17"/>
      <c r="G104" s="2"/>
      <c r="H104" s="2"/>
      <c r="I104" s="2"/>
      <c r="J104" s="2"/>
      <c r="K104" s="2"/>
    </row>
    <row r="105">
      <c r="A105" s="17"/>
      <c r="B105" s="17"/>
      <c r="C105" s="17"/>
      <c r="D105" s="17"/>
      <c r="E105" s="17"/>
      <c r="F105" s="17"/>
      <c r="G105" s="2"/>
      <c r="H105" s="2"/>
      <c r="I105" s="2"/>
      <c r="J105" s="2"/>
      <c r="K105" s="2"/>
    </row>
    <row r="106">
      <c r="A106" s="17"/>
      <c r="B106" s="17"/>
      <c r="C106" s="17"/>
      <c r="D106" s="17"/>
      <c r="E106" s="17"/>
      <c r="F106" s="17"/>
      <c r="G106" s="2"/>
      <c r="H106" s="2"/>
      <c r="I106" s="2"/>
      <c r="J106" s="2"/>
      <c r="K106" s="2"/>
    </row>
    <row r="107">
      <c r="A107" s="17"/>
      <c r="B107" s="17"/>
      <c r="C107" s="17"/>
      <c r="D107" s="17"/>
      <c r="E107" s="17"/>
      <c r="F107" s="17"/>
      <c r="G107" s="2"/>
      <c r="H107" s="2"/>
      <c r="I107" s="2"/>
      <c r="J107" s="2"/>
      <c r="K107" s="2"/>
    </row>
    <row r="108">
      <c r="A108" s="17"/>
      <c r="B108" s="17"/>
      <c r="C108" s="17"/>
      <c r="D108" s="17"/>
      <c r="E108" s="17"/>
      <c r="F108" s="17"/>
      <c r="G108" s="2"/>
      <c r="H108" s="2"/>
      <c r="I108" s="2"/>
      <c r="J108" s="2"/>
      <c r="K108" s="2"/>
    </row>
    <row r="109">
      <c r="A109" s="17"/>
      <c r="B109" s="17"/>
      <c r="C109" s="17"/>
      <c r="D109" s="17"/>
      <c r="E109" s="17"/>
      <c r="F109" s="17"/>
      <c r="G109" s="2"/>
      <c r="H109" s="2"/>
      <c r="I109" s="2"/>
      <c r="J109" s="2"/>
      <c r="K109" s="2"/>
    </row>
    <row r="110">
      <c r="A110" s="17"/>
      <c r="B110" s="17"/>
      <c r="C110" s="17"/>
      <c r="D110" s="17"/>
      <c r="E110" s="17"/>
      <c r="F110" s="17"/>
      <c r="G110" s="2"/>
      <c r="H110" s="2"/>
      <c r="I110" s="2"/>
      <c r="J110" s="2"/>
      <c r="K110" s="2"/>
    </row>
    <row r="111">
      <c r="A111" s="17"/>
      <c r="B111" s="17"/>
      <c r="C111" s="17"/>
      <c r="D111" s="17"/>
      <c r="E111" s="17"/>
      <c r="F111" s="17"/>
      <c r="G111" s="2"/>
      <c r="H111" s="2"/>
      <c r="I111" s="2"/>
      <c r="J111" s="2"/>
      <c r="K111" s="2"/>
    </row>
    <row r="112">
      <c r="A112" s="17"/>
      <c r="B112" s="17"/>
      <c r="C112" s="17"/>
      <c r="D112" s="17"/>
      <c r="E112" s="17"/>
      <c r="F112" s="17"/>
      <c r="G112" s="2"/>
      <c r="H112" s="2"/>
      <c r="I112" s="2"/>
      <c r="J112" s="2"/>
      <c r="K112" s="2"/>
    </row>
    <row r="113">
      <c r="A113" s="17"/>
      <c r="B113" s="17"/>
      <c r="C113" s="17"/>
      <c r="D113" s="17"/>
      <c r="E113" s="17"/>
      <c r="F113" s="17"/>
      <c r="G113" s="2"/>
      <c r="H113" s="2"/>
      <c r="I113" s="2"/>
      <c r="J113" s="2"/>
      <c r="K113" s="2"/>
    </row>
    <row r="114">
      <c r="A114" s="17"/>
      <c r="B114" s="17"/>
      <c r="C114" s="17"/>
      <c r="D114" s="17"/>
      <c r="E114" s="17"/>
      <c r="F114" s="17"/>
      <c r="G114" s="2"/>
      <c r="H114" s="2"/>
      <c r="I114" s="2"/>
      <c r="J114" s="2"/>
      <c r="K114" s="2"/>
    </row>
    <row r="115">
      <c r="A115" s="17"/>
      <c r="B115" s="17"/>
      <c r="C115" s="17"/>
      <c r="D115" s="17"/>
      <c r="E115" s="17"/>
      <c r="F115" s="17"/>
      <c r="G115" s="2"/>
      <c r="H115" s="2"/>
      <c r="I115" s="2"/>
      <c r="J115" s="2"/>
      <c r="K115" s="2"/>
    </row>
    <row r="116">
      <c r="A116" s="17"/>
      <c r="B116" s="17"/>
      <c r="C116" s="17"/>
      <c r="D116" s="17"/>
      <c r="E116" s="17"/>
      <c r="F116" s="17"/>
      <c r="G116" s="2"/>
      <c r="H116" s="2"/>
      <c r="I116" s="2"/>
      <c r="J116" s="2"/>
      <c r="K116" s="2"/>
    </row>
    <row r="117">
      <c r="A117" s="17"/>
      <c r="B117" s="17"/>
      <c r="C117" s="17"/>
      <c r="D117" s="17"/>
      <c r="E117" s="17"/>
      <c r="F117" s="17"/>
      <c r="G117" s="2"/>
      <c r="H117" s="2"/>
      <c r="I117" s="2"/>
      <c r="J117" s="2"/>
      <c r="K117" s="2"/>
    </row>
    <row r="118">
      <c r="A118" s="17"/>
      <c r="B118" s="17"/>
      <c r="C118" s="17"/>
      <c r="D118" s="17"/>
      <c r="E118" s="17"/>
      <c r="F118" s="17"/>
      <c r="G118" s="2"/>
      <c r="H118" s="2"/>
      <c r="I118" s="2"/>
      <c r="J118" s="2"/>
      <c r="K118" s="2"/>
    </row>
    <row r="119">
      <c r="A119" s="17"/>
      <c r="B119" s="17"/>
      <c r="C119" s="17"/>
      <c r="D119" s="17"/>
      <c r="E119" s="17"/>
      <c r="F119" s="17"/>
      <c r="G119" s="2"/>
      <c r="H119" s="2"/>
      <c r="I119" s="2"/>
      <c r="J119" s="2"/>
      <c r="K119" s="2"/>
    </row>
    <row r="120">
      <c r="A120" s="17"/>
      <c r="B120" s="17"/>
      <c r="C120" s="17"/>
      <c r="D120" s="17"/>
      <c r="E120" s="17"/>
      <c r="F120" s="17"/>
      <c r="G120" s="2"/>
      <c r="H120" s="2"/>
      <c r="I120" s="2"/>
      <c r="J120" s="2"/>
      <c r="K120" s="2"/>
    </row>
    <row r="121">
      <c r="A121" s="17"/>
      <c r="B121" s="17"/>
      <c r="C121" s="17"/>
      <c r="D121" s="17"/>
      <c r="E121" s="17"/>
      <c r="F121" s="17"/>
      <c r="G121" s="2"/>
      <c r="H121" s="2"/>
      <c r="I121" s="2"/>
      <c r="J121" s="2"/>
      <c r="K121" s="2"/>
    </row>
    <row r="122">
      <c r="A122" s="17"/>
      <c r="B122" s="17"/>
      <c r="C122" s="17"/>
      <c r="D122" s="17"/>
      <c r="E122" s="17"/>
      <c r="F122" s="17"/>
      <c r="G122" s="2"/>
      <c r="H122" s="2"/>
      <c r="I122" s="2"/>
      <c r="J122" s="2"/>
      <c r="K122" s="2"/>
    </row>
    <row r="123">
      <c r="A123" s="17"/>
      <c r="B123" s="17"/>
      <c r="C123" s="17"/>
      <c r="D123" s="17"/>
      <c r="E123" s="17"/>
      <c r="F123" s="17"/>
      <c r="G123" s="2"/>
      <c r="H123" s="2"/>
      <c r="I123" s="2"/>
      <c r="J123" s="2"/>
      <c r="K123" s="2"/>
    </row>
    <row r="124">
      <c r="A124" s="17"/>
      <c r="B124" s="17"/>
      <c r="C124" s="17"/>
      <c r="D124" s="17"/>
      <c r="E124" s="17"/>
      <c r="F124" s="17"/>
      <c r="G124" s="2"/>
      <c r="H124" s="2"/>
      <c r="I124" s="2"/>
      <c r="J124" s="2"/>
      <c r="K124" s="2"/>
    </row>
    <row r="125">
      <c r="A125" s="17"/>
      <c r="B125" s="17"/>
      <c r="C125" s="17"/>
      <c r="D125" s="17"/>
      <c r="E125" s="17"/>
      <c r="F125" s="17"/>
      <c r="G125" s="2"/>
      <c r="H125" s="2"/>
      <c r="I125" s="2"/>
      <c r="J125" s="2"/>
      <c r="K125" s="2"/>
    </row>
    <row r="126">
      <c r="A126" s="17"/>
      <c r="B126" s="17"/>
      <c r="C126" s="17"/>
      <c r="D126" s="17"/>
      <c r="E126" s="17"/>
      <c r="F126" s="17"/>
      <c r="G126" s="2"/>
      <c r="H126" s="2"/>
      <c r="I126" s="2"/>
      <c r="J126" s="2"/>
      <c r="K126" s="2"/>
    </row>
    <row r="127">
      <c r="A127" s="17"/>
      <c r="B127" s="17"/>
      <c r="C127" s="17"/>
      <c r="D127" s="17"/>
      <c r="E127" s="17"/>
      <c r="F127" s="17"/>
      <c r="G127" s="2"/>
      <c r="H127" s="2"/>
      <c r="I127" s="2"/>
      <c r="J127" s="2"/>
      <c r="K127" s="2"/>
    </row>
    <row r="128">
      <c r="A128" s="17"/>
      <c r="B128" s="17"/>
      <c r="C128" s="17"/>
      <c r="D128" s="17"/>
      <c r="E128" s="17"/>
      <c r="F128" s="17"/>
      <c r="G128" s="2"/>
      <c r="H128" s="2"/>
      <c r="I128" s="2"/>
      <c r="J128" s="2"/>
      <c r="K128" s="2"/>
    </row>
    <row r="129">
      <c r="A129" s="17"/>
      <c r="B129" s="17"/>
      <c r="C129" s="17"/>
      <c r="D129" s="17"/>
      <c r="E129" s="17"/>
      <c r="F129" s="17"/>
      <c r="G129" s="2"/>
      <c r="H129" s="2"/>
      <c r="I129" s="2"/>
      <c r="J129" s="2"/>
      <c r="K129" s="2"/>
    </row>
    <row r="130">
      <c r="A130" s="17"/>
      <c r="B130" s="17"/>
      <c r="C130" s="17"/>
      <c r="D130" s="17"/>
      <c r="E130" s="17"/>
      <c r="F130" s="17"/>
      <c r="G130" s="2"/>
      <c r="H130" s="2"/>
      <c r="I130" s="2"/>
      <c r="J130" s="2"/>
      <c r="K130" s="2"/>
    </row>
    <row r="131">
      <c r="A131" s="17"/>
      <c r="B131" s="17"/>
      <c r="C131" s="17"/>
      <c r="D131" s="17"/>
      <c r="E131" s="17"/>
      <c r="F131" s="17"/>
      <c r="G131" s="2"/>
      <c r="H131" s="2"/>
      <c r="I131" s="2"/>
      <c r="J131" s="2"/>
      <c r="K131" s="2"/>
    </row>
    <row r="132">
      <c r="A132" s="17"/>
      <c r="B132" s="17"/>
      <c r="C132" s="17"/>
      <c r="D132" s="17"/>
      <c r="E132" s="17"/>
      <c r="F132" s="17"/>
      <c r="G132" s="2"/>
      <c r="H132" s="2"/>
      <c r="I132" s="2"/>
      <c r="J132" s="2"/>
      <c r="K132" s="2"/>
    </row>
    <row r="133">
      <c r="A133" s="17"/>
      <c r="B133" s="17"/>
      <c r="C133" s="17"/>
      <c r="D133" s="17"/>
      <c r="E133" s="17"/>
      <c r="F133" s="17"/>
      <c r="G133" s="2"/>
      <c r="H133" s="2"/>
      <c r="I133" s="2"/>
      <c r="J133" s="2"/>
      <c r="K133" s="2"/>
    </row>
    <row r="134">
      <c r="A134" s="17"/>
      <c r="B134" s="17"/>
      <c r="C134" s="17"/>
      <c r="D134" s="17"/>
      <c r="E134" s="17"/>
      <c r="F134" s="17"/>
      <c r="G134" s="2"/>
      <c r="H134" s="2"/>
      <c r="I134" s="2"/>
      <c r="J134" s="2"/>
      <c r="K134" s="2"/>
    </row>
    <row r="135">
      <c r="A135" s="17"/>
      <c r="B135" s="17"/>
      <c r="C135" s="17"/>
      <c r="D135" s="17"/>
      <c r="E135" s="17"/>
      <c r="F135" s="17"/>
      <c r="G135" s="2"/>
      <c r="H135" s="2"/>
      <c r="I135" s="2"/>
      <c r="J135" s="2"/>
      <c r="K135" s="2"/>
    </row>
    <row r="136">
      <c r="A136" s="17"/>
      <c r="B136" s="17"/>
      <c r="C136" s="17"/>
      <c r="D136" s="17"/>
      <c r="E136" s="17"/>
      <c r="F136" s="17"/>
      <c r="G136" s="2"/>
      <c r="H136" s="2"/>
      <c r="I136" s="2"/>
      <c r="J136" s="2"/>
      <c r="K136" s="2"/>
    </row>
    <row r="137">
      <c r="A137" s="17"/>
      <c r="B137" s="17"/>
      <c r="C137" s="17"/>
      <c r="D137" s="17"/>
      <c r="E137" s="17"/>
      <c r="F137" s="17"/>
      <c r="G137" s="2"/>
      <c r="H137" s="2"/>
      <c r="I137" s="2"/>
      <c r="J137" s="2"/>
      <c r="K137" s="2"/>
    </row>
    <row r="138">
      <c r="A138" s="17"/>
      <c r="B138" s="17"/>
      <c r="C138" s="17"/>
      <c r="D138" s="17"/>
      <c r="E138" s="17"/>
      <c r="F138" s="17"/>
      <c r="G138" s="2"/>
      <c r="H138" s="2"/>
      <c r="I138" s="2"/>
      <c r="J138" s="2"/>
      <c r="K138" s="2"/>
    </row>
    <row r="139">
      <c r="A139" s="17"/>
      <c r="B139" s="17"/>
      <c r="C139" s="17"/>
      <c r="D139" s="17"/>
      <c r="E139" s="17"/>
      <c r="F139" s="17"/>
      <c r="G139" s="2"/>
      <c r="H139" s="2"/>
      <c r="I139" s="2"/>
      <c r="J139" s="2"/>
      <c r="K139" s="2"/>
    </row>
    <row r="140">
      <c r="A140" s="17"/>
      <c r="B140" s="17"/>
      <c r="C140" s="17"/>
      <c r="D140" s="17"/>
      <c r="E140" s="17"/>
      <c r="F140" s="17"/>
      <c r="G140" s="2"/>
      <c r="H140" s="2"/>
      <c r="I140" s="2"/>
      <c r="J140" s="2"/>
      <c r="K140" s="2"/>
    </row>
    <row r="141">
      <c r="A141" s="17"/>
      <c r="B141" s="17"/>
      <c r="C141" s="17"/>
      <c r="D141" s="17"/>
      <c r="E141" s="17"/>
      <c r="F141" s="17"/>
      <c r="G141" s="2"/>
      <c r="H141" s="2"/>
      <c r="I141" s="2"/>
      <c r="J141" s="2"/>
      <c r="K141" s="2"/>
    </row>
    <row r="142">
      <c r="A142" s="17"/>
      <c r="B142" s="17"/>
      <c r="C142" s="17"/>
      <c r="D142" s="17"/>
      <c r="E142" s="17"/>
      <c r="F142" s="17"/>
      <c r="G142" s="2"/>
      <c r="H142" s="2"/>
      <c r="I142" s="2"/>
      <c r="J142" s="2"/>
      <c r="K142" s="2"/>
    </row>
    <row r="143">
      <c r="A143" s="17"/>
      <c r="B143" s="17"/>
      <c r="C143" s="17"/>
      <c r="D143" s="17"/>
      <c r="E143" s="17"/>
      <c r="F143" s="17"/>
      <c r="G143" s="2"/>
      <c r="H143" s="2"/>
      <c r="I143" s="2"/>
      <c r="J143" s="2"/>
      <c r="K143" s="2"/>
    </row>
    <row r="144">
      <c r="A144" s="17"/>
      <c r="B144" s="17"/>
      <c r="C144" s="17"/>
      <c r="D144" s="17"/>
      <c r="E144" s="17"/>
      <c r="F144" s="17"/>
      <c r="G144" s="2"/>
      <c r="H144" s="2"/>
      <c r="I144" s="2"/>
      <c r="J144" s="2"/>
      <c r="K144" s="2"/>
    </row>
    <row r="145">
      <c r="A145" s="17"/>
      <c r="B145" s="17"/>
      <c r="C145" s="17"/>
      <c r="D145" s="17"/>
      <c r="E145" s="17"/>
      <c r="F145" s="17"/>
      <c r="G145" s="2"/>
      <c r="H145" s="2"/>
      <c r="I145" s="2"/>
      <c r="J145" s="2"/>
      <c r="K145" s="2"/>
    </row>
    <row r="146">
      <c r="A146" s="17"/>
      <c r="B146" s="17"/>
      <c r="C146" s="17"/>
      <c r="D146" s="17"/>
      <c r="E146" s="17"/>
      <c r="F146" s="17"/>
      <c r="G146" s="2"/>
      <c r="H146" s="2"/>
      <c r="I146" s="2"/>
      <c r="J146" s="2"/>
      <c r="K146" s="2"/>
    </row>
    <row r="147">
      <c r="A147" s="17"/>
      <c r="B147" s="17"/>
      <c r="C147" s="17"/>
      <c r="D147" s="17"/>
      <c r="E147" s="17"/>
      <c r="F147" s="17"/>
      <c r="G147" s="2"/>
      <c r="H147" s="2"/>
      <c r="I147" s="2"/>
      <c r="J147" s="2"/>
      <c r="K147" s="2"/>
    </row>
    <row r="148">
      <c r="A148" s="17"/>
      <c r="B148" s="17"/>
      <c r="C148" s="17"/>
      <c r="D148" s="17"/>
      <c r="E148" s="17"/>
      <c r="F148" s="17"/>
      <c r="G148" s="2"/>
      <c r="H148" s="2"/>
      <c r="I148" s="2"/>
      <c r="J148" s="2"/>
      <c r="K148" s="2"/>
    </row>
    <row r="149">
      <c r="A149" s="17"/>
      <c r="B149" s="17"/>
      <c r="C149" s="17"/>
      <c r="D149" s="17"/>
      <c r="E149" s="17"/>
      <c r="F149" s="17"/>
      <c r="G149" s="2"/>
      <c r="H149" s="2"/>
      <c r="I149" s="2"/>
      <c r="J149" s="2"/>
      <c r="K149" s="2"/>
    </row>
    <row r="150">
      <c r="A150" s="17"/>
      <c r="B150" s="17"/>
      <c r="C150" s="17"/>
      <c r="D150" s="17"/>
      <c r="E150" s="17"/>
      <c r="F150" s="17"/>
      <c r="G150" s="2"/>
      <c r="H150" s="2"/>
      <c r="I150" s="2"/>
      <c r="J150" s="2"/>
      <c r="K150" s="2"/>
    </row>
    <row r="151">
      <c r="A151" s="17"/>
      <c r="B151" s="17"/>
      <c r="C151" s="17"/>
      <c r="D151" s="17"/>
      <c r="E151" s="17"/>
      <c r="F151" s="17"/>
      <c r="G151" s="2"/>
      <c r="H151" s="2"/>
      <c r="I151" s="2"/>
      <c r="J151" s="2"/>
      <c r="K151" s="2"/>
    </row>
    <row r="152">
      <c r="A152" s="17"/>
      <c r="B152" s="17"/>
      <c r="C152" s="17"/>
      <c r="D152" s="17"/>
      <c r="E152" s="17"/>
      <c r="F152" s="17"/>
      <c r="G152" s="2"/>
      <c r="H152" s="2"/>
      <c r="I152" s="2"/>
      <c r="J152" s="2"/>
      <c r="K152" s="2"/>
    </row>
    <row r="153">
      <c r="A153" s="17"/>
      <c r="B153" s="17"/>
      <c r="C153" s="17"/>
      <c r="D153" s="17"/>
      <c r="E153" s="17"/>
      <c r="F153" s="17"/>
      <c r="G153" s="2"/>
      <c r="H153" s="2"/>
      <c r="I153" s="2"/>
      <c r="J153" s="2"/>
      <c r="K153" s="2"/>
    </row>
    <row r="154">
      <c r="A154" s="17"/>
      <c r="B154" s="17"/>
      <c r="C154" s="17"/>
      <c r="D154" s="17"/>
      <c r="E154" s="17"/>
      <c r="F154" s="17"/>
      <c r="G154" s="2"/>
      <c r="H154" s="2"/>
      <c r="I154" s="2"/>
      <c r="J154" s="2"/>
      <c r="K154" s="2"/>
    </row>
    <row r="155">
      <c r="A155" s="17"/>
      <c r="B155" s="17"/>
      <c r="C155" s="17"/>
      <c r="D155" s="17"/>
      <c r="E155" s="17"/>
      <c r="F155" s="17"/>
      <c r="G155" s="2"/>
      <c r="H155" s="2"/>
      <c r="I155" s="2"/>
      <c r="J155" s="2"/>
      <c r="K155" s="2"/>
    </row>
    <row r="156">
      <c r="A156" s="17"/>
      <c r="B156" s="17"/>
      <c r="C156" s="17"/>
      <c r="D156" s="17"/>
      <c r="E156" s="17"/>
      <c r="F156" s="17"/>
      <c r="G156" s="2"/>
      <c r="H156" s="2"/>
      <c r="I156" s="2"/>
      <c r="J156" s="2"/>
      <c r="K156" s="2"/>
    </row>
    <row r="157">
      <c r="A157" s="17"/>
      <c r="B157" s="17"/>
      <c r="C157" s="17"/>
      <c r="D157" s="17"/>
      <c r="E157" s="17"/>
      <c r="F157" s="17"/>
      <c r="G157" s="2"/>
      <c r="H157" s="2"/>
      <c r="I157" s="2"/>
      <c r="J157" s="2"/>
      <c r="K157" s="2"/>
    </row>
    <row r="158">
      <c r="A158" s="17"/>
      <c r="B158" s="17"/>
      <c r="C158" s="17"/>
      <c r="D158" s="17"/>
      <c r="E158" s="17"/>
      <c r="F158" s="17"/>
      <c r="G158" s="2"/>
      <c r="H158" s="2"/>
      <c r="I158" s="2"/>
      <c r="J158" s="2"/>
      <c r="K158" s="2"/>
    </row>
    <row r="159">
      <c r="A159" s="17"/>
      <c r="B159" s="17"/>
      <c r="C159" s="17"/>
      <c r="D159" s="17"/>
      <c r="E159" s="17"/>
      <c r="F159" s="17"/>
      <c r="G159" s="2"/>
      <c r="H159" s="2"/>
      <c r="I159" s="2"/>
      <c r="J159" s="2"/>
      <c r="K159" s="2"/>
    </row>
    <row r="160">
      <c r="A160" s="17"/>
      <c r="B160" s="17"/>
      <c r="C160" s="17"/>
      <c r="D160" s="17"/>
      <c r="E160" s="17"/>
      <c r="F160" s="17"/>
      <c r="G160" s="2"/>
      <c r="H160" s="2"/>
      <c r="I160" s="2"/>
      <c r="J160" s="2"/>
      <c r="K160" s="2"/>
    </row>
    <row r="161">
      <c r="A161" s="17"/>
      <c r="B161" s="17"/>
      <c r="C161" s="17"/>
      <c r="D161" s="17"/>
      <c r="E161" s="17"/>
      <c r="F161" s="17"/>
      <c r="G161" s="2"/>
      <c r="H161" s="2"/>
      <c r="I161" s="2"/>
      <c r="J161" s="2"/>
      <c r="K161" s="2"/>
    </row>
    <row r="162">
      <c r="A162" s="17"/>
      <c r="B162" s="17"/>
      <c r="C162" s="17"/>
      <c r="D162" s="17"/>
      <c r="E162" s="17"/>
      <c r="F162" s="17"/>
      <c r="G162" s="2"/>
      <c r="H162" s="2"/>
      <c r="I162" s="2"/>
      <c r="J162" s="2"/>
      <c r="K162" s="2"/>
    </row>
    <row r="163">
      <c r="A163" s="17"/>
      <c r="B163" s="17"/>
      <c r="C163" s="17"/>
      <c r="D163" s="17"/>
      <c r="E163" s="17"/>
      <c r="F163" s="17"/>
      <c r="G163" s="2"/>
      <c r="H163" s="2"/>
      <c r="I163" s="2"/>
      <c r="J163" s="2"/>
      <c r="K163" s="2"/>
    </row>
    <row r="164">
      <c r="A164" s="17"/>
      <c r="B164" s="17"/>
      <c r="C164" s="17"/>
      <c r="D164" s="17"/>
      <c r="E164" s="17"/>
      <c r="F164" s="17"/>
      <c r="G164" s="2"/>
      <c r="H164" s="2"/>
      <c r="I164" s="2"/>
      <c r="J164" s="2"/>
      <c r="K164" s="2"/>
    </row>
    <row r="165">
      <c r="A165" s="17"/>
      <c r="B165" s="17"/>
      <c r="C165" s="17"/>
      <c r="D165" s="17"/>
      <c r="E165" s="17"/>
      <c r="F165" s="17"/>
      <c r="G165" s="2"/>
      <c r="H165" s="2"/>
      <c r="I165" s="2"/>
      <c r="J165" s="2"/>
      <c r="K165" s="2"/>
    </row>
    <row r="166">
      <c r="A166" s="17"/>
      <c r="B166" s="17"/>
      <c r="C166" s="17"/>
      <c r="D166" s="17"/>
      <c r="E166" s="17"/>
      <c r="F166" s="17"/>
      <c r="G166" s="2"/>
      <c r="H166" s="2"/>
      <c r="I166" s="2"/>
      <c r="J166" s="2"/>
      <c r="K166" s="2"/>
    </row>
    <row r="167">
      <c r="A167" s="17"/>
      <c r="B167" s="17"/>
      <c r="C167" s="17"/>
      <c r="D167" s="17"/>
      <c r="E167" s="17"/>
      <c r="F167" s="17"/>
      <c r="G167" s="2"/>
      <c r="H167" s="2"/>
      <c r="I167" s="2"/>
      <c r="J167" s="2"/>
      <c r="K167" s="2"/>
    </row>
    <row r="168">
      <c r="A168" s="17"/>
      <c r="B168" s="17"/>
      <c r="C168" s="17"/>
      <c r="D168" s="17"/>
      <c r="E168" s="17"/>
      <c r="F168" s="17"/>
      <c r="G168" s="2"/>
      <c r="H168" s="2"/>
      <c r="I168" s="2"/>
      <c r="J168" s="2"/>
      <c r="K168" s="2"/>
    </row>
    <row r="169">
      <c r="A169" s="17"/>
      <c r="B169" s="17"/>
      <c r="C169" s="17"/>
      <c r="D169" s="17"/>
      <c r="E169" s="17"/>
      <c r="F169" s="17"/>
      <c r="G169" s="2"/>
      <c r="H169" s="2"/>
      <c r="I169" s="2"/>
      <c r="J169" s="2"/>
      <c r="K169" s="2"/>
    </row>
    <row r="170">
      <c r="A170" s="17"/>
      <c r="B170" s="17"/>
      <c r="C170" s="17"/>
      <c r="D170" s="17"/>
      <c r="E170" s="17"/>
      <c r="F170" s="17"/>
      <c r="G170" s="2"/>
      <c r="H170" s="2"/>
      <c r="I170" s="2"/>
      <c r="J170" s="2"/>
      <c r="K170" s="2"/>
    </row>
    <row r="171">
      <c r="A171" s="17"/>
      <c r="B171" s="17"/>
      <c r="C171" s="17"/>
      <c r="D171" s="17"/>
      <c r="E171" s="17"/>
      <c r="F171" s="17"/>
      <c r="G171" s="2"/>
      <c r="H171" s="2"/>
      <c r="I171" s="2"/>
      <c r="J171" s="2"/>
      <c r="K171" s="2"/>
    </row>
    <row r="172">
      <c r="A172" s="17"/>
      <c r="B172" s="17"/>
      <c r="C172" s="17"/>
      <c r="D172" s="17"/>
      <c r="E172" s="17"/>
      <c r="F172" s="17"/>
      <c r="G172" s="2"/>
      <c r="H172" s="2"/>
      <c r="I172" s="2"/>
      <c r="J172" s="2"/>
      <c r="K172" s="2"/>
    </row>
    <row r="173">
      <c r="A173" s="17"/>
      <c r="B173" s="17"/>
      <c r="C173" s="17"/>
      <c r="D173" s="17"/>
      <c r="E173" s="17"/>
      <c r="F173" s="17"/>
      <c r="G173" s="2"/>
      <c r="H173" s="2"/>
      <c r="I173" s="2"/>
      <c r="J173" s="2"/>
      <c r="K173" s="2"/>
    </row>
    <row r="174">
      <c r="A174" s="17"/>
      <c r="B174" s="17"/>
      <c r="C174" s="17"/>
      <c r="D174" s="17"/>
      <c r="E174" s="17"/>
      <c r="F174" s="17"/>
      <c r="G174" s="2"/>
      <c r="H174" s="2"/>
      <c r="I174" s="2"/>
      <c r="J174" s="2"/>
      <c r="K174" s="2"/>
    </row>
    <row r="175">
      <c r="A175" s="17"/>
      <c r="B175" s="17"/>
      <c r="C175" s="17"/>
      <c r="D175" s="17"/>
      <c r="E175" s="17"/>
      <c r="F175" s="17"/>
      <c r="G175" s="2"/>
      <c r="H175" s="2"/>
      <c r="I175" s="2"/>
      <c r="J175" s="2"/>
      <c r="K175" s="2"/>
    </row>
    <row r="176">
      <c r="A176" s="17"/>
      <c r="B176" s="17"/>
      <c r="C176" s="17"/>
      <c r="D176" s="17"/>
      <c r="E176" s="17"/>
      <c r="F176" s="17"/>
      <c r="G176" s="2"/>
      <c r="H176" s="2"/>
      <c r="I176" s="2"/>
      <c r="J176" s="2"/>
      <c r="K176" s="2"/>
    </row>
    <row r="177">
      <c r="A177" s="17"/>
      <c r="B177" s="17"/>
      <c r="C177" s="17"/>
      <c r="D177" s="17"/>
      <c r="E177" s="17"/>
      <c r="F177" s="17"/>
      <c r="G177" s="2"/>
      <c r="H177" s="2"/>
      <c r="I177" s="2"/>
      <c r="J177" s="2"/>
      <c r="K177" s="2"/>
    </row>
    <row r="178">
      <c r="A178" s="17"/>
      <c r="B178" s="17"/>
      <c r="C178" s="17"/>
      <c r="D178" s="17"/>
      <c r="E178" s="17"/>
      <c r="F178" s="17"/>
      <c r="G178" s="2"/>
      <c r="H178" s="2"/>
      <c r="I178" s="2"/>
      <c r="J178" s="2"/>
      <c r="K178" s="2"/>
    </row>
    <row r="179">
      <c r="A179" s="17"/>
      <c r="B179" s="17"/>
      <c r="C179" s="17"/>
      <c r="D179" s="17"/>
      <c r="E179" s="17"/>
      <c r="F179" s="17"/>
      <c r="G179" s="2"/>
      <c r="H179" s="2"/>
      <c r="I179" s="2"/>
      <c r="J179" s="2"/>
      <c r="K179" s="2"/>
    </row>
    <row r="180">
      <c r="A180" s="17"/>
      <c r="B180" s="17"/>
      <c r="C180" s="17"/>
      <c r="D180" s="17"/>
      <c r="E180" s="17"/>
      <c r="F180" s="17"/>
      <c r="G180" s="2"/>
      <c r="H180" s="2"/>
      <c r="I180" s="2"/>
      <c r="J180" s="2"/>
      <c r="K180" s="2"/>
    </row>
    <row r="181">
      <c r="A181" s="17"/>
      <c r="B181" s="17"/>
      <c r="C181" s="17"/>
      <c r="D181" s="17"/>
      <c r="E181" s="17"/>
      <c r="F181" s="17"/>
      <c r="G181" s="2"/>
      <c r="H181" s="2"/>
      <c r="I181" s="2"/>
      <c r="J181" s="2"/>
      <c r="K181" s="2"/>
    </row>
    <row r="182">
      <c r="A182" s="17"/>
      <c r="B182" s="17"/>
      <c r="C182" s="17"/>
      <c r="D182" s="17"/>
      <c r="E182" s="17"/>
      <c r="F182" s="17"/>
      <c r="G182" s="2"/>
      <c r="H182" s="2"/>
      <c r="I182" s="2"/>
      <c r="J182" s="2"/>
      <c r="K182" s="2"/>
    </row>
    <row r="183">
      <c r="A183" s="17"/>
      <c r="B183" s="17"/>
      <c r="C183" s="17"/>
      <c r="D183" s="17"/>
      <c r="E183" s="17"/>
      <c r="F183" s="17"/>
      <c r="G183" s="2"/>
      <c r="H183" s="2"/>
      <c r="I183" s="2"/>
      <c r="J183" s="2"/>
      <c r="K183" s="2"/>
    </row>
    <row r="184">
      <c r="A184" s="17"/>
      <c r="B184" s="17"/>
      <c r="C184" s="17"/>
      <c r="D184" s="17"/>
      <c r="E184" s="17"/>
      <c r="F184" s="17"/>
      <c r="G184" s="2"/>
      <c r="H184" s="2"/>
      <c r="I184" s="2"/>
      <c r="J184" s="2"/>
      <c r="K184" s="2"/>
    </row>
    <row r="185">
      <c r="A185" s="17"/>
      <c r="B185" s="17"/>
      <c r="C185" s="17"/>
      <c r="D185" s="17"/>
      <c r="E185" s="17"/>
      <c r="F185" s="17"/>
      <c r="G185" s="2"/>
      <c r="H185" s="2"/>
      <c r="I185" s="2"/>
      <c r="J185" s="2"/>
      <c r="K185" s="2"/>
    </row>
    <row r="186">
      <c r="A186" s="17"/>
      <c r="B186" s="17"/>
      <c r="C186" s="17"/>
      <c r="D186" s="17"/>
      <c r="E186" s="17"/>
      <c r="F186" s="17"/>
      <c r="G186" s="2"/>
      <c r="H186" s="2"/>
      <c r="I186" s="2"/>
      <c r="J186" s="2"/>
      <c r="K186" s="2"/>
    </row>
    <row r="187">
      <c r="A187" s="17"/>
      <c r="B187" s="17"/>
      <c r="C187" s="17"/>
      <c r="D187" s="17"/>
      <c r="E187" s="17"/>
      <c r="F187" s="17"/>
      <c r="G187" s="2"/>
      <c r="H187" s="2"/>
      <c r="I187" s="2"/>
      <c r="J187" s="2"/>
      <c r="K187" s="2"/>
    </row>
    <row r="188">
      <c r="A188" s="17"/>
      <c r="B188" s="17"/>
      <c r="C188" s="17"/>
      <c r="D188" s="17"/>
      <c r="E188" s="17"/>
      <c r="F188" s="17"/>
      <c r="G188" s="2"/>
      <c r="H188" s="2"/>
      <c r="I188" s="2"/>
      <c r="J188" s="2"/>
      <c r="K188" s="2"/>
    </row>
    <row r="189">
      <c r="A189" s="17"/>
      <c r="B189" s="17"/>
      <c r="C189" s="17"/>
      <c r="D189" s="17"/>
      <c r="E189" s="17"/>
      <c r="F189" s="17"/>
      <c r="G189" s="2"/>
      <c r="H189" s="2"/>
      <c r="I189" s="2"/>
      <c r="J189" s="2"/>
      <c r="K189" s="2"/>
    </row>
    <row r="190">
      <c r="A190" s="17"/>
      <c r="B190" s="17"/>
      <c r="C190" s="17"/>
      <c r="D190" s="17"/>
      <c r="E190" s="17"/>
      <c r="F190" s="17"/>
      <c r="G190" s="2"/>
      <c r="H190" s="2"/>
      <c r="I190" s="2"/>
      <c r="J190" s="2"/>
      <c r="K190" s="2"/>
    </row>
    <row r="191">
      <c r="A191" s="17"/>
      <c r="B191" s="17"/>
      <c r="C191" s="17"/>
      <c r="D191" s="17"/>
      <c r="E191" s="17"/>
      <c r="F191" s="17"/>
      <c r="G191" s="2"/>
      <c r="H191" s="2"/>
      <c r="I191" s="2"/>
      <c r="J191" s="2"/>
      <c r="K191" s="2"/>
    </row>
    <row r="192">
      <c r="A192" s="17"/>
      <c r="B192" s="17"/>
      <c r="C192" s="17"/>
      <c r="D192" s="17"/>
      <c r="E192" s="17"/>
      <c r="F192" s="17"/>
      <c r="G192" s="2"/>
      <c r="H192" s="2"/>
      <c r="I192" s="2"/>
      <c r="J192" s="2"/>
      <c r="K192" s="2"/>
    </row>
    <row r="193">
      <c r="A193" s="17"/>
      <c r="B193" s="17"/>
      <c r="C193" s="17"/>
      <c r="D193" s="17"/>
      <c r="E193" s="17"/>
      <c r="F193" s="17"/>
      <c r="G193" s="2"/>
      <c r="H193" s="2"/>
      <c r="I193" s="2"/>
      <c r="J193" s="2"/>
      <c r="K193" s="2"/>
    </row>
    <row r="194">
      <c r="A194" s="17"/>
      <c r="B194" s="17"/>
      <c r="C194" s="17"/>
      <c r="D194" s="17"/>
      <c r="E194" s="17"/>
      <c r="F194" s="17"/>
      <c r="G194" s="2"/>
      <c r="H194" s="2"/>
      <c r="I194" s="2"/>
      <c r="J194" s="2"/>
      <c r="K194" s="2"/>
    </row>
    <row r="195">
      <c r="A195" s="17"/>
      <c r="B195" s="17"/>
      <c r="C195" s="17"/>
      <c r="D195" s="17"/>
      <c r="E195" s="17"/>
      <c r="F195" s="17"/>
      <c r="G195" s="2"/>
      <c r="H195" s="2"/>
      <c r="I195" s="2"/>
      <c r="J195" s="2"/>
      <c r="K195" s="2"/>
    </row>
    <row r="196">
      <c r="A196" s="17"/>
      <c r="B196" s="17"/>
      <c r="C196" s="17"/>
      <c r="D196" s="17"/>
      <c r="E196" s="17"/>
      <c r="F196" s="17"/>
      <c r="G196" s="2"/>
      <c r="H196" s="2"/>
      <c r="I196" s="2"/>
      <c r="J196" s="2"/>
      <c r="K196" s="2"/>
    </row>
    <row r="197">
      <c r="A197" s="17"/>
      <c r="B197" s="17"/>
      <c r="C197" s="17"/>
      <c r="D197" s="17"/>
      <c r="E197" s="17"/>
      <c r="F197" s="17"/>
      <c r="G197" s="2"/>
      <c r="H197" s="2"/>
      <c r="I197" s="2"/>
      <c r="J197" s="2"/>
      <c r="K197" s="2"/>
    </row>
    <row r="198">
      <c r="A198" s="17"/>
      <c r="B198" s="17"/>
      <c r="C198" s="17"/>
      <c r="D198" s="17"/>
      <c r="E198" s="17"/>
      <c r="F198" s="17"/>
      <c r="G198" s="2"/>
      <c r="H198" s="2"/>
      <c r="I198" s="2"/>
      <c r="J198" s="2"/>
      <c r="K198" s="2"/>
    </row>
    <row r="199">
      <c r="A199" s="17"/>
      <c r="B199" s="17"/>
      <c r="C199" s="17"/>
      <c r="D199" s="17"/>
      <c r="E199" s="17"/>
      <c r="F199" s="17"/>
      <c r="G199" s="2"/>
      <c r="H199" s="2"/>
      <c r="I199" s="2"/>
      <c r="J199" s="2"/>
      <c r="K199" s="2"/>
    </row>
    <row r="200">
      <c r="A200" s="17"/>
      <c r="B200" s="17"/>
      <c r="C200" s="17"/>
      <c r="D200" s="17"/>
      <c r="E200" s="17"/>
      <c r="F200" s="17"/>
      <c r="G200" s="2"/>
      <c r="H200" s="2"/>
      <c r="I200" s="2"/>
      <c r="J200" s="2"/>
      <c r="K200" s="2"/>
    </row>
    <row r="201">
      <c r="A201" s="17"/>
      <c r="B201" s="17"/>
      <c r="C201" s="17"/>
      <c r="D201" s="17"/>
      <c r="E201" s="17"/>
      <c r="F201" s="17"/>
      <c r="G201" s="2"/>
      <c r="H201" s="2"/>
      <c r="I201" s="2"/>
      <c r="J201" s="2"/>
      <c r="K201" s="2"/>
    </row>
    <row r="202">
      <c r="A202" s="17"/>
      <c r="B202" s="17"/>
      <c r="C202" s="17"/>
      <c r="D202" s="17"/>
      <c r="E202" s="17"/>
      <c r="F202" s="17"/>
      <c r="G202" s="2"/>
      <c r="H202" s="2"/>
      <c r="I202" s="2"/>
      <c r="J202" s="2"/>
      <c r="K202" s="2"/>
    </row>
    <row r="203">
      <c r="A203" s="17"/>
      <c r="B203" s="17"/>
      <c r="C203" s="17"/>
      <c r="D203" s="17"/>
      <c r="E203" s="17"/>
      <c r="F203" s="17"/>
      <c r="G203" s="2"/>
      <c r="H203" s="2"/>
      <c r="I203" s="2"/>
      <c r="J203" s="2"/>
      <c r="K203" s="2"/>
    </row>
    <row r="204">
      <c r="A204" s="17"/>
      <c r="B204" s="17"/>
      <c r="C204" s="17"/>
      <c r="D204" s="17"/>
      <c r="E204" s="17"/>
      <c r="F204" s="17"/>
      <c r="G204" s="2"/>
      <c r="H204" s="2"/>
      <c r="I204" s="2"/>
      <c r="J204" s="2"/>
      <c r="K204" s="2"/>
    </row>
    <row r="205">
      <c r="A205" s="17"/>
      <c r="B205" s="17"/>
      <c r="C205" s="17"/>
      <c r="D205" s="17"/>
      <c r="E205" s="17"/>
      <c r="F205" s="17"/>
      <c r="G205" s="2"/>
      <c r="H205" s="2"/>
      <c r="I205" s="2"/>
      <c r="J205" s="2"/>
      <c r="K205" s="2"/>
    </row>
    <row r="206">
      <c r="A206" s="17"/>
      <c r="B206" s="17"/>
      <c r="C206" s="17"/>
      <c r="D206" s="17"/>
      <c r="E206" s="17"/>
      <c r="F206" s="17"/>
      <c r="G206" s="2"/>
      <c r="H206" s="2"/>
      <c r="I206" s="2"/>
      <c r="J206" s="2"/>
      <c r="K206" s="2"/>
    </row>
    <row r="207">
      <c r="A207" s="17"/>
      <c r="B207" s="17"/>
      <c r="C207" s="17"/>
      <c r="D207" s="17"/>
      <c r="E207" s="17"/>
      <c r="F207" s="17"/>
      <c r="G207" s="2"/>
      <c r="H207" s="2"/>
      <c r="I207" s="2"/>
      <c r="J207" s="2"/>
      <c r="K207" s="2"/>
    </row>
    <row r="208">
      <c r="A208" s="17"/>
      <c r="B208" s="17"/>
      <c r="C208" s="17"/>
      <c r="D208" s="17"/>
      <c r="E208" s="17"/>
      <c r="F208" s="17"/>
      <c r="G208" s="2"/>
      <c r="H208" s="2"/>
      <c r="I208" s="2"/>
      <c r="J208" s="2"/>
      <c r="K208" s="2"/>
    </row>
    <row r="209">
      <c r="A209" s="17"/>
      <c r="B209" s="17"/>
      <c r="C209" s="17"/>
      <c r="D209" s="17"/>
      <c r="E209" s="17"/>
      <c r="F209" s="17"/>
      <c r="G209" s="2"/>
      <c r="H209" s="2"/>
      <c r="I209" s="2"/>
      <c r="J209" s="2"/>
      <c r="K209" s="2"/>
    </row>
    <row r="210">
      <c r="A210" s="17"/>
      <c r="B210" s="17"/>
      <c r="C210" s="17"/>
      <c r="D210" s="17"/>
      <c r="E210" s="17"/>
      <c r="F210" s="17"/>
      <c r="G210" s="2"/>
      <c r="H210" s="2"/>
      <c r="I210" s="2"/>
      <c r="J210" s="2"/>
      <c r="K210" s="2"/>
    </row>
    <row r="211">
      <c r="A211" s="17"/>
      <c r="B211" s="17"/>
      <c r="C211" s="17"/>
      <c r="D211" s="17"/>
      <c r="E211" s="17"/>
      <c r="F211" s="17"/>
      <c r="G211" s="2"/>
      <c r="H211" s="2"/>
      <c r="I211" s="2"/>
      <c r="J211" s="2"/>
      <c r="K211" s="2"/>
    </row>
    <row r="212">
      <c r="A212" s="17"/>
      <c r="B212" s="17"/>
      <c r="C212" s="17"/>
      <c r="D212" s="17"/>
      <c r="E212" s="17"/>
      <c r="F212" s="17"/>
      <c r="G212" s="2"/>
      <c r="H212" s="2"/>
      <c r="I212" s="2"/>
      <c r="J212" s="2"/>
      <c r="K212" s="2"/>
    </row>
    <row r="213">
      <c r="A213" s="17"/>
      <c r="B213" s="17"/>
      <c r="C213" s="17"/>
      <c r="D213" s="17"/>
      <c r="E213" s="17"/>
      <c r="F213" s="17"/>
      <c r="G213" s="2"/>
      <c r="H213" s="2"/>
      <c r="I213" s="2"/>
      <c r="J213" s="2"/>
      <c r="K213" s="2"/>
    </row>
    <row r="214">
      <c r="A214" s="17"/>
      <c r="B214" s="17"/>
      <c r="C214" s="17"/>
      <c r="D214" s="17"/>
      <c r="E214" s="17"/>
      <c r="F214" s="17"/>
      <c r="G214" s="2"/>
      <c r="H214" s="2"/>
      <c r="I214" s="2"/>
      <c r="J214" s="2"/>
      <c r="K214" s="2"/>
    </row>
    <row r="215">
      <c r="A215" s="17"/>
      <c r="B215" s="17"/>
      <c r="C215" s="17"/>
      <c r="D215" s="17"/>
      <c r="E215" s="17"/>
      <c r="F215" s="17"/>
      <c r="G215" s="2"/>
      <c r="H215" s="2"/>
      <c r="I215" s="2"/>
      <c r="J215" s="2"/>
      <c r="K215" s="2"/>
    </row>
    <row r="216">
      <c r="A216" s="17"/>
      <c r="B216" s="17"/>
      <c r="C216" s="17"/>
      <c r="D216" s="17"/>
      <c r="E216" s="17"/>
      <c r="F216" s="17"/>
      <c r="G216" s="2"/>
      <c r="H216" s="2"/>
      <c r="I216" s="2"/>
      <c r="J216" s="2"/>
      <c r="K216" s="2"/>
    </row>
    <row r="217">
      <c r="A217" s="17"/>
      <c r="B217" s="17"/>
      <c r="C217" s="17"/>
      <c r="D217" s="17"/>
      <c r="E217" s="17"/>
      <c r="F217" s="17"/>
      <c r="G217" s="2"/>
      <c r="H217" s="2"/>
      <c r="I217" s="2"/>
      <c r="J217" s="2"/>
      <c r="K217" s="2"/>
    </row>
    <row r="218">
      <c r="A218" s="17"/>
      <c r="B218" s="17"/>
      <c r="C218" s="17"/>
      <c r="D218" s="17"/>
      <c r="E218" s="17"/>
      <c r="F218" s="17"/>
      <c r="G218" s="2"/>
      <c r="H218" s="2"/>
      <c r="I218" s="2"/>
      <c r="J218" s="2"/>
      <c r="K218" s="2"/>
    </row>
    <row r="219">
      <c r="A219" s="17"/>
      <c r="B219" s="17"/>
      <c r="C219" s="17"/>
      <c r="D219" s="17"/>
      <c r="E219" s="17"/>
      <c r="F219" s="17"/>
      <c r="G219" s="2"/>
      <c r="H219" s="2"/>
      <c r="I219" s="2"/>
      <c r="J219" s="2"/>
      <c r="K219" s="2"/>
    </row>
    <row r="220">
      <c r="A220" s="17"/>
      <c r="B220" s="17"/>
      <c r="C220" s="17"/>
      <c r="D220" s="17"/>
      <c r="E220" s="17"/>
      <c r="F220" s="17"/>
      <c r="G220" s="2"/>
      <c r="H220" s="2"/>
      <c r="I220" s="2"/>
      <c r="J220" s="2"/>
      <c r="K220" s="2"/>
    </row>
    <row r="221">
      <c r="A221" s="17"/>
      <c r="B221" s="17"/>
      <c r="C221" s="17"/>
      <c r="D221" s="17"/>
      <c r="E221" s="17"/>
      <c r="F221" s="17"/>
      <c r="G221" s="2"/>
      <c r="H221" s="2"/>
      <c r="I221" s="2"/>
      <c r="J221" s="2"/>
      <c r="K221" s="2"/>
    </row>
    <row r="222">
      <c r="A222" s="17"/>
      <c r="B222" s="17"/>
      <c r="C222" s="17"/>
      <c r="D222" s="17"/>
      <c r="E222" s="17"/>
      <c r="F222" s="17"/>
      <c r="G222" s="2"/>
      <c r="H222" s="2"/>
      <c r="I222" s="2"/>
      <c r="J222" s="2"/>
      <c r="K222" s="2"/>
    </row>
    <row r="223">
      <c r="A223" s="17"/>
      <c r="B223" s="17"/>
      <c r="C223" s="17"/>
      <c r="D223" s="17"/>
      <c r="E223" s="17"/>
      <c r="F223" s="17"/>
      <c r="G223" s="2"/>
      <c r="H223" s="2"/>
      <c r="I223" s="2"/>
      <c r="J223" s="2"/>
      <c r="K223" s="2"/>
    </row>
    <row r="224">
      <c r="A224" s="17"/>
      <c r="B224" s="17"/>
      <c r="C224" s="17"/>
      <c r="D224" s="17"/>
      <c r="E224" s="17"/>
      <c r="F224" s="17"/>
      <c r="G224" s="2"/>
      <c r="H224" s="2"/>
      <c r="I224" s="2"/>
      <c r="J224" s="2"/>
      <c r="K224" s="2"/>
    </row>
    <row r="225">
      <c r="A225" s="17"/>
      <c r="B225" s="17"/>
      <c r="C225" s="17"/>
      <c r="D225" s="17"/>
      <c r="E225" s="17"/>
      <c r="F225" s="17"/>
      <c r="G225" s="2"/>
      <c r="H225" s="2"/>
      <c r="I225" s="2"/>
      <c r="J225" s="2"/>
      <c r="K225" s="2"/>
    </row>
    <row r="226">
      <c r="A226" s="17"/>
      <c r="B226" s="17"/>
      <c r="C226" s="17"/>
      <c r="D226" s="17"/>
      <c r="E226" s="17"/>
      <c r="F226" s="17"/>
      <c r="G226" s="2"/>
      <c r="H226" s="2"/>
      <c r="I226" s="2"/>
      <c r="J226" s="2"/>
      <c r="K226" s="2"/>
    </row>
    <row r="227">
      <c r="A227" s="17"/>
      <c r="B227" s="17"/>
      <c r="C227" s="17"/>
      <c r="D227" s="17"/>
      <c r="E227" s="17"/>
      <c r="F227" s="17"/>
      <c r="G227" s="2"/>
      <c r="H227" s="2"/>
      <c r="I227" s="2"/>
      <c r="J227" s="2"/>
      <c r="K227" s="2"/>
    </row>
    <row r="228">
      <c r="A228" s="17"/>
      <c r="B228" s="17"/>
      <c r="C228" s="17"/>
      <c r="D228" s="17"/>
      <c r="E228" s="17"/>
      <c r="F228" s="17"/>
      <c r="G228" s="2"/>
      <c r="H228" s="2"/>
      <c r="I228" s="2"/>
      <c r="J228" s="2"/>
      <c r="K228" s="2"/>
    </row>
    <row r="229">
      <c r="A229" s="17"/>
      <c r="B229" s="17"/>
      <c r="C229" s="17"/>
      <c r="D229" s="17"/>
      <c r="E229" s="17"/>
      <c r="F229" s="17"/>
      <c r="G229" s="2"/>
      <c r="H229" s="2"/>
      <c r="I229" s="2"/>
      <c r="J229" s="2"/>
      <c r="K229" s="2"/>
    </row>
    <row r="230">
      <c r="A230" s="17"/>
      <c r="B230" s="17"/>
      <c r="C230" s="17"/>
      <c r="D230" s="17"/>
      <c r="E230" s="17"/>
      <c r="F230" s="17"/>
      <c r="G230" s="2"/>
      <c r="H230" s="2"/>
      <c r="I230" s="2"/>
      <c r="J230" s="2"/>
      <c r="K230" s="2"/>
    </row>
    <row r="231">
      <c r="A231" s="17"/>
      <c r="B231" s="17"/>
      <c r="C231" s="17"/>
      <c r="D231" s="17"/>
      <c r="E231" s="17"/>
      <c r="F231" s="17"/>
      <c r="G231" s="2"/>
      <c r="H231" s="2"/>
      <c r="I231" s="2"/>
      <c r="J231" s="2"/>
      <c r="K231" s="2"/>
    </row>
    <row r="232">
      <c r="A232" s="17"/>
      <c r="B232" s="17"/>
      <c r="C232" s="17"/>
      <c r="D232" s="17"/>
      <c r="E232" s="17"/>
      <c r="F232" s="17"/>
      <c r="G232" s="2"/>
      <c r="H232" s="2"/>
      <c r="I232" s="2"/>
      <c r="J232" s="2"/>
      <c r="K232" s="2"/>
    </row>
    <row r="233">
      <c r="A233" s="17"/>
      <c r="B233" s="17"/>
      <c r="C233" s="17"/>
      <c r="D233" s="17"/>
      <c r="E233" s="17"/>
      <c r="F233" s="17"/>
      <c r="G233" s="2"/>
      <c r="H233" s="2"/>
      <c r="I233" s="2"/>
      <c r="J233" s="2"/>
      <c r="K233" s="2"/>
    </row>
    <row r="234">
      <c r="A234" s="17"/>
      <c r="B234" s="17"/>
      <c r="C234" s="17"/>
      <c r="D234" s="17"/>
      <c r="E234" s="17"/>
      <c r="F234" s="17"/>
      <c r="G234" s="2"/>
      <c r="H234" s="2"/>
      <c r="I234" s="2"/>
      <c r="J234" s="2"/>
      <c r="K234" s="2"/>
    </row>
    <row r="235">
      <c r="A235" s="17"/>
      <c r="B235" s="17"/>
      <c r="C235" s="17"/>
      <c r="D235" s="17"/>
      <c r="E235" s="17"/>
      <c r="F235" s="17"/>
      <c r="G235" s="2"/>
      <c r="H235" s="2"/>
      <c r="I235" s="2"/>
      <c r="J235" s="2"/>
      <c r="K235" s="2"/>
    </row>
    <row r="236">
      <c r="A236" s="17"/>
      <c r="B236" s="17"/>
      <c r="C236" s="17"/>
      <c r="D236" s="17"/>
      <c r="E236" s="17"/>
      <c r="F236" s="17"/>
      <c r="G236" s="2"/>
      <c r="H236" s="2"/>
      <c r="I236" s="2"/>
      <c r="J236" s="2"/>
      <c r="K236" s="2"/>
    </row>
    <row r="237">
      <c r="A237" s="17"/>
      <c r="B237" s="17"/>
      <c r="C237" s="17"/>
      <c r="D237" s="17"/>
      <c r="E237" s="17"/>
      <c r="F237" s="17"/>
      <c r="G237" s="2"/>
      <c r="H237" s="2"/>
      <c r="I237" s="2"/>
      <c r="J237" s="2"/>
      <c r="K237" s="2"/>
    </row>
    <row r="238">
      <c r="A238" s="17"/>
      <c r="B238" s="17"/>
      <c r="C238" s="17"/>
      <c r="D238" s="17"/>
      <c r="E238" s="17"/>
      <c r="F238" s="17"/>
      <c r="G238" s="2"/>
      <c r="H238" s="2"/>
      <c r="I238" s="2"/>
      <c r="J238" s="2"/>
      <c r="K238" s="2"/>
    </row>
    <row r="239">
      <c r="A239" s="17"/>
      <c r="B239" s="17"/>
      <c r="C239" s="17"/>
      <c r="D239" s="17"/>
      <c r="E239" s="17"/>
      <c r="F239" s="17"/>
      <c r="G239" s="2"/>
      <c r="H239" s="2"/>
      <c r="I239" s="2"/>
      <c r="J239" s="2"/>
      <c r="K239" s="2"/>
    </row>
    <row r="240">
      <c r="A240" s="17"/>
      <c r="B240" s="17"/>
      <c r="C240" s="17"/>
      <c r="D240" s="17"/>
      <c r="E240" s="17"/>
      <c r="F240" s="17"/>
      <c r="G240" s="2"/>
      <c r="H240" s="2"/>
      <c r="I240" s="2"/>
      <c r="J240" s="2"/>
      <c r="K240" s="2"/>
    </row>
    <row r="241">
      <c r="A241" s="17"/>
      <c r="B241" s="17"/>
      <c r="C241" s="17"/>
      <c r="D241" s="17"/>
      <c r="E241" s="17"/>
      <c r="F241" s="17"/>
      <c r="G241" s="2"/>
      <c r="H241" s="2"/>
      <c r="I241" s="2"/>
      <c r="J241" s="2"/>
      <c r="K241" s="2"/>
    </row>
    <row r="242">
      <c r="A242" s="17"/>
      <c r="B242" s="17"/>
      <c r="C242" s="17"/>
      <c r="D242" s="17"/>
      <c r="E242" s="17"/>
      <c r="F242" s="17"/>
      <c r="G242" s="2"/>
      <c r="H242" s="2"/>
      <c r="I242" s="2"/>
      <c r="J242" s="2"/>
      <c r="K242" s="2"/>
    </row>
    <row r="243">
      <c r="A243" s="17"/>
      <c r="B243" s="17"/>
      <c r="C243" s="17"/>
      <c r="D243" s="17"/>
      <c r="E243" s="17"/>
      <c r="F243" s="17"/>
      <c r="G243" s="2"/>
      <c r="H243" s="2"/>
      <c r="I243" s="2"/>
      <c r="J243" s="2"/>
      <c r="K243" s="2"/>
    </row>
    <row r="244">
      <c r="A244" s="17"/>
      <c r="B244" s="17"/>
      <c r="C244" s="17"/>
      <c r="D244" s="17"/>
      <c r="E244" s="17"/>
      <c r="F244" s="17"/>
      <c r="G244" s="2"/>
      <c r="H244" s="2"/>
      <c r="I244" s="2"/>
      <c r="J244" s="2"/>
      <c r="K244" s="2"/>
    </row>
    <row r="245">
      <c r="A245" s="17"/>
      <c r="B245" s="17"/>
      <c r="C245" s="17"/>
      <c r="D245" s="17"/>
      <c r="E245" s="17"/>
      <c r="F245" s="17"/>
      <c r="G245" s="2"/>
      <c r="H245" s="2"/>
      <c r="I245" s="2"/>
      <c r="J245" s="2"/>
      <c r="K245" s="2"/>
    </row>
    <row r="246">
      <c r="A246" s="17"/>
      <c r="B246" s="17"/>
      <c r="C246" s="17"/>
      <c r="D246" s="17"/>
      <c r="E246" s="17"/>
      <c r="F246" s="17"/>
      <c r="G246" s="2"/>
      <c r="H246" s="2"/>
      <c r="I246" s="2"/>
      <c r="J246" s="2"/>
      <c r="K246" s="2"/>
    </row>
    <row r="247">
      <c r="A247" s="17"/>
      <c r="B247" s="17"/>
      <c r="C247" s="17"/>
      <c r="D247" s="17"/>
      <c r="E247" s="17"/>
      <c r="F247" s="17"/>
      <c r="G247" s="2"/>
      <c r="H247" s="2"/>
      <c r="I247" s="2"/>
      <c r="J247" s="2"/>
      <c r="K247" s="2"/>
    </row>
    <row r="248">
      <c r="A248" s="17"/>
      <c r="B248" s="17"/>
      <c r="C248" s="17"/>
      <c r="D248" s="17"/>
      <c r="E248" s="17"/>
      <c r="F248" s="17"/>
      <c r="G248" s="2"/>
      <c r="H248" s="2"/>
      <c r="I248" s="2"/>
      <c r="J248" s="2"/>
      <c r="K248" s="2"/>
    </row>
    <row r="249">
      <c r="A249" s="17"/>
      <c r="B249" s="17"/>
      <c r="C249" s="17"/>
      <c r="D249" s="17"/>
      <c r="E249" s="17"/>
      <c r="F249" s="17"/>
      <c r="G249" s="2"/>
      <c r="H249" s="2"/>
      <c r="I249" s="2"/>
      <c r="J249" s="2"/>
      <c r="K249" s="2"/>
    </row>
    <row r="250">
      <c r="A250" s="17"/>
      <c r="B250" s="17"/>
      <c r="C250" s="17"/>
      <c r="D250" s="17"/>
      <c r="E250" s="17"/>
      <c r="F250" s="17"/>
      <c r="G250" s="2"/>
      <c r="H250" s="2"/>
      <c r="I250" s="2"/>
      <c r="J250" s="2"/>
      <c r="K250" s="2"/>
    </row>
    <row r="251">
      <c r="A251" s="17"/>
      <c r="B251" s="17"/>
      <c r="C251" s="17"/>
      <c r="D251" s="17"/>
      <c r="E251" s="17"/>
      <c r="F251" s="17"/>
      <c r="G251" s="2"/>
      <c r="H251" s="2"/>
      <c r="I251" s="2"/>
      <c r="J251" s="2"/>
      <c r="K251" s="2"/>
    </row>
    <row r="252">
      <c r="A252" s="17"/>
      <c r="B252" s="17"/>
      <c r="C252" s="17"/>
      <c r="D252" s="17"/>
      <c r="E252" s="17"/>
      <c r="F252" s="17"/>
      <c r="G252" s="2"/>
      <c r="H252" s="2"/>
      <c r="I252" s="2"/>
      <c r="J252" s="2"/>
      <c r="K252" s="2"/>
    </row>
    <row r="253">
      <c r="A253" s="17"/>
      <c r="B253" s="17"/>
      <c r="C253" s="17"/>
      <c r="D253" s="17"/>
      <c r="E253" s="17"/>
      <c r="F253" s="17"/>
      <c r="G253" s="2"/>
      <c r="H253" s="2"/>
      <c r="I253" s="2"/>
      <c r="J253" s="2"/>
      <c r="K253" s="2"/>
    </row>
    <row r="254">
      <c r="A254" s="17"/>
      <c r="B254" s="17"/>
      <c r="C254" s="17"/>
      <c r="D254" s="17"/>
      <c r="E254" s="17"/>
      <c r="F254" s="17"/>
      <c r="G254" s="2"/>
      <c r="H254" s="2"/>
      <c r="I254" s="2"/>
      <c r="J254" s="2"/>
      <c r="K254" s="2"/>
    </row>
    <row r="255">
      <c r="A255" s="17"/>
      <c r="B255" s="17"/>
      <c r="C255" s="17"/>
      <c r="D255" s="17"/>
      <c r="E255" s="17"/>
      <c r="F255" s="17"/>
      <c r="G255" s="2"/>
      <c r="H255" s="2"/>
      <c r="I255" s="2"/>
      <c r="J255" s="2"/>
      <c r="K255" s="2"/>
    </row>
    <row r="256">
      <c r="A256" s="17"/>
      <c r="B256" s="17"/>
      <c r="C256" s="17"/>
      <c r="D256" s="17"/>
      <c r="E256" s="17"/>
      <c r="F256" s="17"/>
      <c r="G256" s="2"/>
      <c r="H256" s="2"/>
      <c r="I256" s="2"/>
      <c r="J256" s="2"/>
      <c r="K256" s="2"/>
    </row>
    <row r="257">
      <c r="A257" s="17"/>
      <c r="B257" s="17"/>
      <c r="C257" s="17"/>
      <c r="D257" s="17"/>
      <c r="E257" s="17"/>
      <c r="F257" s="17"/>
      <c r="G257" s="2"/>
      <c r="H257" s="2"/>
      <c r="I257" s="2"/>
      <c r="J257" s="2"/>
      <c r="K257" s="2"/>
    </row>
    <row r="258">
      <c r="A258" s="17"/>
      <c r="B258" s="17"/>
      <c r="C258" s="17"/>
      <c r="D258" s="17"/>
      <c r="E258" s="17"/>
      <c r="F258" s="17"/>
      <c r="G258" s="2"/>
      <c r="H258" s="2"/>
      <c r="I258" s="2"/>
      <c r="J258" s="2"/>
      <c r="K258" s="2"/>
    </row>
    <row r="259">
      <c r="A259" s="17"/>
      <c r="B259" s="17"/>
      <c r="C259" s="17"/>
      <c r="D259" s="17"/>
      <c r="E259" s="17"/>
      <c r="F259" s="17"/>
      <c r="G259" s="2"/>
      <c r="H259" s="2"/>
      <c r="I259" s="2"/>
      <c r="J259" s="2"/>
      <c r="K259" s="2"/>
    </row>
    <row r="260">
      <c r="A260" s="17"/>
      <c r="B260" s="17"/>
      <c r="C260" s="17"/>
      <c r="D260" s="17"/>
      <c r="E260" s="17"/>
      <c r="F260" s="17"/>
      <c r="G260" s="2"/>
      <c r="H260" s="2"/>
      <c r="I260" s="2"/>
      <c r="J260" s="2"/>
      <c r="K260" s="2"/>
    </row>
    <row r="261">
      <c r="A261" s="17"/>
      <c r="B261" s="17"/>
      <c r="C261" s="17"/>
      <c r="D261" s="17"/>
      <c r="E261" s="17"/>
      <c r="F261" s="17"/>
      <c r="G261" s="2"/>
      <c r="H261" s="2"/>
      <c r="I261" s="2"/>
      <c r="J261" s="2"/>
      <c r="K261" s="2"/>
    </row>
    <row r="262">
      <c r="A262" s="17"/>
      <c r="B262" s="17"/>
      <c r="C262" s="17"/>
      <c r="D262" s="17"/>
      <c r="E262" s="17"/>
      <c r="F262" s="17"/>
      <c r="G262" s="2"/>
      <c r="H262" s="2"/>
      <c r="I262" s="2"/>
      <c r="J262" s="2"/>
      <c r="K262" s="2"/>
    </row>
    <row r="263">
      <c r="A263" s="17"/>
      <c r="B263" s="17"/>
      <c r="C263" s="17"/>
      <c r="D263" s="17"/>
      <c r="E263" s="17"/>
      <c r="F263" s="17"/>
      <c r="G263" s="2"/>
      <c r="H263" s="2"/>
      <c r="I263" s="2"/>
      <c r="J263" s="2"/>
      <c r="K263" s="2"/>
    </row>
    <row r="264">
      <c r="A264" s="17"/>
      <c r="B264" s="17"/>
      <c r="C264" s="17"/>
      <c r="D264" s="17"/>
      <c r="E264" s="17"/>
      <c r="F264" s="17"/>
      <c r="G264" s="2"/>
      <c r="H264" s="2"/>
      <c r="I264" s="2"/>
      <c r="J264" s="2"/>
      <c r="K264" s="2"/>
    </row>
    <row r="265">
      <c r="A265" s="17"/>
      <c r="B265" s="17"/>
      <c r="C265" s="17"/>
      <c r="D265" s="17"/>
      <c r="E265" s="17"/>
      <c r="F265" s="17"/>
      <c r="G265" s="2"/>
      <c r="H265" s="2"/>
      <c r="I265" s="2"/>
      <c r="J265" s="2"/>
      <c r="K265" s="2"/>
    </row>
    <row r="266">
      <c r="A266" s="17"/>
      <c r="B266" s="17"/>
      <c r="C266" s="17"/>
      <c r="D266" s="17"/>
      <c r="E266" s="17"/>
      <c r="F266" s="17"/>
      <c r="G266" s="2"/>
      <c r="H266" s="2"/>
      <c r="I266" s="2"/>
      <c r="J266" s="2"/>
      <c r="K266" s="2"/>
    </row>
    <row r="267">
      <c r="A267" s="17"/>
      <c r="B267" s="17"/>
      <c r="C267" s="17"/>
      <c r="D267" s="17"/>
      <c r="E267" s="17"/>
      <c r="F267" s="17"/>
      <c r="G267" s="2"/>
      <c r="H267" s="2"/>
      <c r="I267" s="2"/>
      <c r="J267" s="2"/>
      <c r="K267" s="2"/>
    </row>
    <row r="268">
      <c r="A268" s="17"/>
      <c r="B268" s="17"/>
      <c r="C268" s="17"/>
      <c r="D268" s="17"/>
      <c r="E268" s="17"/>
      <c r="F268" s="17"/>
      <c r="G268" s="2"/>
      <c r="H268" s="2"/>
      <c r="I268" s="2"/>
      <c r="J268" s="2"/>
      <c r="K268" s="2"/>
    </row>
    <row r="269">
      <c r="A269" s="17"/>
      <c r="B269" s="17"/>
      <c r="C269" s="17"/>
      <c r="D269" s="17"/>
      <c r="E269" s="17"/>
      <c r="F269" s="17"/>
      <c r="G269" s="2"/>
      <c r="H269" s="2"/>
      <c r="I269" s="2"/>
      <c r="J269" s="2"/>
      <c r="K269" s="2"/>
    </row>
    <row r="270">
      <c r="A270" s="17"/>
      <c r="B270" s="17"/>
      <c r="C270" s="17"/>
      <c r="D270" s="17"/>
      <c r="E270" s="17"/>
      <c r="F270" s="17"/>
      <c r="G270" s="2"/>
      <c r="H270" s="2"/>
      <c r="I270" s="2"/>
      <c r="J270" s="2"/>
      <c r="K270" s="2"/>
    </row>
    <row r="271">
      <c r="A271" s="17"/>
      <c r="B271" s="17"/>
      <c r="C271" s="17"/>
      <c r="D271" s="17"/>
      <c r="E271" s="17"/>
      <c r="F271" s="17"/>
      <c r="G271" s="2"/>
      <c r="H271" s="2"/>
      <c r="I271" s="2"/>
      <c r="J271" s="2"/>
      <c r="K271" s="2"/>
    </row>
    <row r="272">
      <c r="A272" s="17"/>
      <c r="B272" s="17"/>
      <c r="C272" s="17"/>
      <c r="D272" s="17"/>
      <c r="E272" s="17"/>
      <c r="F272" s="17"/>
      <c r="G272" s="2"/>
      <c r="H272" s="2"/>
      <c r="I272" s="2"/>
      <c r="J272" s="2"/>
      <c r="K272" s="2"/>
    </row>
    <row r="273">
      <c r="A273" s="17"/>
      <c r="B273" s="17"/>
      <c r="C273" s="17"/>
      <c r="D273" s="17"/>
      <c r="E273" s="17"/>
      <c r="F273" s="17"/>
      <c r="G273" s="2"/>
      <c r="H273" s="2"/>
      <c r="I273" s="2"/>
      <c r="J273" s="2"/>
      <c r="K273" s="2"/>
    </row>
    <row r="274">
      <c r="A274" s="17"/>
      <c r="B274" s="17"/>
      <c r="C274" s="17"/>
      <c r="D274" s="17"/>
      <c r="E274" s="17"/>
      <c r="F274" s="17"/>
      <c r="G274" s="2"/>
      <c r="H274" s="2"/>
      <c r="I274" s="2"/>
      <c r="J274" s="2"/>
      <c r="K274" s="2"/>
    </row>
    <row r="275">
      <c r="A275" s="17"/>
      <c r="B275" s="17"/>
      <c r="C275" s="17"/>
      <c r="D275" s="17"/>
      <c r="E275" s="17"/>
      <c r="F275" s="17"/>
      <c r="G275" s="2"/>
      <c r="H275" s="2"/>
      <c r="I275" s="2"/>
      <c r="J275" s="2"/>
      <c r="K275" s="2"/>
    </row>
    <row r="276">
      <c r="A276" s="17"/>
      <c r="B276" s="17"/>
      <c r="C276" s="17"/>
      <c r="D276" s="17"/>
      <c r="E276" s="17"/>
      <c r="F276" s="17"/>
      <c r="G276" s="2"/>
      <c r="H276" s="2"/>
      <c r="I276" s="2"/>
      <c r="J276" s="2"/>
      <c r="K276" s="2"/>
    </row>
    <row r="277">
      <c r="A277" s="17"/>
      <c r="B277" s="17"/>
      <c r="C277" s="17"/>
      <c r="D277" s="17"/>
      <c r="E277" s="17"/>
      <c r="F277" s="17"/>
      <c r="G277" s="2"/>
      <c r="H277" s="2"/>
      <c r="I277" s="2"/>
      <c r="J277" s="2"/>
      <c r="K277" s="2"/>
    </row>
    <row r="278">
      <c r="A278" s="17"/>
      <c r="B278" s="17"/>
      <c r="C278" s="17"/>
      <c r="D278" s="17"/>
      <c r="E278" s="17"/>
      <c r="F278" s="17"/>
      <c r="G278" s="2"/>
      <c r="H278" s="2"/>
      <c r="I278" s="2"/>
      <c r="J278" s="2"/>
      <c r="K278" s="2"/>
    </row>
    <row r="279">
      <c r="A279" s="17"/>
      <c r="B279" s="17"/>
      <c r="C279" s="17"/>
      <c r="D279" s="17"/>
      <c r="E279" s="17"/>
      <c r="F279" s="17"/>
      <c r="G279" s="2"/>
      <c r="H279" s="2"/>
      <c r="I279" s="2"/>
      <c r="J279" s="2"/>
      <c r="K279" s="2"/>
    </row>
    <row r="280">
      <c r="A280" s="17"/>
      <c r="B280" s="17"/>
      <c r="C280" s="17"/>
      <c r="D280" s="17"/>
      <c r="E280" s="17"/>
      <c r="F280" s="17"/>
      <c r="G280" s="2"/>
      <c r="H280" s="2"/>
      <c r="I280" s="2"/>
      <c r="J280" s="2"/>
      <c r="K280" s="2"/>
    </row>
    <row r="281">
      <c r="A281" s="17"/>
      <c r="B281" s="17"/>
      <c r="C281" s="17"/>
      <c r="D281" s="17"/>
      <c r="E281" s="17"/>
      <c r="F281" s="17"/>
      <c r="G281" s="2"/>
      <c r="H281" s="2"/>
      <c r="I281" s="2"/>
      <c r="J281" s="2"/>
      <c r="K281" s="2"/>
    </row>
    <row r="282">
      <c r="A282" s="17"/>
      <c r="B282" s="17"/>
      <c r="C282" s="17"/>
      <c r="D282" s="17"/>
      <c r="E282" s="17"/>
      <c r="F282" s="17"/>
      <c r="G282" s="2"/>
      <c r="H282" s="2"/>
      <c r="I282" s="2"/>
      <c r="J282" s="2"/>
      <c r="K282" s="2"/>
    </row>
    <row r="283">
      <c r="A283" s="17"/>
      <c r="B283" s="17"/>
      <c r="C283" s="17"/>
      <c r="D283" s="17"/>
      <c r="E283" s="17"/>
      <c r="F283" s="17"/>
      <c r="G283" s="2"/>
      <c r="H283" s="2"/>
      <c r="I283" s="2"/>
      <c r="J283" s="2"/>
      <c r="K283" s="2"/>
    </row>
    <row r="284">
      <c r="A284" s="17"/>
      <c r="B284" s="17"/>
      <c r="C284" s="17"/>
      <c r="D284" s="17"/>
      <c r="E284" s="17"/>
      <c r="F284" s="17"/>
      <c r="G284" s="2"/>
      <c r="H284" s="2"/>
      <c r="I284" s="2"/>
      <c r="J284" s="2"/>
      <c r="K284" s="2"/>
    </row>
    <row r="285">
      <c r="A285" s="17"/>
      <c r="B285" s="17"/>
      <c r="C285" s="17"/>
      <c r="D285" s="17"/>
      <c r="E285" s="17"/>
      <c r="F285" s="17"/>
      <c r="G285" s="2"/>
      <c r="H285" s="2"/>
      <c r="I285" s="2"/>
      <c r="J285" s="2"/>
      <c r="K285" s="2"/>
    </row>
    <row r="286">
      <c r="A286" s="17"/>
      <c r="B286" s="17"/>
      <c r="C286" s="17"/>
      <c r="D286" s="17"/>
      <c r="E286" s="17"/>
      <c r="F286" s="17"/>
      <c r="G286" s="2"/>
      <c r="H286" s="2"/>
      <c r="I286" s="2"/>
      <c r="J286" s="2"/>
      <c r="K286" s="2"/>
    </row>
    <row r="287">
      <c r="A287" s="17"/>
      <c r="B287" s="17"/>
      <c r="C287" s="17"/>
      <c r="D287" s="17"/>
      <c r="E287" s="17"/>
      <c r="F287" s="17"/>
      <c r="G287" s="2"/>
      <c r="H287" s="2"/>
      <c r="I287" s="2"/>
      <c r="J287" s="2"/>
      <c r="K287" s="2"/>
    </row>
    <row r="288">
      <c r="A288" s="17"/>
      <c r="B288" s="17"/>
      <c r="C288" s="17"/>
      <c r="D288" s="17"/>
      <c r="E288" s="17"/>
      <c r="F288" s="17"/>
      <c r="G288" s="2"/>
      <c r="H288" s="2"/>
      <c r="I288" s="2"/>
      <c r="J288" s="2"/>
      <c r="K288" s="2"/>
    </row>
    <row r="289">
      <c r="A289" s="17"/>
      <c r="B289" s="17"/>
      <c r="C289" s="17"/>
      <c r="D289" s="17"/>
      <c r="E289" s="17"/>
      <c r="F289" s="17"/>
      <c r="G289" s="2"/>
      <c r="H289" s="2"/>
      <c r="I289" s="2"/>
      <c r="J289" s="2"/>
      <c r="K289" s="2"/>
    </row>
    <row r="290">
      <c r="A290" s="17"/>
      <c r="B290" s="17"/>
      <c r="C290" s="17"/>
      <c r="D290" s="17"/>
      <c r="E290" s="17"/>
      <c r="F290" s="17"/>
      <c r="G290" s="2"/>
      <c r="H290" s="2"/>
      <c r="I290" s="2"/>
      <c r="J290" s="2"/>
      <c r="K290" s="2"/>
    </row>
    <row r="291">
      <c r="A291" s="17"/>
      <c r="B291" s="17"/>
      <c r="C291" s="17"/>
      <c r="D291" s="17"/>
      <c r="E291" s="17"/>
      <c r="F291" s="17"/>
      <c r="G291" s="2"/>
      <c r="H291" s="2"/>
      <c r="I291" s="2"/>
      <c r="J291" s="2"/>
      <c r="K291" s="2"/>
    </row>
    <row r="292">
      <c r="A292" s="17"/>
      <c r="B292" s="17"/>
      <c r="C292" s="17"/>
      <c r="D292" s="17"/>
      <c r="E292" s="17"/>
      <c r="F292" s="17"/>
      <c r="G292" s="2"/>
      <c r="H292" s="2"/>
      <c r="I292" s="2"/>
      <c r="J292" s="2"/>
      <c r="K292" s="2"/>
    </row>
    <row r="293">
      <c r="A293" s="17"/>
      <c r="B293" s="17"/>
      <c r="C293" s="17"/>
      <c r="D293" s="17"/>
      <c r="E293" s="17"/>
      <c r="F293" s="17"/>
      <c r="G293" s="2"/>
      <c r="H293" s="2"/>
      <c r="I293" s="2"/>
      <c r="J293" s="2"/>
      <c r="K293" s="2"/>
    </row>
    <row r="294">
      <c r="A294" s="17"/>
      <c r="B294" s="17"/>
      <c r="C294" s="17"/>
      <c r="D294" s="17"/>
      <c r="E294" s="17"/>
      <c r="F294" s="17"/>
      <c r="G294" s="2"/>
      <c r="H294" s="2"/>
      <c r="I294" s="2"/>
      <c r="J294" s="2"/>
      <c r="K294" s="2"/>
    </row>
    <row r="295">
      <c r="A295" s="17"/>
      <c r="B295" s="17"/>
      <c r="C295" s="17"/>
      <c r="D295" s="17"/>
      <c r="E295" s="17"/>
      <c r="F295" s="17"/>
      <c r="G295" s="2"/>
      <c r="H295" s="2"/>
      <c r="I295" s="2"/>
      <c r="J295" s="2"/>
      <c r="K295" s="2"/>
    </row>
    <row r="296">
      <c r="A296" s="17"/>
      <c r="B296" s="17"/>
      <c r="C296" s="17"/>
      <c r="D296" s="17"/>
      <c r="E296" s="17"/>
      <c r="F296" s="17"/>
      <c r="G296" s="2"/>
      <c r="H296" s="2"/>
      <c r="I296" s="2"/>
      <c r="J296" s="2"/>
      <c r="K296" s="2"/>
    </row>
    <row r="297">
      <c r="A297" s="17"/>
      <c r="B297" s="17"/>
      <c r="C297" s="17"/>
      <c r="D297" s="17"/>
      <c r="E297" s="17"/>
      <c r="F297" s="17"/>
      <c r="G297" s="2"/>
      <c r="H297" s="2"/>
      <c r="I297" s="2"/>
      <c r="J297" s="2"/>
      <c r="K297" s="2"/>
    </row>
    <row r="298">
      <c r="A298" s="17"/>
      <c r="B298" s="17"/>
      <c r="C298" s="17"/>
      <c r="D298" s="17"/>
      <c r="E298" s="17"/>
      <c r="F298" s="17"/>
      <c r="G298" s="2"/>
      <c r="H298" s="2"/>
      <c r="I298" s="2"/>
      <c r="J298" s="2"/>
      <c r="K298" s="2"/>
    </row>
    <row r="299">
      <c r="A299" s="17"/>
      <c r="B299" s="17"/>
      <c r="C299" s="17"/>
      <c r="D299" s="17"/>
      <c r="E299" s="17"/>
      <c r="F299" s="17"/>
      <c r="G299" s="2"/>
      <c r="H299" s="2"/>
      <c r="I299" s="2"/>
      <c r="J299" s="2"/>
      <c r="K299" s="2"/>
    </row>
    <row r="300">
      <c r="A300" s="17"/>
      <c r="B300" s="17"/>
      <c r="C300" s="17"/>
      <c r="D300" s="17"/>
      <c r="E300" s="17"/>
      <c r="F300" s="17"/>
      <c r="G300" s="2"/>
      <c r="H300" s="2"/>
      <c r="I300" s="2"/>
      <c r="J300" s="2"/>
      <c r="K300" s="2"/>
    </row>
    <row r="301">
      <c r="A301" s="17"/>
      <c r="B301" s="17"/>
      <c r="C301" s="17"/>
      <c r="D301" s="17"/>
      <c r="E301" s="17"/>
      <c r="F301" s="17"/>
      <c r="G301" s="2"/>
      <c r="H301" s="2"/>
      <c r="I301" s="2"/>
      <c r="J301" s="2"/>
      <c r="K301" s="2"/>
    </row>
    <row r="302">
      <c r="A302" s="17"/>
      <c r="B302" s="17"/>
      <c r="C302" s="17"/>
      <c r="D302" s="17"/>
      <c r="E302" s="17"/>
      <c r="F302" s="17"/>
      <c r="G302" s="2"/>
      <c r="H302" s="2"/>
      <c r="I302" s="2"/>
      <c r="J302" s="2"/>
      <c r="K302" s="2"/>
    </row>
    <row r="303">
      <c r="A303" s="17"/>
      <c r="B303" s="17"/>
      <c r="C303" s="17"/>
      <c r="D303" s="17"/>
      <c r="E303" s="17"/>
      <c r="F303" s="17"/>
      <c r="G303" s="2"/>
      <c r="H303" s="2"/>
      <c r="I303" s="2"/>
      <c r="J303" s="2"/>
      <c r="K303" s="2"/>
    </row>
    <row r="304">
      <c r="A304" s="17"/>
      <c r="B304" s="17"/>
      <c r="C304" s="17"/>
      <c r="D304" s="17"/>
      <c r="E304" s="17"/>
      <c r="F304" s="17"/>
      <c r="G304" s="2"/>
      <c r="H304" s="2"/>
      <c r="I304" s="2"/>
      <c r="J304" s="2"/>
      <c r="K304" s="2"/>
    </row>
    <row r="305">
      <c r="A305" s="17"/>
      <c r="B305" s="17"/>
      <c r="C305" s="17"/>
      <c r="D305" s="17"/>
      <c r="E305" s="17"/>
      <c r="F305" s="17"/>
      <c r="G305" s="2"/>
      <c r="H305" s="2"/>
      <c r="I305" s="2"/>
      <c r="J305" s="2"/>
      <c r="K305" s="2"/>
    </row>
    <row r="306">
      <c r="A306" s="17"/>
      <c r="B306" s="17"/>
      <c r="C306" s="17"/>
      <c r="D306" s="17"/>
      <c r="E306" s="17"/>
      <c r="F306" s="17"/>
      <c r="G306" s="2"/>
      <c r="H306" s="2"/>
      <c r="I306" s="2"/>
      <c r="J306" s="2"/>
      <c r="K306" s="2"/>
    </row>
    <row r="307">
      <c r="A307" s="17"/>
      <c r="B307" s="17"/>
      <c r="C307" s="17"/>
      <c r="D307" s="17"/>
      <c r="E307" s="17"/>
      <c r="F307" s="17"/>
      <c r="G307" s="2"/>
      <c r="H307" s="2"/>
      <c r="I307" s="2"/>
      <c r="J307" s="2"/>
      <c r="K307" s="2"/>
    </row>
    <row r="308">
      <c r="A308" s="17"/>
      <c r="B308" s="17"/>
      <c r="C308" s="17"/>
      <c r="D308" s="17"/>
      <c r="E308" s="17"/>
      <c r="F308" s="17"/>
      <c r="G308" s="2"/>
      <c r="H308" s="2"/>
      <c r="I308" s="2"/>
      <c r="J308" s="2"/>
      <c r="K308" s="2"/>
    </row>
    <row r="309">
      <c r="A309" s="17"/>
      <c r="B309" s="17"/>
      <c r="C309" s="17"/>
      <c r="D309" s="17"/>
      <c r="E309" s="17"/>
      <c r="F309" s="17"/>
      <c r="G309" s="2"/>
      <c r="H309" s="2"/>
      <c r="I309" s="2"/>
      <c r="J309" s="2"/>
      <c r="K309" s="2"/>
    </row>
    <row r="310">
      <c r="A310" s="17"/>
      <c r="B310" s="17"/>
      <c r="C310" s="17"/>
      <c r="D310" s="17"/>
      <c r="E310" s="17"/>
      <c r="F310" s="17"/>
      <c r="G310" s="2"/>
      <c r="H310" s="2"/>
      <c r="I310" s="2"/>
      <c r="J310" s="2"/>
      <c r="K310" s="2"/>
    </row>
    <row r="311">
      <c r="A311" s="17"/>
      <c r="B311" s="17"/>
      <c r="C311" s="17"/>
      <c r="D311" s="17"/>
      <c r="E311" s="17"/>
      <c r="F311" s="17"/>
      <c r="G311" s="2"/>
      <c r="H311" s="2"/>
      <c r="I311" s="2"/>
      <c r="J311" s="2"/>
      <c r="K311" s="2"/>
    </row>
    <row r="312">
      <c r="A312" s="17"/>
      <c r="B312" s="17"/>
      <c r="C312" s="17"/>
      <c r="D312" s="17"/>
      <c r="E312" s="17"/>
      <c r="F312" s="17"/>
      <c r="G312" s="2"/>
      <c r="H312" s="2"/>
      <c r="I312" s="2"/>
      <c r="J312" s="2"/>
      <c r="K312" s="2"/>
    </row>
    <row r="313">
      <c r="A313" s="17"/>
      <c r="B313" s="17"/>
      <c r="C313" s="17"/>
      <c r="D313" s="17"/>
      <c r="E313" s="17"/>
      <c r="F313" s="17"/>
      <c r="G313" s="2"/>
      <c r="H313" s="2"/>
      <c r="I313" s="2"/>
      <c r="J313" s="2"/>
      <c r="K313" s="2"/>
    </row>
    <row r="314">
      <c r="A314" s="17"/>
      <c r="B314" s="17"/>
      <c r="C314" s="17"/>
      <c r="D314" s="17"/>
      <c r="E314" s="17"/>
      <c r="F314" s="17"/>
      <c r="G314" s="2"/>
      <c r="H314" s="2"/>
      <c r="I314" s="2"/>
      <c r="J314" s="2"/>
      <c r="K314" s="2"/>
    </row>
    <row r="315">
      <c r="A315" s="17"/>
      <c r="B315" s="17"/>
      <c r="C315" s="17"/>
      <c r="D315" s="17"/>
      <c r="E315" s="17"/>
      <c r="F315" s="17"/>
      <c r="G315" s="2"/>
      <c r="H315" s="2"/>
      <c r="I315" s="2"/>
      <c r="J315" s="2"/>
      <c r="K315" s="2"/>
    </row>
    <row r="316">
      <c r="A316" s="17"/>
      <c r="B316" s="17"/>
      <c r="C316" s="17"/>
      <c r="D316" s="17"/>
      <c r="E316" s="17"/>
      <c r="F316" s="17"/>
      <c r="G316" s="2"/>
      <c r="H316" s="2"/>
      <c r="I316" s="2"/>
      <c r="J316" s="2"/>
      <c r="K316" s="2"/>
    </row>
    <row r="317">
      <c r="A317" s="17"/>
      <c r="B317" s="17"/>
      <c r="C317" s="17"/>
      <c r="D317" s="17"/>
      <c r="E317" s="17"/>
      <c r="F317" s="17"/>
      <c r="G317" s="2"/>
      <c r="H317" s="2"/>
      <c r="I317" s="2"/>
      <c r="J317" s="2"/>
      <c r="K317" s="2"/>
    </row>
    <row r="318">
      <c r="A318" s="17"/>
      <c r="B318" s="17"/>
      <c r="C318" s="17"/>
      <c r="D318" s="17"/>
      <c r="E318" s="17"/>
      <c r="F318" s="17"/>
      <c r="G318" s="2"/>
      <c r="H318" s="2"/>
      <c r="I318" s="2"/>
      <c r="J318" s="2"/>
      <c r="K318" s="2"/>
    </row>
    <row r="319">
      <c r="A319" s="17"/>
      <c r="B319" s="17"/>
      <c r="C319" s="17"/>
      <c r="D319" s="17"/>
      <c r="E319" s="17"/>
      <c r="F319" s="17"/>
      <c r="G319" s="2"/>
      <c r="H319" s="2"/>
      <c r="I319" s="2"/>
      <c r="J319" s="2"/>
      <c r="K319" s="2"/>
    </row>
    <row r="320">
      <c r="A320" s="17"/>
      <c r="B320" s="17"/>
      <c r="C320" s="17"/>
      <c r="D320" s="17"/>
      <c r="E320" s="17"/>
      <c r="F320" s="17"/>
      <c r="G320" s="2"/>
      <c r="H320" s="2"/>
      <c r="I320" s="2"/>
      <c r="J320" s="2"/>
      <c r="K320" s="2"/>
    </row>
    <row r="321">
      <c r="A321" s="17"/>
      <c r="B321" s="17"/>
      <c r="C321" s="17"/>
      <c r="D321" s="17"/>
      <c r="E321" s="17"/>
      <c r="F321" s="17"/>
      <c r="G321" s="2"/>
      <c r="H321" s="2"/>
      <c r="I321" s="2"/>
      <c r="J321" s="2"/>
      <c r="K321" s="2"/>
    </row>
    <row r="322">
      <c r="A322" s="17"/>
      <c r="B322" s="17"/>
      <c r="C322" s="17"/>
      <c r="D322" s="17"/>
      <c r="E322" s="17"/>
      <c r="F322" s="17"/>
      <c r="G322" s="2"/>
      <c r="H322" s="2"/>
      <c r="I322" s="2"/>
      <c r="J322" s="2"/>
      <c r="K322" s="2"/>
    </row>
    <row r="323">
      <c r="A323" s="17"/>
      <c r="B323" s="17"/>
      <c r="C323" s="17"/>
      <c r="D323" s="17"/>
      <c r="E323" s="17"/>
      <c r="F323" s="17"/>
      <c r="G323" s="2"/>
      <c r="H323" s="2"/>
      <c r="I323" s="2"/>
      <c r="J323" s="2"/>
      <c r="K323" s="2"/>
    </row>
    <row r="324">
      <c r="A324" s="17"/>
      <c r="B324" s="17"/>
      <c r="C324" s="17"/>
      <c r="D324" s="17"/>
      <c r="E324" s="17"/>
      <c r="F324" s="17"/>
      <c r="G324" s="2"/>
      <c r="H324" s="2"/>
      <c r="I324" s="2"/>
      <c r="J324" s="2"/>
      <c r="K324" s="2"/>
    </row>
    <row r="325">
      <c r="A325" s="17"/>
      <c r="B325" s="17"/>
      <c r="C325" s="17"/>
      <c r="D325" s="17"/>
      <c r="E325" s="17"/>
      <c r="F325" s="17"/>
      <c r="G325" s="2"/>
      <c r="H325" s="2"/>
      <c r="I325" s="2"/>
      <c r="J325" s="2"/>
      <c r="K325" s="2"/>
    </row>
    <row r="326">
      <c r="A326" s="17"/>
      <c r="B326" s="17"/>
      <c r="C326" s="17"/>
      <c r="D326" s="17"/>
      <c r="E326" s="17"/>
      <c r="F326" s="17"/>
      <c r="G326" s="2"/>
      <c r="H326" s="2"/>
      <c r="I326" s="2"/>
      <c r="J326" s="2"/>
      <c r="K326" s="2"/>
    </row>
    <row r="327">
      <c r="A327" s="17"/>
      <c r="B327" s="17"/>
      <c r="C327" s="17"/>
      <c r="D327" s="17"/>
      <c r="E327" s="17"/>
      <c r="F327" s="17"/>
      <c r="G327" s="2"/>
      <c r="H327" s="2"/>
      <c r="I327" s="2"/>
      <c r="J327" s="2"/>
      <c r="K327" s="2"/>
    </row>
    <row r="328">
      <c r="A328" s="17"/>
      <c r="B328" s="17"/>
      <c r="C328" s="17"/>
      <c r="D328" s="17"/>
      <c r="E328" s="17"/>
      <c r="F328" s="17"/>
      <c r="G328" s="2"/>
      <c r="H328" s="2"/>
      <c r="I328" s="2"/>
      <c r="J328" s="2"/>
      <c r="K328" s="2"/>
    </row>
    <row r="329">
      <c r="A329" s="17"/>
      <c r="B329" s="17"/>
      <c r="C329" s="17"/>
      <c r="D329" s="17"/>
      <c r="E329" s="17"/>
      <c r="F329" s="17"/>
      <c r="G329" s="2"/>
      <c r="H329" s="2"/>
      <c r="I329" s="2"/>
      <c r="J329" s="2"/>
      <c r="K329" s="2"/>
    </row>
    <row r="330">
      <c r="A330" s="17"/>
      <c r="B330" s="17"/>
      <c r="C330" s="17"/>
      <c r="D330" s="17"/>
      <c r="E330" s="17"/>
      <c r="F330" s="17"/>
      <c r="G330" s="2"/>
      <c r="H330" s="2"/>
      <c r="I330" s="2"/>
      <c r="J330" s="2"/>
      <c r="K330" s="2"/>
    </row>
    <row r="331">
      <c r="A331" s="17"/>
      <c r="B331" s="17"/>
      <c r="C331" s="17"/>
      <c r="D331" s="17"/>
      <c r="E331" s="17"/>
      <c r="F331" s="17"/>
      <c r="G331" s="2"/>
      <c r="H331" s="2"/>
      <c r="I331" s="2"/>
      <c r="J331" s="2"/>
      <c r="K331" s="2"/>
    </row>
    <row r="332">
      <c r="A332" s="17"/>
      <c r="B332" s="17"/>
      <c r="C332" s="17"/>
      <c r="D332" s="17"/>
      <c r="E332" s="17"/>
      <c r="F332" s="17"/>
      <c r="G332" s="2"/>
      <c r="H332" s="2"/>
      <c r="I332" s="2"/>
      <c r="J332" s="2"/>
      <c r="K332" s="2"/>
    </row>
    <row r="333">
      <c r="A333" s="17"/>
      <c r="B333" s="17"/>
      <c r="C333" s="17"/>
      <c r="D333" s="17"/>
      <c r="E333" s="17"/>
      <c r="F333" s="17"/>
      <c r="G333" s="2"/>
      <c r="H333" s="2"/>
      <c r="I333" s="2"/>
      <c r="J333" s="2"/>
      <c r="K333" s="2"/>
    </row>
    <row r="334">
      <c r="A334" s="17"/>
      <c r="B334" s="17"/>
      <c r="C334" s="17"/>
      <c r="D334" s="17"/>
      <c r="E334" s="17"/>
      <c r="F334" s="17"/>
      <c r="G334" s="2"/>
      <c r="H334" s="2"/>
      <c r="I334" s="2"/>
      <c r="J334" s="2"/>
      <c r="K334" s="2"/>
    </row>
    <row r="335">
      <c r="A335" s="17"/>
      <c r="B335" s="17"/>
      <c r="C335" s="17"/>
      <c r="D335" s="17"/>
      <c r="E335" s="17"/>
      <c r="F335" s="17"/>
      <c r="G335" s="2"/>
      <c r="H335" s="2"/>
      <c r="I335" s="2"/>
      <c r="J335" s="2"/>
      <c r="K335" s="2"/>
    </row>
    <row r="336">
      <c r="A336" s="17"/>
      <c r="B336" s="17"/>
      <c r="C336" s="17"/>
      <c r="D336" s="17"/>
      <c r="E336" s="17"/>
      <c r="F336" s="17"/>
      <c r="G336" s="2"/>
      <c r="H336" s="2"/>
      <c r="I336" s="2"/>
      <c r="J336" s="2"/>
      <c r="K336" s="2"/>
    </row>
    <row r="337">
      <c r="A337" s="17"/>
      <c r="B337" s="17"/>
      <c r="C337" s="17"/>
      <c r="D337" s="17"/>
      <c r="E337" s="17"/>
      <c r="F337" s="17"/>
      <c r="G337" s="2"/>
      <c r="H337" s="2"/>
      <c r="I337" s="2"/>
      <c r="J337" s="2"/>
      <c r="K337" s="2"/>
    </row>
    <row r="338">
      <c r="A338" s="17"/>
      <c r="B338" s="17"/>
      <c r="C338" s="17"/>
      <c r="D338" s="17"/>
      <c r="E338" s="17"/>
      <c r="F338" s="17"/>
      <c r="G338" s="2"/>
      <c r="H338" s="2"/>
      <c r="I338" s="2"/>
      <c r="J338" s="2"/>
      <c r="K338" s="2"/>
    </row>
    <row r="339">
      <c r="A339" s="17"/>
      <c r="B339" s="17"/>
      <c r="C339" s="17"/>
      <c r="D339" s="17"/>
      <c r="E339" s="17"/>
      <c r="F339" s="17"/>
      <c r="G339" s="2"/>
      <c r="H339" s="2"/>
      <c r="I339" s="2"/>
      <c r="J339" s="2"/>
      <c r="K339" s="2"/>
    </row>
    <row r="340">
      <c r="A340" s="17"/>
      <c r="B340" s="17"/>
      <c r="C340" s="17"/>
      <c r="D340" s="17"/>
      <c r="E340" s="17"/>
      <c r="F340" s="17"/>
      <c r="G340" s="2"/>
      <c r="H340" s="2"/>
      <c r="I340" s="2"/>
      <c r="J340" s="2"/>
      <c r="K340" s="2"/>
    </row>
    <row r="341">
      <c r="A341" s="17"/>
      <c r="B341" s="17"/>
      <c r="C341" s="17"/>
      <c r="D341" s="17"/>
      <c r="E341" s="17"/>
      <c r="F341" s="17"/>
      <c r="G341" s="2"/>
      <c r="H341" s="2"/>
      <c r="I341" s="2"/>
      <c r="J341" s="2"/>
      <c r="K341" s="2"/>
    </row>
    <row r="342">
      <c r="A342" s="17"/>
      <c r="B342" s="17"/>
      <c r="C342" s="17"/>
      <c r="D342" s="17"/>
      <c r="E342" s="17"/>
      <c r="F342" s="17"/>
      <c r="G342" s="2"/>
      <c r="H342" s="2"/>
      <c r="I342" s="2"/>
      <c r="J342" s="2"/>
      <c r="K342" s="2"/>
    </row>
    <row r="343">
      <c r="A343" s="17"/>
      <c r="B343" s="17"/>
      <c r="C343" s="17"/>
      <c r="D343" s="17"/>
      <c r="E343" s="17"/>
      <c r="F343" s="17"/>
      <c r="G343" s="2"/>
      <c r="H343" s="2"/>
      <c r="I343" s="2"/>
      <c r="J343" s="2"/>
      <c r="K343" s="2"/>
    </row>
    <row r="344">
      <c r="A344" s="17"/>
      <c r="B344" s="17"/>
      <c r="C344" s="17"/>
      <c r="D344" s="17"/>
      <c r="E344" s="17"/>
      <c r="F344" s="17"/>
      <c r="G344" s="2"/>
      <c r="H344" s="2"/>
      <c r="I344" s="2"/>
      <c r="J344" s="2"/>
      <c r="K344" s="2"/>
    </row>
    <row r="345">
      <c r="A345" s="17"/>
      <c r="B345" s="17"/>
      <c r="C345" s="17"/>
      <c r="D345" s="17"/>
      <c r="E345" s="17"/>
      <c r="F345" s="17"/>
      <c r="G345" s="2"/>
      <c r="H345" s="2"/>
      <c r="I345" s="2"/>
      <c r="J345" s="2"/>
      <c r="K345" s="2"/>
    </row>
    <row r="346">
      <c r="A346" s="17"/>
      <c r="B346" s="17"/>
      <c r="C346" s="17"/>
      <c r="D346" s="17"/>
      <c r="E346" s="17"/>
      <c r="F346" s="17"/>
      <c r="G346" s="2"/>
      <c r="H346" s="2"/>
      <c r="I346" s="2"/>
      <c r="J346" s="2"/>
      <c r="K346" s="2"/>
    </row>
    <row r="347">
      <c r="A347" s="17"/>
      <c r="B347" s="17"/>
      <c r="C347" s="17"/>
      <c r="D347" s="17"/>
      <c r="E347" s="17"/>
      <c r="F347" s="17"/>
      <c r="G347" s="2"/>
      <c r="H347" s="2"/>
      <c r="I347" s="2"/>
      <c r="J347" s="2"/>
      <c r="K347" s="2"/>
    </row>
    <row r="348">
      <c r="A348" s="17"/>
      <c r="B348" s="17"/>
      <c r="C348" s="17"/>
      <c r="D348" s="17"/>
      <c r="E348" s="17"/>
      <c r="F348" s="17"/>
      <c r="G348" s="2"/>
      <c r="H348" s="2"/>
      <c r="I348" s="2"/>
      <c r="J348" s="2"/>
      <c r="K348" s="2"/>
    </row>
    <row r="349">
      <c r="A349" s="17"/>
      <c r="B349" s="17"/>
      <c r="C349" s="17"/>
      <c r="D349" s="17"/>
      <c r="E349" s="17"/>
      <c r="F349" s="17"/>
      <c r="G349" s="2"/>
      <c r="H349" s="2"/>
      <c r="I349" s="2"/>
      <c r="J349" s="2"/>
      <c r="K349" s="2"/>
    </row>
    <row r="350">
      <c r="A350" s="17"/>
      <c r="B350" s="17"/>
      <c r="C350" s="17"/>
      <c r="D350" s="17"/>
      <c r="E350" s="17"/>
      <c r="F350" s="17"/>
      <c r="G350" s="2"/>
      <c r="H350" s="2"/>
      <c r="I350" s="2"/>
      <c r="J350" s="2"/>
      <c r="K350" s="2"/>
    </row>
    <row r="351">
      <c r="A351" s="17"/>
      <c r="B351" s="17"/>
      <c r="C351" s="17"/>
      <c r="D351" s="17"/>
      <c r="E351" s="17"/>
      <c r="F351" s="17"/>
      <c r="G351" s="2"/>
      <c r="H351" s="2"/>
      <c r="I351" s="2"/>
      <c r="J351" s="2"/>
      <c r="K351" s="2"/>
    </row>
    <row r="352">
      <c r="A352" s="17"/>
      <c r="B352" s="17"/>
      <c r="C352" s="17"/>
      <c r="D352" s="17"/>
      <c r="E352" s="17"/>
      <c r="F352" s="17"/>
      <c r="G352" s="2"/>
      <c r="H352" s="2"/>
      <c r="I352" s="2"/>
      <c r="J352" s="2"/>
      <c r="K352" s="2"/>
    </row>
    <row r="353">
      <c r="A353" s="17"/>
      <c r="B353" s="17"/>
      <c r="C353" s="17"/>
      <c r="D353" s="17"/>
      <c r="E353" s="17"/>
      <c r="F353" s="17"/>
      <c r="G353" s="2"/>
      <c r="H353" s="2"/>
      <c r="I353" s="2"/>
      <c r="J353" s="2"/>
      <c r="K353" s="2"/>
    </row>
    <row r="354">
      <c r="A354" s="17"/>
      <c r="B354" s="17"/>
      <c r="C354" s="17"/>
      <c r="D354" s="17"/>
      <c r="E354" s="17"/>
      <c r="F354" s="17"/>
      <c r="G354" s="2"/>
      <c r="H354" s="2"/>
      <c r="I354" s="2"/>
      <c r="J354" s="2"/>
      <c r="K354" s="2"/>
    </row>
    <row r="355">
      <c r="A355" s="17"/>
      <c r="B355" s="17"/>
      <c r="C355" s="17"/>
      <c r="D355" s="17"/>
      <c r="E355" s="17"/>
      <c r="F355" s="17"/>
      <c r="G355" s="2"/>
      <c r="H355" s="2"/>
      <c r="I355" s="2"/>
      <c r="J355" s="2"/>
      <c r="K355" s="2"/>
    </row>
    <row r="356">
      <c r="A356" s="17"/>
      <c r="B356" s="17"/>
      <c r="C356" s="17"/>
      <c r="D356" s="17"/>
      <c r="E356" s="17"/>
      <c r="F356" s="17"/>
      <c r="G356" s="2"/>
      <c r="H356" s="2"/>
      <c r="I356" s="2"/>
      <c r="J356" s="2"/>
      <c r="K356" s="2"/>
    </row>
    <row r="357">
      <c r="A357" s="17"/>
      <c r="B357" s="17"/>
      <c r="C357" s="17"/>
      <c r="D357" s="17"/>
      <c r="E357" s="17"/>
      <c r="F357" s="17"/>
      <c r="G357" s="2"/>
      <c r="H357" s="2"/>
      <c r="I357" s="2"/>
      <c r="J357" s="2"/>
      <c r="K357" s="2"/>
    </row>
    <row r="358">
      <c r="A358" s="17"/>
      <c r="B358" s="17"/>
      <c r="C358" s="17"/>
      <c r="D358" s="17"/>
      <c r="E358" s="17"/>
      <c r="F358" s="17"/>
      <c r="G358" s="2"/>
      <c r="H358" s="2"/>
      <c r="I358" s="2"/>
      <c r="J358" s="2"/>
      <c r="K358" s="2"/>
    </row>
    <row r="359">
      <c r="A359" s="17"/>
      <c r="B359" s="17"/>
      <c r="C359" s="17"/>
      <c r="D359" s="17"/>
      <c r="E359" s="17"/>
      <c r="F359" s="17"/>
      <c r="G359" s="2"/>
      <c r="H359" s="2"/>
      <c r="I359" s="2"/>
      <c r="J359" s="2"/>
      <c r="K359" s="2"/>
    </row>
    <row r="360">
      <c r="A360" s="17"/>
      <c r="B360" s="17"/>
      <c r="C360" s="17"/>
      <c r="D360" s="17"/>
      <c r="E360" s="17"/>
      <c r="F360" s="17"/>
      <c r="G360" s="2"/>
      <c r="H360" s="2"/>
      <c r="I360" s="2"/>
      <c r="J360" s="2"/>
      <c r="K360" s="2"/>
    </row>
    <row r="361">
      <c r="A361" s="17"/>
      <c r="B361" s="17"/>
      <c r="C361" s="17"/>
      <c r="D361" s="17"/>
      <c r="E361" s="17"/>
      <c r="F361" s="17"/>
      <c r="G361" s="2"/>
      <c r="H361" s="2"/>
      <c r="I361" s="2"/>
      <c r="J361" s="2"/>
      <c r="K361" s="2"/>
    </row>
    <row r="362">
      <c r="A362" s="17"/>
      <c r="B362" s="17"/>
      <c r="C362" s="17"/>
      <c r="D362" s="17"/>
      <c r="E362" s="17"/>
      <c r="F362" s="17"/>
      <c r="G362" s="2"/>
      <c r="H362" s="2"/>
      <c r="I362" s="2"/>
      <c r="J362" s="2"/>
      <c r="K362" s="2"/>
    </row>
    <row r="363">
      <c r="A363" s="17"/>
      <c r="B363" s="17"/>
      <c r="C363" s="17"/>
      <c r="D363" s="17"/>
      <c r="E363" s="17"/>
      <c r="F363" s="17"/>
      <c r="G363" s="2"/>
      <c r="H363" s="2"/>
      <c r="I363" s="2"/>
      <c r="J363" s="2"/>
      <c r="K363" s="2"/>
    </row>
    <row r="364">
      <c r="A364" s="17"/>
      <c r="B364" s="17"/>
      <c r="C364" s="17"/>
      <c r="D364" s="17"/>
      <c r="E364" s="17"/>
      <c r="F364" s="17"/>
      <c r="G364" s="2"/>
      <c r="H364" s="2"/>
      <c r="I364" s="2"/>
      <c r="J364" s="2"/>
      <c r="K364" s="2"/>
    </row>
    <row r="365">
      <c r="A365" s="17"/>
      <c r="B365" s="17"/>
      <c r="C365" s="17"/>
      <c r="D365" s="17"/>
      <c r="E365" s="17"/>
      <c r="F365" s="17"/>
      <c r="G365" s="2"/>
      <c r="H365" s="2"/>
      <c r="I365" s="2"/>
      <c r="J365" s="2"/>
      <c r="K365" s="2"/>
    </row>
    <row r="366">
      <c r="A366" s="17"/>
      <c r="B366" s="17"/>
      <c r="C366" s="17"/>
      <c r="D366" s="17"/>
      <c r="E366" s="17"/>
      <c r="F366" s="17"/>
      <c r="G366" s="2"/>
      <c r="H366" s="2"/>
      <c r="I366" s="2"/>
      <c r="J366" s="2"/>
      <c r="K366" s="2"/>
    </row>
    <row r="367">
      <c r="A367" s="17"/>
      <c r="B367" s="17"/>
      <c r="C367" s="17"/>
      <c r="D367" s="17"/>
      <c r="E367" s="17"/>
      <c r="F367" s="17"/>
      <c r="G367" s="2"/>
      <c r="H367" s="2"/>
      <c r="I367" s="2"/>
      <c r="J367" s="2"/>
      <c r="K367" s="2"/>
    </row>
    <row r="368">
      <c r="A368" s="17"/>
      <c r="B368" s="17"/>
      <c r="C368" s="17"/>
      <c r="D368" s="17"/>
      <c r="E368" s="17"/>
      <c r="F368" s="17"/>
      <c r="G368" s="2"/>
      <c r="H368" s="2"/>
      <c r="I368" s="2"/>
      <c r="J368" s="2"/>
      <c r="K368" s="2"/>
    </row>
    <row r="369">
      <c r="A369" s="17"/>
      <c r="B369" s="17"/>
      <c r="C369" s="17"/>
      <c r="D369" s="17"/>
      <c r="E369" s="17"/>
      <c r="F369" s="17"/>
      <c r="G369" s="2"/>
      <c r="H369" s="2"/>
      <c r="I369" s="2"/>
      <c r="J369" s="2"/>
      <c r="K369" s="2"/>
    </row>
    <row r="370">
      <c r="A370" s="17"/>
      <c r="B370" s="17"/>
      <c r="C370" s="17"/>
      <c r="D370" s="17"/>
      <c r="E370" s="17"/>
      <c r="F370" s="17"/>
      <c r="G370" s="2"/>
      <c r="H370" s="2"/>
      <c r="I370" s="2"/>
      <c r="J370" s="2"/>
      <c r="K370" s="2"/>
    </row>
    <row r="371">
      <c r="A371" s="17"/>
      <c r="B371" s="17"/>
      <c r="C371" s="17"/>
      <c r="D371" s="17"/>
      <c r="E371" s="17"/>
      <c r="F371" s="17"/>
      <c r="G371" s="2"/>
      <c r="H371" s="2"/>
      <c r="I371" s="2"/>
      <c r="J371" s="2"/>
      <c r="K371" s="2"/>
    </row>
    <row r="372">
      <c r="A372" s="17"/>
      <c r="B372" s="17"/>
      <c r="C372" s="17"/>
      <c r="D372" s="17"/>
      <c r="E372" s="17"/>
      <c r="F372" s="17"/>
      <c r="G372" s="2"/>
      <c r="H372" s="2"/>
      <c r="I372" s="2"/>
      <c r="J372" s="2"/>
      <c r="K372" s="2"/>
    </row>
    <row r="373">
      <c r="A373" s="17"/>
      <c r="B373" s="17"/>
      <c r="C373" s="17"/>
      <c r="D373" s="17"/>
      <c r="E373" s="17"/>
      <c r="F373" s="17"/>
      <c r="G373" s="2"/>
      <c r="H373" s="2"/>
      <c r="I373" s="2"/>
      <c r="J373" s="2"/>
      <c r="K373" s="2"/>
    </row>
    <row r="374">
      <c r="A374" s="17"/>
      <c r="B374" s="17"/>
      <c r="C374" s="17"/>
      <c r="D374" s="17"/>
      <c r="E374" s="17"/>
      <c r="F374" s="17"/>
      <c r="G374" s="2"/>
      <c r="H374" s="2"/>
      <c r="I374" s="2"/>
      <c r="J374" s="2"/>
      <c r="K374" s="2"/>
    </row>
    <row r="375">
      <c r="A375" s="17"/>
      <c r="B375" s="17"/>
      <c r="C375" s="17"/>
      <c r="D375" s="17"/>
      <c r="E375" s="17"/>
      <c r="F375" s="17"/>
      <c r="G375" s="2"/>
      <c r="H375" s="2"/>
      <c r="I375" s="2"/>
      <c r="J375" s="2"/>
      <c r="K375" s="2"/>
    </row>
    <row r="376">
      <c r="A376" s="17"/>
      <c r="B376" s="17"/>
      <c r="C376" s="17"/>
      <c r="D376" s="17"/>
      <c r="E376" s="17"/>
      <c r="F376" s="17"/>
      <c r="G376" s="2"/>
      <c r="H376" s="2"/>
      <c r="I376" s="2"/>
      <c r="J376" s="2"/>
      <c r="K376" s="2"/>
    </row>
    <row r="377">
      <c r="A377" s="17"/>
      <c r="B377" s="17"/>
      <c r="C377" s="17"/>
      <c r="D377" s="17"/>
      <c r="E377" s="17"/>
      <c r="F377" s="17"/>
      <c r="G377" s="2"/>
      <c r="H377" s="2"/>
      <c r="I377" s="2"/>
      <c r="J377" s="2"/>
      <c r="K377" s="2"/>
    </row>
    <row r="378">
      <c r="A378" s="17"/>
      <c r="B378" s="17"/>
      <c r="C378" s="17"/>
      <c r="D378" s="17"/>
      <c r="E378" s="17"/>
      <c r="F378" s="17"/>
      <c r="G378" s="2"/>
      <c r="H378" s="2"/>
      <c r="I378" s="2"/>
      <c r="J378" s="2"/>
      <c r="K378" s="2"/>
    </row>
    <row r="379">
      <c r="A379" s="17"/>
      <c r="B379" s="17"/>
      <c r="C379" s="17"/>
      <c r="D379" s="17"/>
      <c r="E379" s="17"/>
      <c r="F379" s="17"/>
      <c r="G379" s="2"/>
      <c r="H379" s="2"/>
      <c r="I379" s="2"/>
      <c r="J379" s="2"/>
      <c r="K379" s="2"/>
    </row>
    <row r="380">
      <c r="A380" s="17"/>
      <c r="B380" s="17"/>
      <c r="C380" s="17"/>
      <c r="D380" s="17"/>
      <c r="E380" s="17"/>
      <c r="F380" s="17"/>
      <c r="G380" s="2"/>
      <c r="H380" s="2"/>
      <c r="I380" s="2"/>
      <c r="J380" s="2"/>
      <c r="K380" s="2"/>
    </row>
    <row r="381">
      <c r="A381" s="17"/>
      <c r="B381" s="17"/>
      <c r="C381" s="17"/>
      <c r="D381" s="17"/>
      <c r="E381" s="17"/>
      <c r="F381" s="17"/>
      <c r="G381" s="2"/>
      <c r="H381" s="2"/>
      <c r="I381" s="2"/>
      <c r="J381" s="2"/>
      <c r="K381" s="2"/>
    </row>
    <row r="382">
      <c r="A382" s="17"/>
      <c r="B382" s="17"/>
      <c r="C382" s="17"/>
      <c r="D382" s="17"/>
      <c r="E382" s="17"/>
      <c r="F382" s="17"/>
      <c r="G382" s="2"/>
      <c r="H382" s="2"/>
      <c r="I382" s="2"/>
      <c r="J382" s="2"/>
      <c r="K382" s="2"/>
    </row>
    <row r="383">
      <c r="A383" s="17"/>
      <c r="B383" s="17"/>
      <c r="C383" s="17"/>
      <c r="D383" s="17"/>
      <c r="E383" s="17"/>
      <c r="F383" s="17"/>
      <c r="G383" s="2"/>
      <c r="H383" s="2"/>
      <c r="I383" s="2"/>
      <c r="J383" s="2"/>
      <c r="K383" s="2"/>
    </row>
    <row r="384">
      <c r="A384" s="17"/>
      <c r="B384" s="17"/>
      <c r="C384" s="17"/>
      <c r="D384" s="17"/>
      <c r="E384" s="17"/>
      <c r="F384" s="17"/>
      <c r="G384" s="2"/>
      <c r="H384" s="2"/>
      <c r="I384" s="2"/>
      <c r="J384" s="2"/>
      <c r="K384" s="2"/>
    </row>
    <row r="385">
      <c r="A385" s="17"/>
      <c r="B385" s="17"/>
      <c r="C385" s="17"/>
      <c r="D385" s="17"/>
      <c r="E385" s="17"/>
      <c r="F385" s="17"/>
      <c r="G385" s="2"/>
      <c r="H385" s="2"/>
      <c r="I385" s="2"/>
      <c r="J385" s="2"/>
      <c r="K385" s="2"/>
    </row>
    <row r="386">
      <c r="A386" s="17"/>
      <c r="B386" s="17"/>
      <c r="C386" s="17"/>
      <c r="D386" s="17"/>
      <c r="E386" s="17"/>
      <c r="F386" s="17"/>
      <c r="G386" s="2"/>
      <c r="H386" s="2"/>
      <c r="I386" s="2"/>
      <c r="J386" s="2"/>
      <c r="K386" s="2"/>
    </row>
    <row r="387">
      <c r="A387" s="17"/>
      <c r="B387" s="17"/>
      <c r="C387" s="17"/>
      <c r="D387" s="17"/>
      <c r="E387" s="17"/>
      <c r="F387" s="17"/>
      <c r="G387" s="2"/>
      <c r="H387" s="2"/>
      <c r="I387" s="2"/>
      <c r="J387" s="2"/>
      <c r="K387" s="2"/>
    </row>
    <row r="388">
      <c r="A388" s="17"/>
      <c r="B388" s="17"/>
      <c r="C388" s="17"/>
      <c r="D388" s="17"/>
      <c r="E388" s="17"/>
      <c r="F388" s="17"/>
      <c r="G388" s="2"/>
      <c r="H388" s="2"/>
      <c r="I388" s="2"/>
      <c r="J388" s="2"/>
      <c r="K388" s="2"/>
    </row>
    <row r="389">
      <c r="A389" s="17"/>
      <c r="B389" s="17"/>
      <c r="C389" s="17"/>
      <c r="D389" s="17"/>
      <c r="E389" s="17"/>
      <c r="F389" s="17"/>
      <c r="G389" s="2"/>
      <c r="H389" s="2"/>
      <c r="I389" s="2"/>
      <c r="J389" s="2"/>
      <c r="K389" s="2"/>
    </row>
    <row r="390">
      <c r="A390" s="17"/>
      <c r="B390" s="17"/>
      <c r="C390" s="17"/>
      <c r="D390" s="17"/>
      <c r="E390" s="17"/>
      <c r="F390" s="17"/>
      <c r="G390" s="2"/>
      <c r="H390" s="2"/>
      <c r="I390" s="2"/>
      <c r="J390" s="2"/>
      <c r="K390" s="2"/>
    </row>
    <row r="391">
      <c r="A391" s="17"/>
      <c r="B391" s="17"/>
      <c r="C391" s="17"/>
      <c r="D391" s="17"/>
      <c r="E391" s="17"/>
      <c r="F391" s="17"/>
      <c r="G391" s="2"/>
      <c r="H391" s="2"/>
      <c r="I391" s="2"/>
      <c r="J391" s="2"/>
      <c r="K391" s="2"/>
    </row>
    <row r="392">
      <c r="A392" s="17"/>
      <c r="B392" s="17"/>
      <c r="C392" s="17"/>
      <c r="D392" s="17"/>
      <c r="E392" s="17"/>
      <c r="F392" s="17"/>
      <c r="G392" s="2"/>
      <c r="H392" s="2"/>
      <c r="I392" s="2"/>
      <c r="J392" s="2"/>
      <c r="K392" s="2"/>
    </row>
    <row r="393">
      <c r="A393" s="17"/>
      <c r="B393" s="17"/>
      <c r="C393" s="17"/>
      <c r="D393" s="17"/>
      <c r="E393" s="17"/>
      <c r="F393" s="17"/>
      <c r="G393" s="2"/>
      <c r="H393" s="2"/>
      <c r="I393" s="2"/>
      <c r="J393" s="2"/>
      <c r="K393" s="2"/>
    </row>
    <row r="394">
      <c r="A394" s="17"/>
      <c r="B394" s="17"/>
      <c r="C394" s="17"/>
      <c r="D394" s="17"/>
      <c r="E394" s="17"/>
      <c r="F394" s="17"/>
      <c r="G394" s="2"/>
      <c r="H394" s="2"/>
      <c r="I394" s="2"/>
      <c r="J394" s="2"/>
      <c r="K394" s="2"/>
    </row>
    <row r="395">
      <c r="A395" s="17"/>
      <c r="B395" s="17"/>
      <c r="C395" s="17"/>
      <c r="D395" s="17"/>
      <c r="E395" s="17"/>
      <c r="F395" s="17"/>
      <c r="G395" s="2"/>
      <c r="H395" s="2"/>
      <c r="I395" s="2"/>
      <c r="J395" s="2"/>
      <c r="K395" s="2"/>
    </row>
    <row r="396">
      <c r="A396" s="17"/>
      <c r="B396" s="17"/>
      <c r="C396" s="17"/>
      <c r="D396" s="17"/>
      <c r="E396" s="17"/>
      <c r="F396" s="17"/>
      <c r="G396" s="2"/>
      <c r="H396" s="2"/>
      <c r="I396" s="2"/>
      <c r="J396" s="2"/>
      <c r="K396" s="2"/>
    </row>
    <row r="397">
      <c r="A397" s="17"/>
      <c r="B397" s="17"/>
      <c r="C397" s="17"/>
      <c r="D397" s="17"/>
      <c r="E397" s="17"/>
      <c r="F397" s="17"/>
      <c r="G397" s="2"/>
      <c r="H397" s="2"/>
      <c r="I397" s="2"/>
      <c r="J397" s="2"/>
      <c r="K397" s="2"/>
    </row>
    <row r="398">
      <c r="A398" s="17"/>
      <c r="B398" s="17"/>
      <c r="C398" s="17"/>
      <c r="D398" s="17"/>
      <c r="E398" s="17"/>
      <c r="F398" s="17"/>
      <c r="G398" s="2"/>
      <c r="H398" s="2"/>
      <c r="I398" s="2"/>
      <c r="J398" s="2"/>
      <c r="K398" s="2"/>
    </row>
    <row r="399">
      <c r="A399" s="17"/>
      <c r="B399" s="17"/>
      <c r="C399" s="17"/>
      <c r="D399" s="17"/>
      <c r="E399" s="17"/>
      <c r="F399" s="17"/>
      <c r="G399" s="2"/>
      <c r="H399" s="2"/>
      <c r="I399" s="2"/>
      <c r="J399" s="2"/>
      <c r="K399" s="2"/>
    </row>
    <row r="400">
      <c r="A400" s="17"/>
      <c r="B400" s="17"/>
      <c r="C400" s="17"/>
      <c r="D400" s="17"/>
      <c r="E400" s="17"/>
      <c r="F400" s="17"/>
      <c r="G400" s="2"/>
      <c r="H400" s="2"/>
      <c r="I400" s="2"/>
      <c r="J400" s="2"/>
      <c r="K400" s="2"/>
    </row>
    <row r="401">
      <c r="A401" s="17"/>
      <c r="B401" s="17"/>
      <c r="C401" s="17"/>
      <c r="D401" s="17"/>
      <c r="E401" s="17"/>
      <c r="F401" s="17"/>
      <c r="G401" s="2"/>
      <c r="H401" s="2"/>
      <c r="I401" s="2"/>
      <c r="J401" s="2"/>
      <c r="K401" s="2"/>
    </row>
    <row r="402">
      <c r="A402" s="17"/>
      <c r="B402" s="17"/>
      <c r="C402" s="17"/>
      <c r="D402" s="17"/>
      <c r="E402" s="17"/>
      <c r="F402" s="17"/>
      <c r="G402" s="2"/>
      <c r="H402" s="2"/>
      <c r="I402" s="2"/>
      <c r="J402" s="2"/>
      <c r="K402" s="2"/>
    </row>
    <row r="403">
      <c r="A403" s="17"/>
      <c r="B403" s="17"/>
      <c r="C403" s="17"/>
      <c r="D403" s="17"/>
      <c r="E403" s="17"/>
      <c r="F403" s="17"/>
      <c r="G403" s="2"/>
      <c r="H403" s="2"/>
      <c r="I403" s="2"/>
      <c r="J403" s="2"/>
      <c r="K403" s="2"/>
    </row>
    <row r="404">
      <c r="A404" s="17"/>
      <c r="B404" s="17"/>
      <c r="C404" s="17"/>
      <c r="D404" s="17"/>
      <c r="E404" s="17"/>
      <c r="F404" s="17"/>
      <c r="G404" s="2"/>
      <c r="H404" s="2"/>
      <c r="I404" s="2"/>
      <c r="J404" s="2"/>
      <c r="K404" s="2"/>
    </row>
    <row r="405">
      <c r="A405" s="17"/>
      <c r="B405" s="17"/>
      <c r="C405" s="17"/>
      <c r="D405" s="17"/>
      <c r="E405" s="17"/>
      <c r="F405" s="17"/>
      <c r="G405" s="2"/>
      <c r="H405" s="2"/>
      <c r="I405" s="2"/>
      <c r="J405" s="2"/>
      <c r="K405" s="2"/>
    </row>
    <row r="406">
      <c r="A406" s="17"/>
      <c r="B406" s="17"/>
      <c r="C406" s="17"/>
      <c r="D406" s="17"/>
      <c r="E406" s="17"/>
      <c r="F406" s="17"/>
      <c r="G406" s="2"/>
      <c r="H406" s="2"/>
      <c r="I406" s="2"/>
      <c r="J406" s="2"/>
      <c r="K406" s="2"/>
    </row>
    <row r="407">
      <c r="A407" s="17"/>
      <c r="B407" s="17"/>
      <c r="C407" s="17"/>
      <c r="D407" s="17"/>
      <c r="E407" s="17"/>
      <c r="F407" s="17"/>
      <c r="G407" s="2"/>
      <c r="H407" s="2"/>
      <c r="I407" s="2"/>
      <c r="J407" s="2"/>
      <c r="K407" s="2"/>
    </row>
    <row r="408">
      <c r="A408" s="17"/>
      <c r="B408" s="17"/>
      <c r="C408" s="17"/>
      <c r="D408" s="17"/>
      <c r="E408" s="17"/>
      <c r="F408" s="17"/>
      <c r="G408" s="2"/>
      <c r="H408" s="2"/>
      <c r="I408" s="2"/>
      <c r="J408" s="2"/>
      <c r="K408" s="2"/>
    </row>
    <row r="409">
      <c r="A409" s="17"/>
      <c r="B409" s="17"/>
      <c r="C409" s="17"/>
      <c r="D409" s="17"/>
      <c r="E409" s="17"/>
      <c r="F409" s="17"/>
      <c r="G409" s="2"/>
      <c r="H409" s="2"/>
      <c r="I409" s="2"/>
      <c r="J409" s="2"/>
      <c r="K409" s="2"/>
    </row>
    <row r="410">
      <c r="A410" s="17"/>
      <c r="B410" s="17"/>
      <c r="C410" s="17"/>
      <c r="D410" s="17"/>
      <c r="E410" s="17"/>
      <c r="F410" s="17"/>
      <c r="G410" s="2"/>
      <c r="H410" s="2"/>
      <c r="I410" s="2"/>
      <c r="J410" s="2"/>
      <c r="K410" s="2"/>
    </row>
    <row r="411">
      <c r="A411" s="17"/>
      <c r="B411" s="17"/>
      <c r="C411" s="17"/>
      <c r="D411" s="17"/>
      <c r="E411" s="17"/>
      <c r="F411" s="17"/>
      <c r="G411" s="2"/>
      <c r="H411" s="2"/>
      <c r="I411" s="2"/>
      <c r="J411" s="2"/>
      <c r="K411" s="2"/>
    </row>
    <row r="412">
      <c r="A412" s="17"/>
      <c r="B412" s="17"/>
      <c r="C412" s="17"/>
      <c r="D412" s="17"/>
      <c r="E412" s="17"/>
      <c r="F412" s="17"/>
      <c r="G412" s="2"/>
      <c r="H412" s="2"/>
      <c r="I412" s="2"/>
      <c r="J412" s="2"/>
      <c r="K412" s="2"/>
    </row>
    <row r="413">
      <c r="A413" s="17"/>
      <c r="B413" s="17"/>
      <c r="C413" s="17"/>
      <c r="D413" s="17"/>
      <c r="E413" s="17"/>
      <c r="F413" s="17"/>
      <c r="G413" s="2"/>
      <c r="H413" s="2"/>
      <c r="I413" s="2"/>
      <c r="J413" s="2"/>
      <c r="K413" s="2"/>
    </row>
    <row r="414">
      <c r="A414" s="17"/>
      <c r="B414" s="17"/>
      <c r="C414" s="17"/>
      <c r="D414" s="17"/>
      <c r="E414" s="17"/>
      <c r="F414" s="17"/>
      <c r="G414" s="2"/>
      <c r="H414" s="2"/>
      <c r="I414" s="2"/>
      <c r="J414" s="2"/>
      <c r="K414" s="2"/>
    </row>
    <row r="415">
      <c r="A415" s="17"/>
      <c r="B415" s="17"/>
      <c r="C415" s="17"/>
      <c r="D415" s="17"/>
      <c r="E415" s="17"/>
      <c r="F415" s="17"/>
      <c r="G415" s="2"/>
      <c r="H415" s="2"/>
      <c r="I415" s="2"/>
      <c r="J415" s="2"/>
      <c r="K415" s="2"/>
    </row>
    <row r="416">
      <c r="A416" s="17"/>
      <c r="B416" s="17"/>
      <c r="C416" s="17"/>
      <c r="D416" s="17"/>
      <c r="E416" s="17"/>
      <c r="F416" s="17"/>
      <c r="G416" s="2"/>
      <c r="H416" s="2"/>
      <c r="I416" s="2"/>
      <c r="J416" s="2"/>
      <c r="K416" s="2"/>
    </row>
    <row r="417">
      <c r="A417" s="17"/>
      <c r="B417" s="17"/>
      <c r="C417" s="17"/>
      <c r="D417" s="17"/>
      <c r="E417" s="17"/>
      <c r="F417" s="17"/>
      <c r="G417" s="2"/>
      <c r="H417" s="2"/>
      <c r="I417" s="2"/>
      <c r="J417" s="2"/>
      <c r="K417" s="2"/>
    </row>
    <row r="418">
      <c r="A418" s="17"/>
      <c r="B418" s="17"/>
      <c r="C418" s="17"/>
      <c r="D418" s="17"/>
      <c r="E418" s="17"/>
      <c r="F418" s="17"/>
      <c r="G418" s="2"/>
      <c r="H418" s="2"/>
      <c r="I418" s="2"/>
      <c r="J418" s="2"/>
      <c r="K418" s="2"/>
    </row>
    <row r="419">
      <c r="A419" s="17"/>
      <c r="B419" s="17"/>
      <c r="C419" s="17"/>
      <c r="D419" s="17"/>
      <c r="E419" s="17"/>
      <c r="F419" s="17"/>
      <c r="G419" s="2"/>
      <c r="H419" s="2"/>
      <c r="I419" s="2"/>
      <c r="J419" s="2"/>
      <c r="K419" s="2"/>
    </row>
    <row r="420">
      <c r="A420" s="17"/>
      <c r="B420" s="17"/>
      <c r="C420" s="17"/>
      <c r="D420" s="17"/>
      <c r="E420" s="17"/>
      <c r="F420" s="17"/>
      <c r="G420" s="2"/>
      <c r="H420" s="2"/>
      <c r="I420" s="2"/>
      <c r="J420" s="2"/>
      <c r="K420" s="2"/>
    </row>
    <row r="421">
      <c r="A421" s="17"/>
      <c r="B421" s="17"/>
      <c r="C421" s="17"/>
      <c r="D421" s="17"/>
      <c r="E421" s="17"/>
      <c r="F421" s="17"/>
      <c r="G421" s="2"/>
      <c r="H421" s="2"/>
      <c r="I421" s="2"/>
      <c r="J421" s="2"/>
      <c r="K421" s="2"/>
    </row>
    <row r="422">
      <c r="A422" s="17"/>
      <c r="B422" s="17"/>
      <c r="C422" s="17"/>
      <c r="D422" s="17"/>
      <c r="E422" s="17"/>
      <c r="F422" s="17"/>
      <c r="G422" s="2"/>
      <c r="H422" s="2"/>
      <c r="I422" s="2"/>
      <c r="J422" s="2"/>
      <c r="K422" s="2"/>
    </row>
    <row r="423">
      <c r="A423" s="17"/>
      <c r="B423" s="17"/>
      <c r="C423" s="17"/>
      <c r="D423" s="17"/>
      <c r="E423" s="17"/>
      <c r="F423" s="17"/>
      <c r="G423" s="2"/>
      <c r="H423" s="2"/>
      <c r="I423" s="2"/>
      <c r="J423" s="2"/>
      <c r="K423" s="2"/>
    </row>
    <row r="424">
      <c r="A424" s="17"/>
      <c r="B424" s="17"/>
      <c r="C424" s="17"/>
      <c r="D424" s="17"/>
      <c r="E424" s="17"/>
      <c r="F424" s="17"/>
      <c r="G424" s="2"/>
      <c r="H424" s="2"/>
      <c r="I424" s="2"/>
      <c r="J424" s="2"/>
      <c r="K424" s="2"/>
    </row>
    <row r="425">
      <c r="A425" s="17"/>
      <c r="B425" s="17"/>
      <c r="C425" s="17"/>
      <c r="D425" s="17"/>
      <c r="E425" s="17"/>
      <c r="F425" s="17"/>
      <c r="G425" s="2"/>
      <c r="H425" s="2"/>
      <c r="I425" s="2"/>
      <c r="J425" s="2"/>
      <c r="K425" s="2"/>
    </row>
    <row r="426">
      <c r="A426" s="17"/>
      <c r="B426" s="17"/>
      <c r="C426" s="17"/>
      <c r="D426" s="17"/>
      <c r="E426" s="17"/>
      <c r="F426" s="17"/>
      <c r="G426" s="2"/>
      <c r="H426" s="2"/>
      <c r="I426" s="2"/>
      <c r="J426" s="2"/>
      <c r="K426" s="2"/>
    </row>
    <row r="427">
      <c r="A427" s="17"/>
      <c r="B427" s="17"/>
      <c r="C427" s="17"/>
      <c r="D427" s="17"/>
      <c r="E427" s="17"/>
      <c r="F427" s="17"/>
      <c r="G427" s="2"/>
      <c r="H427" s="2"/>
      <c r="I427" s="2"/>
      <c r="J427" s="2"/>
      <c r="K427" s="2"/>
    </row>
    <row r="428">
      <c r="A428" s="17"/>
      <c r="B428" s="17"/>
      <c r="C428" s="17"/>
      <c r="D428" s="17"/>
      <c r="E428" s="17"/>
      <c r="F428" s="17"/>
      <c r="G428" s="2"/>
      <c r="H428" s="2"/>
      <c r="I428" s="2"/>
      <c r="J428" s="2"/>
      <c r="K428" s="2"/>
    </row>
    <row r="429">
      <c r="A429" s="17"/>
      <c r="B429" s="17"/>
      <c r="C429" s="17"/>
      <c r="D429" s="17"/>
      <c r="E429" s="17"/>
      <c r="F429" s="17"/>
      <c r="G429" s="2"/>
      <c r="H429" s="2"/>
      <c r="I429" s="2"/>
      <c r="J429" s="2"/>
      <c r="K429" s="2"/>
    </row>
    <row r="430">
      <c r="A430" s="17"/>
      <c r="B430" s="17"/>
      <c r="C430" s="17"/>
      <c r="D430" s="17"/>
      <c r="E430" s="17"/>
      <c r="F430" s="17"/>
      <c r="G430" s="2"/>
      <c r="H430" s="2"/>
      <c r="I430" s="2"/>
      <c r="J430" s="2"/>
      <c r="K430" s="2"/>
    </row>
    <row r="431">
      <c r="A431" s="17"/>
      <c r="B431" s="17"/>
      <c r="C431" s="17"/>
      <c r="D431" s="17"/>
      <c r="E431" s="17"/>
      <c r="F431" s="17"/>
      <c r="G431" s="2"/>
      <c r="H431" s="2"/>
      <c r="I431" s="2"/>
      <c r="J431" s="2"/>
      <c r="K431" s="2"/>
    </row>
    <row r="432">
      <c r="A432" s="17"/>
      <c r="B432" s="17"/>
      <c r="C432" s="17"/>
      <c r="D432" s="17"/>
      <c r="E432" s="17"/>
      <c r="F432" s="17"/>
      <c r="G432" s="2"/>
      <c r="H432" s="2"/>
      <c r="I432" s="2"/>
      <c r="J432" s="2"/>
      <c r="K432" s="2"/>
    </row>
    <row r="433">
      <c r="A433" s="17"/>
      <c r="B433" s="17"/>
      <c r="C433" s="17"/>
      <c r="D433" s="17"/>
      <c r="E433" s="17"/>
      <c r="F433" s="17"/>
      <c r="G433" s="2"/>
      <c r="H433" s="2"/>
      <c r="I433" s="2"/>
      <c r="J433" s="2"/>
      <c r="K433" s="2"/>
    </row>
    <row r="434">
      <c r="A434" s="17"/>
      <c r="B434" s="17"/>
      <c r="C434" s="17"/>
      <c r="D434" s="17"/>
      <c r="E434" s="17"/>
      <c r="F434" s="17"/>
      <c r="G434" s="2"/>
      <c r="H434" s="2"/>
      <c r="I434" s="2"/>
      <c r="J434" s="2"/>
      <c r="K434" s="2"/>
    </row>
    <row r="435">
      <c r="A435" s="17"/>
      <c r="B435" s="17"/>
      <c r="C435" s="17"/>
      <c r="D435" s="17"/>
      <c r="E435" s="17"/>
      <c r="F435" s="17"/>
      <c r="G435" s="2"/>
      <c r="H435" s="2"/>
      <c r="I435" s="2"/>
      <c r="J435" s="2"/>
      <c r="K435" s="2"/>
    </row>
    <row r="436">
      <c r="A436" s="17"/>
      <c r="B436" s="17"/>
      <c r="C436" s="17"/>
      <c r="D436" s="17"/>
      <c r="E436" s="17"/>
      <c r="F436" s="17"/>
      <c r="G436" s="2"/>
      <c r="H436" s="2"/>
      <c r="I436" s="2"/>
      <c r="J436" s="2"/>
      <c r="K436" s="2"/>
    </row>
    <row r="437">
      <c r="A437" s="17"/>
      <c r="B437" s="17"/>
      <c r="C437" s="17"/>
      <c r="D437" s="17"/>
      <c r="E437" s="17"/>
      <c r="F437" s="17"/>
      <c r="G437" s="2"/>
      <c r="H437" s="2"/>
      <c r="I437" s="2"/>
      <c r="J437" s="2"/>
      <c r="K437" s="2"/>
    </row>
    <row r="438">
      <c r="A438" s="17"/>
      <c r="B438" s="17"/>
      <c r="C438" s="17"/>
      <c r="D438" s="17"/>
      <c r="E438" s="17"/>
      <c r="F438" s="17"/>
      <c r="G438" s="2"/>
      <c r="H438" s="2"/>
      <c r="I438" s="2"/>
      <c r="J438" s="2"/>
      <c r="K438" s="2"/>
    </row>
    <row r="439">
      <c r="A439" s="17"/>
      <c r="B439" s="17"/>
      <c r="C439" s="17"/>
      <c r="D439" s="17"/>
      <c r="E439" s="17"/>
      <c r="F439" s="17"/>
      <c r="G439" s="2"/>
      <c r="H439" s="2"/>
      <c r="I439" s="2"/>
      <c r="J439" s="2"/>
      <c r="K439" s="2"/>
    </row>
    <row r="440">
      <c r="A440" s="17"/>
      <c r="B440" s="17"/>
      <c r="C440" s="17"/>
      <c r="D440" s="17"/>
      <c r="E440" s="17"/>
      <c r="F440" s="17"/>
      <c r="G440" s="2"/>
      <c r="H440" s="2"/>
      <c r="I440" s="2"/>
      <c r="J440" s="2"/>
      <c r="K440" s="2"/>
    </row>
    <row r="441">
      <c r="A441" s="17"/>
      <c r="B441" s="17"/>
      <c r="C441" s="17"/>
      <c r="D441" s="17"/>
      <c r="E441" s="17"/>
      <c r="F441" s="17"/>
      <c r="G441" s="2"/>
      <c r="H441" s="2"/>
      <c r="I441" s="2"/>
      <c r="J441" s="2"/>
      <c r="K441" s="2"/>
    </row>
    <row r="442">
      <c r="A442" s="17"/>
      <c r="B442" s="17"/>
      <c r="C442" s="17"/>
      <c r="D442" s="17"/>
      <c r="E442" s="17"/>
      <c r="F442" s="17"/>
      <c r="G442" s="2"/>
      <c r="H442" s="2"/>
      <c r="I442" s="2"/>
      <c r="J442" s="2"/>
      <c r="K442" s="2"/>
    </row>
    <row r="443">
      <c r="A443" s="17"/>
      <c r="B443" s="17"/>
      <c r="C443" s="17"/>
      <c r="D443" s="17"/>
      <c r="E443" s="17"/>
      <c r="F443" s="17"/>
      <c r="G443" s="2"/>
      <c r="H443" s="2"/>
      <c r="I443" s="2"/>
      <c r="J443" s="2"/>
      <c r="K443" s="2"/>
    </row>
    <row r="444">
      <c r="A444" s="17"/>
      <c r="B444" s="17"/>
      <c r="C444" s="17"/>
      <c r="D444" s="17"/>
      <c r="E444" s="17"/>
      <c r="F444" s="17"/>
      <c r="G444" s="2"/>
      <c r="H444" s="2"/>
      <c r="I444" s="2"/>
      <c r="J444" s="2"/>
      <c r="K444" s="2"/>
    </row>
    <row r="445">
      <c r="A445" s="17"/>
      <c r="B445" s="17"/>
      <c r="C445" s="17"/>
      <c r="D445" s="17"/>
      <c r="E445" s="17"/>
      <c r="F445" s="17"/>
      <c r="G445" s="2"/>
      <c r="H445" s="2"/>
      <c r="I445" s="2"/>
      <c r="J445" s="2"/>
      <c r="K445" s="2"/>
    </row>
    <row r="446">
      <c r="A446" s="17"/>
      <c r="B446" s="17"/>
      <c r="C446" s="17"/>
      <c r="D446" s="17"/>
      <c r="E446" s="17"/>
      <c r="F446" s="17"/>
      <c r="G446" s="2"/>
      <c r="H446" s="2"/>
      <c r="I446" s="2"/>
      <c r="J446" s="2"/>
      <c r="K446" s="2"/>
    </row>
    <row r="447">
      <c r="A447" s="17"/>
      <c r="B447" s="17"/>
      <c r="C447" s="17"/>
      <c r="D447" s="17"/>
      <c r="E447" s="17"/>
      <c r="F447" s="17"/>
      <c r="G447" s="2"/>
      <c r="H447" s="2"/>
      <c r="I447" s="2"/>
      <c r="J447" s="2"/>
      <c r="K447" s="2"/>
    </row>
    <row r="448">
      <c r="A448" s="17"/>
      <c r="B448" s="17"/>
      <c r="C448" s="17"/>
      <c r="D448" s="17"/>
      <c r="E448" s="17"/>
      <c r="F448" s="17"/>
      <c r="G448" s="2"/>
      <c r="H448" s="2"/>
      <c r="I448" s="2"/>
      <c r="J448" s="2"/>
      <c r="K448" s="2"/>
    </row>
    <row r="449">
      <c r="A449" s="17"/>
      <c r="B449" s="17"/>
      <c r="C449" s="17"/>
      <c r="D449" s="17"/>
      <c r="E449" s="17"/>
      <c r="F449" s="17"/>
      <c r="G449" s="2"/>
      <c r="H449" s="2"/>
      <c r="I449" s="2"/>
      <c r="J449" s="2"/>
      <c r="K449" s="2"/>
    </row>
    <row r="450">
      <c r="A450" s="17"/>
      <c r="B450" s="17"/>
      <c r="C450" s="17"/>
      <c r="D450" s="17"/>
      <c r="E450" s="17"/>
      <c r="F450" s="17"/>
      <c r="G450" s="2"/>
      <c r="H450" s="2"/>
      <c r="I450" s="2"/>
      <c r="J450" s="2"/>
      <c r="K450" s="2"/>
    </row>
    <row r="451">
      <c r="A451" s="17"/>
      <c r="B451" s="17"/>
      <c r="C451" s="17"/>
      <c r="D451" s="17"/>
      <c r="E451" s="17"/>
      <c r="F451" s="17"/>
      <c r="G451" s="2"/>
      <c r="H451" s="2"/>
      <c r="I451" s="2"/>
      <c r="J451" s="2"/>
      <c r="K451" s="2"/>
    </row>
    <row r="452">
      <c r="A452" s="17"/>
      <c r="B452" s="17"/>
      <c r="C452" s="17"/>
      <c r="D452" s="17"/>
      <c r="E452" s="17"/>
      <c r="F452" s="17"/>
      <c r="G452" s="2"/>
      <c r="H452" s="2"/>
      <c r="I452" s="2"/>
      <c r="J452" s="2"/>
      <c r="K452" s="2"/>
    </row>
    <row r="453">
      <c r="A453" s="17"/>
      <c r="B453" s="17"/>
      <c r="C453" s="17"/>
      <c r="D453" s="17"/>
      <c r="E453" s="17"/>
      <c r="F453" s="17"/>
      <c r="G453" s="2"/>
      <c r="H453" s="2"/>
      <c r="I453" s="2"/>
      <c r="J453" s="2"/>
      <c r="K453" s="2"/>
    </row>
    <row r="454">
      <c r="A454" s="17"/>
      <c r="B454" s="17"/>
      <c r="C454" s="17"/>
      <c r="D454" s="17"/>
      <c r="E454" s="17"/>
      <c r="F454" s="17"/>
      <c r="G454" s="2"/>
      <c r="H454" s="2"/>
      <c r="I454" s="2"/>
      <c r="J454" s="2"/>
      <c r="K454" s="2"/>
    </row>
    <row r="455">
      <c r="A455" s="17"/>
      <c r="B455" s="17"/>
      <c r="C455" s="17"/>
      <c r="D455" s="17"/>
      <c r="E455" s="17"/>
      <c r="F455" s="17"/>
      <c r="G455" s="2"/>
      <c r="H455" s="2"/>
      <c r="I455" s="2"/>
      <c r="J455" s="2"/>
      <c r="K455" s="2"/>
    </row>
    <row r="456">
      <c r="A456" s="17"/>
      <c r="B456" s="17"/>
      <c r="C456" s="17"/>
      <c r="D456" s="17"/>
      <c r="E456" s="17"/>
      <c r="F456" s="17"/>
      <c r="G456" s="2"/>
      <c r="H456" s="2"/>
      <c r="I456" s="2"/>
      <c r="J456" s="2"/>
      <c r="K456" s="2"/>
    </row>
    <row r="457">
      <c r="A457" s="17"/>
      <c r="B457" s="17"/>
      <c r="C457" s="17"/>
      <c r="D457" s="17"/>
      <c r="E457" s="17"/>
      <c r="F457" s="17"/>
      <c r="G457" s="2"/>
      <c r="H457" s="2"/>
      <c r="I457" s="2"/>
      <c r="J457" s="2"/>
      <c r="K457" s="2"/>
    </row>
    <row r="458">
      <c r="A458" s="17"/>
      <c r="B458" s="17"/>
      <c r="C458" s="17"/>
      <c r="D458" s="17"/>
      <c r="E458" s="17"/>
      <c r="F458" s="17"/>
      <c r="G458" s="2"/>
      <c r="H458" s="2"/>
      <c r="I458" s="2"/>
      <c r="J458" s="2"/>
      <c r="K458" s="2"/>
    </row>
    <row r="459">
      <c r="A459" s="17"/>
      <c r="B459" s="17"/>
      <c r="C459" s="17"/>
      <c r="D459" s="17"/>
      <c r="E459" s="17"/>
      <c r="F459" s="17"/>
      <c r="G459" s="2"/>
      <c r="H459" s="2"/>
      <c r="I459" s="2"/>
      <c r="J459" s="2"/>
      <c r="K459" s="2"/>
    </row>
    <row r="460">
      <c r="A460" s="17"/>
      <c r="B460" s="17"/>
      <c r="C460" s="17"/>
      <c r="D460" s="17"/>
      <c r="E460" s="17"/>
      <c r="F460" s="17"/>
      <c r="G460" s="2"/>
      <c r="H460" s="2"/>
      <c r="I460" s="2"/>
      <c r="J460" s="2"/>
      <c r="K460" s="2"/>
    </row>
    <row r="461">
      <c r="A461" s="17"/>
      <c r="B461" s="17"/>
      <c r="C461" s="17"/>
      <c r="D461" s="17"/>
      <c r="E461" s="17"/>
      <c r="F461" s="17"/>
      <c r="G461" s="2"/>
      <c r="H461" s="2"/>
      <c r="I461" s="2"/>
      <c r="J461" s="2"/>
      <c r="K461" s="2"/>
    </row>
    <row r="462">
      <c r="A462" s="17"/>
      <c r="B462" s="17"/>
      <c r="C462" s="17"/>
      <c r="D462" s="17"/>
      <c r="E462" s="17"/>
      <c r="F462" s="17"/>
      <c r="G462" s="2"/>
      <c r="H462" s="2"/>
      <c r="I462" s="2"/>
      <c r="J462" s="2"/>
      <c r="K462" s="2"/>
    </row>
    <row r="463">
      <c r="A463" s="17"/>
      <c r="B463" s="17"/>
      <c r="C463" s="17"/>
      <c r="D463" s="17"/>
      <c r="E463" s="17"/>
      <c r="F463" s="17"/>
      <c r="G463" s="2"/>
      <c r="H463" s="2"/>
      <c r="I463" s="2"/>
      <c r="J463" s="2"/>
      <c r="K463" s="2"/>
    </row>
    <row r="464">
      <c r="A464" s="17"/>
      <c r="B464" s="17"/>
      <c r="C464" s="17"/>
      <c r="D464" s="17"/>
      <c r="E464" s="17"/>
      <c r="F464" s="17"/>
      <c r="G464" s="2"/>
      <c r="H464" s="2"/>
      <c r="I464" s="2"/>
      <c r="J464" s="2"/>
      <c r="K464" s="2"/>
    </row>
    <row r="465">
      <c r="A465" s="17"/>
      <c r="B465" s="17"/>
      <c r="C465" s="17"/>
      <c r="D465" s="17"/>
      <c r="E465" s="17"/>
      <c r="F465" s="17"/>
      <c r="G465" s="2"/>
      <c r="H465" s="2"/>
      <c r="I465" s="2"/>
      <c r="J465" s="2"/>
      <c r="K465" s="2"/>
    </row>
    <row r="466">
      <c r="A466" s="17"/>
      <c r="B466" s="17"/>
      <c r="C466" s="17"/>
      <c r="D466" s="17"/>
      <c r="E466" s="17"/>
      <c r="F466" s="17"/>
      <c r="G466" s="2"/>
      <c r="H466" s="2"/>
      <c r="I466" s="2"/>
      <c r="J466" s="2"/>
      <c r="K466" s="2"/>
    </row>
    <row r="467">
      <c r="A467" s="17"/>
      <c r="B467" s="17"/>
      <c r="C467" s="17"/>
      <c r="D467" s="17"/>
      <c r="E467" s="17"/>
      <c r="F467" s="17"/>
      <c r="G467" s="2"/>
      <c r="H467" s="2"/>
      <c r="I467" s="2"/>
      <c r="J467" s="2"/>
      <c r="K467" s="2"/>
    </row>
    <row r="468">
      <c r="A468" s="17"/>
      <c r="B468" s="17"/>
      <c r="C468" s="17"/>
      <c r="D468" s="17"/>
      <c r="E468" s="17"/>
      <c r="F468" s="17"/>
      <c r="G468" s="2"/>
      <c r="H468" s="2"/>
      <c r="I468" s="2"/>
      <c r="J468" s="2"/>
      <c r="K468" s="2"/>
    </row>
    <row r="469">
      <c r="A469" s="17"/>
      <c r="B469" s="17"/>
      <c r="C469" s="17"/>
      <c r="D469" s="17"/>
      <c r="E469" s="17"/>
      <c r="F469" s="17"/>
      <c r="G469" s="2"/>
      <c r="H469" s="2"/>
      <c r="I469" s="2"/>
      <c r="J469" s="2"/>
      <c r="K469" s="2"/>
    </row>
    <row r="470">
      <c r="A470" s="17"/>
      <c r="B470" s="17"/>
      <c r="C470" s="17"/>
      <c r="D470" s="17"/>
      <c r="E470" s="17"/>
      <c r="F470" s="17"/>
      <c r="G470" s="2"/>
      <c r="H470" s="2"/>
      <c r="I470" s="2"/>
      <c r="J470" s="2"/>
      <c r="K470" s="2"/>
    </row>
    <row r="471">
      <c r="A471" s="17"/>
      <c r="B471" s="17"/>
      <c r="C471" s="17"/>
      <c r="D471" s="17"/>
      <c r="E471" s="17"/>
      <c r="F471" s="17"/>
      <c r="G471" s="2"/>
      <c r="H471" s="2"/>
      <c r="I471" s="2"/>
      <c r="J471" s="2"/>
      <c r="K471" s="2"/>
    </row>
    <row r="472">
      <c r="A472" s="17"/>
      <c r="B472" s="17"/>
      <c r="C472" s="17"/>
      <c r="D472" s="17"/>
      <c r="E472" s="17"/>
      <c r="F472" s="17"/>
      <c r="G472" s="2"/>
      <c r="H472" s="2"/>
      <c r="I472" s="2"/>
      <c r="J472" s="2"/>
      <c r="K472" s="2"/>
    </row>
    <row r="473">
      <c r="A473" s="17"/>
      <c r="B473" s="17"/>
      <c r="C473" s="17"/>
      <c r="D473" s="17"/>
      <c r="E473" s="17"/>
      <c r="F473" s="17"/>
      <c r="G473" s="2"/>
      <c r="H473" s="2"/>
      <c r="I473" s="2"/>
      <c r="J473" s="2"/>
      <c r="K473" s="2"/>
    </row>
    <row r="474">
      <c r="A474" s="17"/>
      <c r="B474" s="17"/>
      <c r="C474" s="17"/>
      <c r="D474" s="17"/>
      <c r="E474" s="17"/>
      <c r="F474" s="17"/>
      <c r="G474" s="2"/>
      <c r="H474" s="2"/>
      <c r="I474" s="2"/>
      <c r="J474" s="2"/>
      <c r="K474" s="2"/>
    </row>
    <row r="475">
      <c r="A475" s="17"/>
      <c r="B475" s="17"/>
      <c r="C475" s="17"/>
      <c r="D475" s="17"/>
      <c r="E475" s="17"/>
      <c r="F475" s="17"/>
      <c r="G475" s="2"/>
      <c r="H475" s="2"/>
      <c r="I475" s="2"/>
      <c r="J475" s="2"/>
      <c r="K475" s="2"/>
    </row>
    <row r="476">
      <c r="A476" s="17"/>
      <c r="B476" s="17"/>
      <c r="C476" s="17"/>
      <c r="D476" s="17"/>
      <c r="E476" s="17"/>
      <c r="F476" s="17"/>
      <c r="G476" s="2"/>
      <c r="H476" s="2"/>
      <c r="I476" s="2"/>
      <c r="J476" s="2"/>
      <c r="K476" s="2"/>
    </row>
    <row r="477">
      <c r="A477" s="17"/>
      <c r="B477" s="17"/>
      <c r="C477" s="17"/>
      <c r="D477" s="17"/>
      <c r="E477" s="17"/>
      <c r="F477" s="17"/>
      <c r="G477" s="2"/>
      <c r="H477" s="2"/>
      <c r="I477" s="2"/>
      <c r="J477" s="2"/>
      <c r="K477" s="2"/>
    </row>
    <row r="478">
      <c r="A478" s="17"/>
      <c r="B478" s="17"/>
      <c r="C478" s="17"/>
      <c r="D478" s="17"/>
      <c r="E478" s="17"/>
      <c r="F478" s="17"/>
      <c r="G478" s="2"/>
      <c r="H478" s="2"/>
      <c r="I478" s="2"/>
      <c r="J478" s="2"/>
      <c r="K478" s="2"/>
    </row>
    <row r="479">
      <c r="A479" s="17"/>
      <c r="B479" s="17"/>
      <c r="C479" s="17"/>
      <c r="D479" s="17"/>
      <c r="E479" s="17"/>
      <c r="F479" s="17"/>
      <c r="G479" s="2"/>
      <c r="H479" s="2"/>
      <c r="I479" s="2"/>
      <c r="J479" s="2"/>
      <c r="K479" s="2"/>
    </row>
    <row r="480">
      <c r="A480" s="17"/>
      <c r="B480" s="17"/>
      <c r="C480" s="17"/>
      <c r="D480" s="17"/>
      <c r="E480" s="17"/>
      <c r="F480" s="17"/>
      <c r="G480" s="2"/>
      <c r="H480" s="2"/>
      <c r="I480" s="2"/>
      <c r="J480" s="2"/>
      <c r="K480" s="2"/>
    </row>
    <row r="481">
      <c r="A481" s="17"/>
      <c r="B481" s="17"/>
      <c r="C481" s="17"/>
      <c r="D481" s="17"/>
      <c r="E481" s="17"/>
      <c r="F481" s="17"/>
      <c r="G481" s="2"/>
      <c r="H481" s="2"/>
      <c r="I481" s="2"/>
      <c r="J481" s="2"/>
      <c r="K481" s="2"/>
    </row>
    <row r="482">
      <c r="A482" s="17"/>
      <c r="B482" s="17"/>
      <c r="C482" s="17"/>
      <c r="D482" s="17"/>
      <c r="E482" s="17"/>
      <c r="F482" s="17"/>
      <c r="G482" s="2"/>
      <c r="H482" s="2"/>
      <c r="I482" s="2"/>
      <c r="J482" s="2"/>
      <c r="K482" s="2"/>
    </row>
    <row r="483">
      <c r="A483" s="17"/>
      <c r="B483" s="17"/>
      <c r="C483" s="17"/>
      <c r="D483" s="17"/>
      <c r="E483" s="17"/>
      <c r="F483" s="17"/>
      <c r="G483" s="2"/>
      <c r="H483" s="2"/>
      <c r="I483" s="2"/>
      <c r="J483" s="2"/>
      <c r="K483" s="2"/>
    </row>
    <row r="484">
      <c r="A484" s="17"/>
      <c r="B484" s="17"/>
      <c r="C484" s="17"/>
      <c r="D484" s="17"/>
      <c r="E484" s="17"/>
      <c r="F484" s="17"/>
      <c r="G484" s="2"/>
      <c r="H484" s="2"/>
      <c r="I484" s="2"/>
      <c r="J484" s="2"/>
      <c r="K484" s="2"/>
    </row>
    <row r="485">
      <c r="A485" s="17"/>
      <c r="B485" s="17"/>
      <c r="C485" s="17"/>
      <c r="D485" s="17"/>
      <c r="E485" s="17"/>
      <c r="F485" s="17"/>
      <c r="G485" s="2"/>
      <c r="H485" s="2"/>
      <c r="I485" s="2"/>
      <c r="J485" s="2"/>
      <c r="K485" s="2"/>
    </row>
    <row r="486">
      <c r="A486" s="17"/>
      <c r="B486" s="17"/>
      <c r="C486" s="17"/>
      <c r="D486" s="17"/>
      <c r="E486" s="17"/>
      <c r="F486" s="17"/>
      <c r="G486" s="2"/>
      <c r="H486" s="2"/>
      <c r="I486" s="2"/>
      <c r="J486" s="2"/>
      <c r="K486" s="2"/>
    </row>
    <row r="487">
      <c r="A487" s="17"/>
      <c r="B487" s="17"/>
      <c r="C487" s="17"/>
      <c r="D487" s="17"/>
      <c r="E487" s="17"/>
      <c r="F487" s="17"/>
      <c r="G487" s="2"/>
      <c r="H487" s="2"/>
      <c r="I487" s="2"/>
      <c r="J487" s="2"/>
      <c r="K487" s="2"/>
    </row>
    <row r="488">
      <c r="A488" s="17"/>
      <c r="B488" s="17"/>
      <c r="C488" s="17"/>
      <c r="D488" s="17"/>
      <c r="E488" s="17"/>
      <c r="F488" s="17"/>
      <c r="G488" s="2"/>
      <c r="H488" s="2"/>
      <c r="I488" s="2"/>
      <c r="J488" s="2"/>
      <c r="K488" s="2"/>
    </row>
    <row r="489">
      <c r="A489" s="17"/>
      <c r="B489" s="17"/>
      <c r="C489" s="17"/>
      <c r="D489" s="17"/>
      <c r="E489" s="17"/>
      <c r="F489" s="17"/>
      <c r="G489" s="2"/>
      <c r="H489" s="2"/>
      <c r="I489" s="2"/>
      <c r="J489" s="2"/>
      <c r="K489" s="2"/>
    </row>
    <row r="490">
      <c r="A490" s="17"/>
      <c r="B490" s="17"/>
      <c r="C490" s="17"/>
      <c r="D490" s="17"/>
      <c r="E490" s="17"/>
      <c r="F490" s="17"/>
      <c r="G490" s="2"/>
      <c r="H490" s="2"/>
      <c r="I490" s="2"/>
      <c r="J490" s="2"/>
      <c r="K490" s="2"/>
    </row>
    <row r="491">
      <c r="A491" s="17"/>
      <c r="B491" s="17"/>
      <c r="C491" s="17"/>
      <c r="D491" s="17"/>
      <c r="E491" s="17"/>
      <c r="F491" s="17"/>
      <c r="G491" s="2"/>
      <c r="H491" s="2"/>
      <c r="I491" s="2"/>
      <c r="J491" s="2"/>
      <c r="K491" s="2"/>
    </row>
    <row r="492">
      <c r="A492" s="17"/>
      <c r="B492" s="17"/>
      <c r="C492" s="17"/>
      <c r="D492" s="17"/>
      <c r="E492" s="17"/>
      <c r="F492" s="17"/>
      <c r="G492" s="2"/>
      <c r="H492" s="2"/>
      <c r="I492" s="2"/>
      <c r="J492" s="2"/>
      <c r="K492" s="2"/>
    </row>
    <row r="493">
      <c r="A493" s="17"/>
      <c r="B493" s="17"/>
      <c r="C493" s="17"/>
      <c r="D493" s="17"/>
      <c r="E493" s="17"/>
      <c r="F493" s="17"/>
      <c r="G493" s="2"/>
      <c r="H493" s="2"/>
      <c r="I493" s="2"/>
      <c r="J493" s="2"/>
      <c r="K493" s="2"/>
    </row>
    <row r="494">
      <c r="A494" s="17"/>
      <c r="B494" s="17"/>
      <c r="C494" s="17"/>
      <c r="D494" s="17"/>
      <c r="E494" s="17"/>
      <c r="F494" s="17"/>
      <c r="G494" s="2"/>
      <c r="H494" s="2"/>
      <c r="I494" s="2"/>
      <c r="J494" s="2"/>
      <c r="K494" s="2"/>
    </row>
    <row r="495">
      <c r="A495" s="17"/>
      <c r="B495" s="17"/>
      <c r="C495" s="17"/>
      <c r="D495" s="17"/>
      <c r="E495" s="17"/>
      <c r="F495" s="17"/>
      <c r="G495" s="2"/>
      <c r="H495" s="2"/>
      <c r="I495" s="2"/>
      <c r="J495" s="2"/>
      <c r="K495" s="2"/>
    </row>
    <row r="496">
      <c r="A496" s="17"/>
      <c r="B496" s="17"/>
      <c r="C496" s="17"/>
      <c r="D496" s="17"/>
      <c r="E496" s="17"/>
      <c r="F496" s="17"/>
      <c r="G496" s="2"/>
      <c r="H496" s="2"/>
      <c r="I496" s="2"/>
      <c r="J496" s="2"/>
      <c r="K496" s="2"/>
    </row>
    <row r="497">
      <c r="A497" s="17"/>
      <c r="B497" s="17"/>
      <c r="C497" s="17"/>
      <c r="D497" s="17"/>
      <c r="E497" s="17"/>
      <c r="F497" s="17"/>
      <c r="G497" s="2"/>
      <c r="H497" s="2"/>
      <c r="I497" s="2"/>
      <c r="J497" s="2"/>
      <c r="K497" s="2"/>
    </row>
    <row r="498">
      <c r="A498" s="17"/>
      <c r="B498" s="17"/>
      <c r="C498" s="17"/>
      <c r="D498" s="17"/>
      <c r="E498" s="17"/>
      <c r="F498" s="17"/>
      <c r="G498" s="2"/>
      <c r="H498" s="2"/>
      <c r="I498" s="2"/>
      <c r="J498" s="2"/>
      <c r="K498" s="2"/>
    </row>
    <row r="499">
      <c r="A499" s="17"/>
      <c r="B499" s="17"/>
      <c r="C499" s="17"/>
      <c r="D499" s="17"/>
      <c r="E499" s="17"/>
      <c r="F499" s="17"/>
      <c r="G499" s="2"/>
      <c r="H499" s="2"/>
      <c r="I499" s="2"/>
      <c r="J499" s="2"/>
      <c r="K499" s="2"/>
    </row>
    <row r="500">
      <c r="A500" s="17"/>
      <c r="B500" s="17"/>
      <c r="C500" s="17"/>
      <c r="D500" s="17"/>
      <c r="E500" s="17"/>
      <c r="F500" s="17"/>
      <c r="G500" s="2"/>
      <c r="H500" s="2"/>
      <c r="I500" s="2"/>
      <c r="J500" s="2"/>
      <c r="K500" s="2"/>
    </row>
    <row r="501">
      <c r="A501" s="17"/>
      <c r="B501" s="17"/>
      <c r="C501" s="17"/>
      <c r="D501" s="17"/>
      <c r="E501" s="17"/>
      <c r="F501" s="17"/>
      <c r="G501" s="2"/>
      <c r="H501" s="2"/>
      <c r="I501" s="2"/>
      <c r="J501" s="2"/>
      <c r="K501" s="2"/>
    </row>
    <row r="502">
      <c r="A502" s="17"/>
      <c r="B502" s="17"/>
      <c r="C502" s="17"/>
      <c r="D502" s="17"/>
      <c r="E502" s="17"/>
      <c r="F502" s="17"/>
      <c r="G502" s="2"/>
      <c r="H502" s="2"/>
      <c r="I502" s="2"/>
      <c r="J502" s="2"/>
      <c r="K502" s="2"/>
    </row>
    <row r="503">
      <c r="A503" s="17"/>
      <c r="B503" s="17"/>
      <c r="C503" s="17"/>
      <c r="D503" s="17"/>
      <c r="E503" s="17"/>
      <c r="F503" s="17"/>
      <c r="G503" s="2"/>
      <c r="H503" s="2"/>
      <c r="I503" s="2"/>
      <c r="J503" s="2"/>
      <c r="K503" s="2"/>
    </row>
    <row r="504">
      <c r="A504" s="17"/>
      <c r="B504" s="17"/>
      <c r="C504" s="17"/>
      <c r="D504" s="17"/>
      <c r="E504" s="17"/>
      <c r="F504" s="17"/>
      <c r="G504" s="2"/>
      <c r="H504" s="2"/>
      <c r="I504" s="2"/>
      <c r="J504" s="2"/>
      <c r="K504" s="2"/>
    </row>
    <row r="505">
      <c r="A505" s="17"/>
      <c r="B505" s="17"/>
      <c r="C505" s="17"/>
      <c r="D505" s="17"/>
      <c r="E505" s="17"/>
      <c r="F505" s="17"/>
      <c r="G505" s="2"/>
      <c r="H505" s="2"/>
      <c r="I505" s="2"/>
      <c r="J505" s="2"/>
      <c r="K505" s="2"/>
    </row>
    <row r="506">
      <c r="A506" s="17"/>
      <c r="B506" s="17"/>
      <c r="C506" s="17"/>
      <c r="D506" s="17"/>
      <c r="E506" s="17"/>
      <c r="F506" s="17"/>
      <c r="G506" s="2"/>
      <c r="H506" s="2"/>
      <c r="I506" s="2"/>
      <c r="J506" s="2"/>
      <c r="K506" s="2"/>
    </row>
    <row r="507">
      <c r="A507" s="17"/>
      <c r="B507" s="17"/>
      <c r="C507" s="17"/>
      <c r="D507" s="17"/>
      <c r="E507" s="17"/>
      <c r="F507" s="17"/>
      <c r="G507" s="2"/>
      <c r="H507" s="2"/>
      <c r="I507" s="2"/>
      <c r="J507" s="2"/>
      <c r="K507" s="2"/>
    </row>
    <row r="508">
      <c r="A508" s="17"/>
      <c r="B508" s="17"/>
      <c r="C508" s="17"/>
      <c r="D508" s="17"/>
      <c r="E508" s="17"/>
      <c r="F508" s="17"/>
      <c r="G508" s="2"/>
      <c r="H508" s="2"/>
      <c r="I508" s="2"/>
      <c r="J508" s="2"/>
      <c r="K508" s="2"/>
    </row>
    <row r="509">
      <c r="A509" s="17"/>
      <c r="B509" s="17"/>
      <c r="C509" s="17"/>
      <c r="D509" s="17"/>
      <c r="E509" s="17"/>
      <c r="F509" s="17"/>
      <c r="G509" s="2"/>
      <c r="H509" s="2"/>
      <c r="I509" s="2"/>
      <c r="J509" s="2"/>
      <c r="K509" s="2"/>
    </row>
    <row r="510">
      <c r="A510" s="17"/>
      <c r="B510" s="17"/>
      <c r="C510" s="17"/>
      <c r="D510" s="17"/>
      <c r="E510" s="17"/>
      <c r="F510" s="17"/>
      <c r="G510" s="2"/>
      <c r="H510" s="2"/>
      <c r="I510" s="2"/>
      <c r="J510" s="2"/>
      <c r="K510" s="2"/>
    </row>
    <row r="511">
      <c r="A511" s="17"/>
      <c r="B511" s="17"/>
      <c r="C511" s="17"/>
      <c r="D511" s="17"/>
      <c r="E511" s="17"/>
      <c r="F511" s="17"/>
      <c r="G511" s="2"/>
      <c r="H511" s="2"/>
      <c r="I511" s="2"/>
      <c r="J511" s="2"/>
      <c r="K511" s="2"/>
    </row>
    <row r="512">
      <c r="A512" s="17"/>
      <c r="B512" s="17"/>
      <c r="C512" s="17"/>
      <c r="D512" s="17"/>
      <c r="E512" s="17"/>
      <c r="F512" s="17"/>
      <c r="G512" s="2"/>
      <c r="H512" s="2"/>
      <c r="I512" s="2"/>
      <c r="J512" s="2"/>
      <c r="K512" s="2"/>
    </row>
    <row r="513">
      <c r="A513" s="17"/>
      <c r="B513" s="17"/>
      <c r="C513" s="17"/>
      <c r="D513" s="17"/>
      <c r="E513" s="17"/>
      <c r="F513" s="17"/>
      <c r="G513" s="2"/>
      <c r="H513" s="2"/>
      <c r="I513" s="2"/>
      <c r="J513" s="2"/>
      <c r="K513" s="2"/>
    </row>
    <row r="514">
      <c r="A514" s="17"/>
      <c r="B514" s="17"/>
      <c r="C514" s="17"/>
      <c r="D514" s="17"/>
      <c r="E514" s="17"/>
      <c r="F514" s="17"/>
      <c r="G514" s="2"/>
      <c r="H514" s="2"/>
      <c r="I514" s="2"/>
      <c r="J514" s="2"/>
      <c r="K514" s="2"/>
    </row>
    <row r="515">
      <c r="A515" s="17"/>
      <c r="B515" s="17"/>
      <c r="C515" s="17"/>
      <c r="D515" s="17"/>
      <c r="E515" s="17"/>
      <c r="F515" s="17"/>
      <c r="G515" s="2"/>
      <c r="H515" s="2"/>
      <c r="I515" s="2"/>
      <c r="J515" s="2"/>
      <c r="K515" s="2"/>
    </row>
    <row r="516">
      <c r="A516" s="17"/>
      <c r="B516" s="17"/>
      <c r="C516" s="17"/>
      <c r="D516" s="17"/>
      <c r="E516" s="17"/>
      <c r="F516" s="17"/>
      <c r="G516" s="2"/>
      <c r="H516" s="2"/>
      <c r="I516" s="2"/>
      <c r="J516" s="2"/>
      <c r="K516" s="2"/>
    </row>
    <row r="517">
      <c r="A517" s="17"/>
      <c r="B517" s="17"/>
      <c r="C517" s="17"/>
      <c r="D517" s="17"/>
      <c r="E517" s="17"/>
      <c r="F517" s="17"/>
      <c r="G517" s="2"/>
      <c r="H517" s="2"/>
      <c r="I517" s="2"/>
      <c r="J517" s="2"/>
      <c r="K517" s="2"/>
    </row>
    <row r="518">
      <c r="A518" s="17"/>
      <c r="B518" s="17"/>
      <c r="C518" s="17"/>
      <c r="D518" s="17"/>
      <c r="E518" s="17"/>
      <c r="F518" s="17"/>
      <c r="G518" s="2"/>
      <c r="H518" s="2"/>
      <c r="I518" s="2"/>
      <c r="J518" s="2"/>
      <c r="K518" s="2"/>
    </row>
    <row r="519">
      <c r="A519" s="17"/>
      <c r="B519" s="17"/>
      <c r="C519" s="17"/>
      <c r="D519" s="17"/>
      <c r="E519" s="17"/>
      <c r="F519" s="17"/>
      <c r="G519" s="2"/>
      <c r="H519" s="2"/>
      <c r="I519" s="2"/>
      <c r="J519" s="2"/>
      <c r="K519" s="2"/>
    </row>
    <row r="520">
      <c r="A520" s="17"/>
      <c r="B520" s="17"/>
      <c r="C520" s="17"/>
      <c r="D520" s="17"/>
      <c r="E520" s="17"/>
      <c r="F520" s="17"/>
      <c r="G520" s="2"/>
      <c r="H520" s="2"/>
      <c r="I520" s="2"/>
      <c r="J520" s="2"/>
      <c r="K520" s="2"/>
    </row>
    <row r="521">
      <c r="A521" s="17"/>
      <c r="B521" s="17"/>
      <c r="C521" s="17"/>
      <c r="D521" s="17"/>
      <c r="E521" s="17"/>
      <c r="F521" s="17"/>
      <c r="G521" s="2"/>
      <c r="H521" s="2"/>
      <c r="I521" s="2"/>
      <c r="J521" s="2"/>
      <c r="K521" s="2"/>
    </row>
    <row r="522">
      <c r="A522" s="17"/>
      <c r="B522" s="17"/>
      <c r="C522" s="17"/>
      <c r="D522" s="17"/>
      <c r="E522" s="17"/>
      <c r="F522" s="17"/>
      <c r="G522" s="2"/>
      <c r="H522" s="2"/>
      <c r="I522" s="2"/>
      <c r="J522" s="2"/>
      <c r="K522" s="2"/>
    </row>
    <row r="523">
      <c r="A523" s="17"/>
      <c r="B523" s="17"/>
      <c r="C523" s="17"/>
      <c r="D523" s="17"/>
      <c r="E523" s="17"/>
      <c r="F523" s="17"/>
      <c r="G523" s="2"/>
      <c r="H523" s="2"/>
      <c r="I523" s="2"/>
      <c r="J523" s="2"/>
      <c r="K523" s="2"/>
    </row>
    <row r="524">
      <c r="A524" s="17"/>
      <c r="B524" s="17"/>
      <c r="C524" s="17"/>
      <c r="D524" s="17"/>
      <c r="E524" s="17"/>
      <c r="F524" s="17"/>
      <c r="G524" s="2"/>
      <c r="H524" s="2"/>
      <c r="I524" s="2"/>
      <c r="J524" s="2"/>
      <c r="K524" s="2"/>
    </row>
    <row r="525">
      <c r="A525" s="17"/>
      <c r="B525" s="17"/>
      <c r="C525" s="17"/>
      <c r="D525" s="17"/>
      <c r="E525" s="17"/>
      <c r="F525" s="17"/>
      <c r="G525" s="2"/>
      <c r="H525" s="2"/>
      <c r="I525" s="2"/>
      <c r="J525" s="2"/>
      <c r="K525" s="2"/>
    </row>
    <row r="526">
      <c r="A526" s="17"/>
      <c r="B526" s="17"/>
      <c r="C526" s="17"/>
      <c r="D526" s="17"/>
      <c r="E526" s="17"/>
      <c r="F526" s="17"/>
      <c r="G526" s="2"/>
      <c r="H526" s="2"/>
      <c r="I526" s="2"/>
      <c r="J526" s="2"/>
      <c r="K526" s="2"/>
    </row>
    <row r="527">
      <c r="A527" s="17"/>
      <c r="B527" s="17"/>
      <c r="C527" s="17"/>
      <c r="D527" s="17"/>
      <c r="E527" s="17"/>
      <c r="F527" s="17"/>
      <c r="G527" s="2"/>
      <c r="H527" s="2"/>
      <c r="I527" s="2"/>
      <c r="J527" s="2"/>
      <c r="K527" s="2"/>
    </row>
    <row r="528">
      <c r="A528" s="17"/>
      <c r="B528" s="17"/>
      <c r="C528" s="17"/>
      <c r="D528" s="17"/>
      <c r="E528" s="17"/>
      <c r="F528" s="17"/>
      <c r="G528" s="2"/>
      <c r="H528" s="2"/>
      <c r="I528" s="2"/>
      <c r="J528" s="2"/>
      <c r="K528" s="2"/>
    </row>
    <row r="529">
      <c r="A529" s="17"/>
      <c r="B529" s="17"/>
      <c r="C529" s="17"/>
      <c r="D529" s="17"/>
      <c r="E529" s="17"/>
      <c r="F529" s="17"/>
      <c r="G529" s="2"/>
      <c r="H529" s="2"/>
      <c r="I529" s="2"/>
      <c r="J529" s="2"/>
      <c r="K529" s="2"/>
    </row>
    <row r="530">
      <c r="A530" s="17"/>
      <c r="B530" s="17"/>
      <c r="C530" s="17"/>
      <c r="D530" s="17"/>
      <c r="E530" s="17"/>
      <c r="F530" s="17"/>
      <c r="G530" s="2"/>
      <c r="H530" s="2"/>
      <c r="I530" s="2"/>
      <c r="J530" s="2"/>
      <c r="K530" s="2"/>
    </row>
    <row r="531">
      <c r="A531" s="17"/>
      <c r="B531" s="17"/>
      <c r="C531" s="17"/>
      <c r="D531" s="17"/>
      <c r="E531" s="17"/>
      <c r="F531" s="17"/>
      <c r="G531" s="2"/>
      <c r="H531" s="2"/>
      <c r="I531" s="2"/>
      <c r="J531" s="2"/>
      <c r="K531" s="2"/>
    </row>
    <row r="532">
      <c r="A532" s="17"/>
      <c r="B532" s="17"/>
      <c r="C532" s="17"/>
      <c r="D532" s="17"/>
      <c r="E532" s="17"/>
      <c r="F532" s="17"/>
      <c r="G532" s="2"/>
      <c r="H532" s="2"/>
      <c r="I532" s="2"/>
      <c r="J532" s="2"/>
      <c r="K532" s="2"/>
    </row>
    <row r="533">
      <c r="A533" s="17"/>
      <c r="B533" s="17"/>
      <c r="C533" s="17"/>
      <c r="D533" s="17"/>
      <c r="E533" s="17"/>
      <c r="F533" s="17"/>
      <c r="G533" s="2"/>
      <c r="H533" s="2"/>
      <c r="I533" s="2"/>
      <c r="J533" s="2"/>
      <c r="K533" s="2"/>
    </row>
    <row r="534">
      <c r="A534" s="17"/>
      <c r="B534" s="17"/>
      <c r="C534" s="17"/>
      <c r="D534" s="17"/>
      <c r="E534" s="17"/>
      <c r="F534" s="17"/>
      <c r="G534" s="2"/>
      <c r="H534" s="2"/>
      <c r="I534" s="2"/>
      <c r="J534" s="2"/>
      <c r="K534" s="2"/>
    </row>
    <row r="535">
      <c r="A535" s="17"/>
      <c r="B535" s="17"/>
      <c r="C535" s="17"/>
      <c r="D535" s="17"/>
      <c r="E535" s="17"/>
      <c r="F535" s="17"/>
      <c r="G535" s="2"/>
      <c r="H535" s="2"/>
      <c r="I535" s="2"/>
      <c r="J535" s="2"/>
      <c r="K535" s="2"/>
    </row>
    <row r="536">
      <c r="A536" s="17"/>
      <c r="B536" s="17"/>
      <c r="C536" s="17"/>
      <c r="D536" s="17"/>
      <c r="E536" s="17"/>
      <c r="F536" s="17"/>
      <c r="G536" s="2"/>
      <c r="H536" s="2"/>
      <c r="I536" s="2"/>
      <c r="J536" s="2"/>
      <c r="K536" s="2"/>
    </row>
    <row r="537">
      <c r="A537" s="17"/>
      <c r="B537" s="17"/>
      <c r="C537" s="17"/>
      <c r="D537" s="17"/>
      <c r="E537" s="17"/>
      <c r="F537" s="17"/>
      <c r="G537" s="2"/>
      <c r="H537" s="2"/>
      <c r="I537" s="2"/>
      <c r="J537" s="2"/>
      <c r="K537" s="2"/>
    </row>
    <row r="538">
      <c r="A538" s="17"/>
      <c r="B538" s="17"/>
      <c r="C538" s="17"/>
      <c r="D538" s="17"/>
      <c r="E538" s="17"/>
      <c r="F538" s="17"/>
      <c r="G538" s="2"/>
      <c r="H538" s="2"/>
      <c r="I538" s="2"/>
      <c r="J538" s="2"/>
      <c r="K538" s="2"/>
    </row>
    <row r="539">
      <c r="A539" s="17"/>
      <c r="B539" s="17"/>
      <c r="C539" s="17"/>
      <c r="D539" s="17"/>
      <c r="E539" s="17"/>
      <c r="F539" s="17"/>
      <c r="G539" s="2"/>
      <c r="H539" s="2"/>
      <c r="I539" s="2"/>
      <c r="J539" s="2"/>
      <c r="K539" s="2"/>
    </row>
    <row r="540">
      <c r="A540" s="17"/>
      <c r="B540" s="17"/>
      <c r="C540" s="17"/>
      <c r="D540" s="17"/>
      <c r="E540" s="17"/>
      <c r="F540" s="17"/>
      <c r="G540" s="2"/>
      <c r="H540" s="2"/>
      <c r="I540" s="2"/>
      <c r="J540" s="2"/>
      <c r="K540" s="2"/>
    </row>
    <row r="541">
      <c r="A541" s="17"/>
      <c r="B541" s="17"/>
      <c r="C541" s="17"/>
      <c r="D541" s="17"/>
      <c r="E541" s="17"/>
      <c r="F541" s="17"/>
      <c r="G541" s="2"/>
      <c r="H541" s="2"/>
      <c r="I541" s="2"/>
      <c r="J541" s="2"/>
      <c r="K541" s="2"/>
    </row>
    <row r="542">
      <c r="A542" s="17"/>
      <c r="B542" s="17"/>
      <c r="C542" s="17"/>
      <c r="D542" s="17"/>
      <c r="E542" s="17"/>
      <c r="F542" s="17"/>
      <c r="G542" s="2"/>
      <c r="H542" s="2"/>
      <c r="I542" s="2"/>
      <c r="J542" s="2"/>
      <c r="K542" s="2"/>
    </row>
    <row r="543">
      <c r="A543" s="17"/>
      <c r="B543" s="17"/>
      <c r="C543" s="17"/>
      <c r="D543" s="17"/>
      <c r="E543" s="17"/>
      <c r="F543" s="17"/>
      <c r="G543" s="2"/>
      <c r="H543" s="2"/>
      <c r="I543" s="2"/>
      <c r="J543" s="2"/>
      <c r="K543" s="2"/>
    </row>
    <row r="544">
      <c r="A544" s="17"/>
      <c r="B544" s="17"/>
      <c r="C544" s="17"/>
      <c r="D544" s="17"/>
      <c r="E544" s="17"/>
      <c r="F544" s="17"/>
      <c r="G544" s="2"/>
      <c r="H544" s="2"/>
      <c r="I544" s="2"/>
      <c r="J544" s="2"/>
      <c r="K544" s="2"/>
    </row>
    <row r="545">
      <c r="A545" s="17"/>
      <c r="B545" s="17"/>
      <c r="C545" s="17"/>
      <c r="D545" s="17"/>
      <c r="E545" s="17"/>
      <c r="F545" s="17"/>
      <c r="G545" s="2"/>
      <c r="H545" s="2"/>
      <c r="I545" s="2"/>
      <c r="J545" s="2"/>
      <c r="K545" s="2"/>
    </row>
    <row r="546">
      <c r="A546" s="17"/>
      <c r="B546" s="17"/>
      <c r="C546" s="17"/>
      <c r="D546" s="17"/>
      <c r="E546" s="17"/>
      <c r="F546" s="17"/>
      <c r="G546" s="2"/>
      <c r="H546" s="2"/>
      <c r="I546" s="2"/>
      <c r="J546" s="2"/>
      <c r="K546" s="2"/>
    </row>
    <row r="547">
      <c r="A547" s="17"/>
      <c r="B547" s="17"/>
      <c r="C547" s="17"/>
      <c r="D547" s="17"/>
      <c r="E547" s="17"/>
      <c r="F547" s="17"/>
      <c r="G547" s="2"/>
      <c r="H547" s="2"/>
      <c r="I547" s="2"/>
      <c r="J547" s="2"/>
      <c r="K547" s="2"/>
    </row>
    <row r="548">
      <c r="A548" s="17"/>
      <c r="B548" s="17"/>
      <c r="C548" s="17"/>
      <c r="D548" s="17"/>
      <c r="E548" s="17"/>
      <c r="F548" s="17"/>
      <c r="G548" s="2"/>
      <c r="H548" s="2"/>
      <c r="I548" s="2"/>
      <c r="J548" s="2"/>
      <c r="K548" s="2"/>
    </row>
    <row r="549">
      <c r="A549" s="17"/>
      <c r="B549" s="17"/>
      <c r="C549" s="17"/>
      <c r="D549" s="17"/>
      <c r="E549" s="17"/>
      <c r="F549" s="17"/>
      <c r="G549" s="2"/>
      <c r="H549" s="2"/>
      <c r="I549" s="2"/>
      <c r="J549" s="2"/>
      <c r="K549" s="2"/>
    </row>
    <row r="550">
      <c r="A550" s="17"/>
      <c r="B550" s="17"/>
      <c r="C550" s="17"/>
      <c r="D550" s="17"/>
      <c r="E550" s="17"/>
      <c r="F550" s="17"/>
      <c r="G550" s="2"/>
      <c r="H550" s="2"/>
      <c r="I550" s="2"/>
      <c r="J550" s="2"/>
      <c r="K550" s="2"/>
    </row>
    <row r="551">
      <c r="A551" s="17"/>
      <c r="B551" s="17"/>
      <c r="C551" s="17"/>
      <c r="D551" s="17"/>
      <c r="E551" s="17"/>
      <c r="F551" s="17"/>
      <c r="G551" s="2"/>
      <c r="H551" s="2"/>
      <c r="I551" s="2"/>
      <c r="J551" s="2"/>
      <c r="K551" s="2"/>
    </row>
    <row r="552">
      <c r="A552" s="17"/>
      <c r="B552" s="17"/>
      <c r="C552" s="17"/>
      <c r="D552" s="17"/>
      <c r="E552" s="17"/>
      <c r="F552" s="17"/>
      <c r="G552" s="2"/>
      <c r="H552" s="2"/>
      <c r="I552" s="2"/>
      <c r="J552" s="2"/>
      <c r="K552" s="2"/>
    </row>
    <row r="553">
      <c r="A553" s="17"/>
      <c r="B553" s="17"/>
      <c r="C553" s="17"/>
      <c r="D553" s="17"/>
      <c r="E553" s="17"/>
      <c r="F553" s="17"/>
      <c r="G553" s="2"/>
      <c r="H553" s="2"/>
      <c r="I553" s="2"/>
      <c r="J553" s="2"/>
      <c r="K553" s="2"/>
    </row>
    <row r="554">
      <c r="A554" s="17"/>
      <c r="B554" s="17"/>
      <c r="C554" s="17"/>
      <c r="D554" s="17"/>
      <c r="E554" s="17"/>
      <c r="F554" s="17"/>
      <c r="G554" s="2"/>
      <c r="H554" s="2"/>
      <c r="I554" s="2"/>
      <c r="J554" s="2"/>
      <c r="K554" s="2"/>
    </row>
    <row r="555">
      <c r="A555" s="17"/>
      <c r="B555" s="17"/>
      <c r="C555" s="17"/>
      <c r="D555" s="17"/>
      <c r="E555" s="17"/>
      <c r="F555" s="17"/>
      <c r="G555" s="2"/>
      <c r="H555" s="2"/>
      <c r="I555" s="2"/>
      <c r="J555" s="2"/>
      <c r="K555" s="2"/>
    </row>
    <row r="556">
      <c r="A556" s="17"/>
      <c r="B556" s="17"/>
      <c r="C556" s="17"/>
      <c r="D556" s="17"/>
      <c r="E556" s="17"/>
      <c r="F556" s="17"/>
      <c r="G556" s="2"/>
      <c r="H556" s="2"/>
      <c r="I556" s="2"/>
      <c r="J556" s="2"/>
      <c r="K556" s="2"/>
    </row>
    <row r="557">
      <c r="A557" s="17"/>
      <c r="B557" s="17"/>
      <c r="C557" s="17"/>
      <c r="D557" s="17"/>
      <c r="E557" s="17"/>
      <c r="F557" s="17"/>
      <c r="G557" s="2"/>
      <c r="H557" s="2"/>
      <c r="I557" s="2"/>
      <c r="J557" s="2"/>
      <c r="K557" s="2"/>
    </row>
    <row r="558">
      <c r="A558" s="17"/>
      <c r="B558" s="17"/>
      <c r="C558" s="17"/>
      <c r="D558" s="17"/>
      <c r="E558" s="17"/>
      <c r="F558" s="17"/>
      <c r="G558" s="2"/>
      <c r="H558" s="2"/>
      <c r="I558" s="2"/>
      <c r="J558" s="2"/>
      <c r="K558" s="2"/>
    </row>
    <row r="559">
      <c r="A559" s="17"/>
      <c r="B559" s="17"/>
      <c r="C559" s="17"/>
      <c r="D559" s="17"/>
      <c r="E559" s="17"/>
      <c r="F559" s="17"/>
      <c r="G559" s="2"/>
      <c r="H559" s="2"/>
      <c r="I559" s="2"/>
      <c r="J559" s="2"/>
      <c r="K559" s="2"/>
    </row>
    <row r="560">
      <c r="A560" s="17"/>
      <c r="B560" s="17"/>
      <c r="C560" s="17"/>
      <c r="D560" s="17"/>
      <c r="E560" s="17"/>
      <c r="F560" s="17"/>
      <c r="G560" s="2"/>
      <c r="H560" s="2"/>
      <c r="I560" s="2"/>
      <c r="J560" s="2"/>
      <c r="K560" s="2"/>
    </row>
    <row r="561">
      <c r="A561" s="17"/>
      <c r="B561" s="17"/>
      <c r="C561" s="17"/>
      <c r="D561" s="17"/>
      <c r="E561" s="17"/>
      <c r="F561" s="17"/>
      <c r="G561" s="2"/>
      <c r="H561" s="2"/>
      <c r="I561" s="2"/>
      <c r="J561" s="2"/>
      <c r="K561" s="2"/>
    </row>
    <row r="562">
      <c r="A562" s="17"/>
      <c r="B562" s="17"/>
      <c r="C562" s="17"/>
      <c r="D562" s="17"/>
      <c r="E562" s="17"/>
      <c r="F562" s="17"/>
      <c r="G562" s="2"/>
      <c r="H562" s="2"/>
      <c r="I562" s="2"/>
      <c r="J562" s="2"/>
      <c r="K562" s="2"/>
    </row>
    <row r="563">
      <c r="A563" s="17"/>
      <c r="B563" s="17"/>
      <c r="C563" s="17"/>
      <c r="D563" s="17"/>
      <c r="E563" s="17"/>
      <c r="F563" s="17"/>
      <c r="G563" s="2"/>
      <c r="H563" s="2"/>
      <c r="I563" s="2"/>
      <c r="J563" s="2"/>
      <c r="K563" s="2"/>
    </row>
    <row r="564">
      <c r="A564" s="17"/>
      <c r="B564" s="17"/>
      <c r="C564" s="17"/>
      <c r="D564" s="17"/>
      <c r="E564" s="17"/>
      <c r="F564" s="17"/>
      <c r="G564" s="2"/>
      <c r="H564" s="2"/>
      <c r="I564" s="2"/>
      <c r="J564" s="2"/>
      <c r="K564" s="2"/>
    </row>
    <row r="565">
      <c r="A565" s="17"/>
      <c r="B565" s="17"/>
      <c r="C565" s="17"/>
      <c r="D565" s="17"/>
      <c r="E565" s="17"/>
      <c r="F565" s="17"/>
      <c r="G565" s="2"/>
      <c r="H565" s="2"/>
      <c r="I565" s="2"/>
      <c r="J565" s="2"/>
      <c r="K565" s="2"/>
    </row>
    <row r="566">
      <c r="A566" s="17"/>
      <c r="B566" s="17"/>
      <c r="C566" s="17"/>
      <c r="D566" s="17"/>
      <c r="E566" s="17"/>
      <c r="F566" s="17"/>
      <c r="G566" s="2"/>
      <c r="H566" s="2"/>
      <c r="I566" s="2"/>
      <c r="J566" s="2"/>
      <c r="K566" s="2"/>
    </row>
    <row r="567">
      <c r="A567" s="17"/>
      <c r="B567" s="17"/>
      <c r="C567" s="17"/>
      <c r="D567" s="17"/>
      <c r="E567" s="17"/>
      <c r="F567" s="17"/>
      <c r="G567" s="2"/>
      <c r="H567" s="2"/>
      <c r="I567" s="2"/>
      <c r="J567" s="2"/>
      <c r="K567" s="2"/>
    </row>
    <row r="568">
      <c r="A568" s="17"/>
      <c r="B568" s="17"/>
      <c r="C568" s="17"/>
      <c r="D568" s="17"/>
      <c r="E568" s="17"/>
      <c r="F568" s="17"/>
      <c r="G568" s="2"/>
      <c r="H568" s="2"/>
      <c r="I568" s="2"/>
      <c r="J568" s="2"/>
      <c r="K568" s="2"/>
    </row>
    <row r="569">
      <c r="A569" s="17"/>
      <c r="B569" s="17"/>
      <c r="C569" s="17"/>
      <c r="D569" s="17"/>
      <c r="E569" s="17"/>
      <c r="F569" s="17"/>
      <c r="G569" s="2"/>
      <c r="H569" s="2"/>
      <c r="I569" s="2"/>
      <c r="J569" s="2"/>
      <c r="K569" s="2"/>
    </row>
    <row r="570">
      <c r="A570" s="17"/>
      <c r="B570" s="17"/>
      <c r="C570" s="17"/>
      <c r="D570" s="17"/>
      <c r="E570" s="17"/>
      <c r="F570" s="17"/>
      <c r="G570" s="2"/>
      <c r="H570" s="2"/>
      <c r="I570" s="2"/>
      <c r="J570" s="2"/>
      <c r="K570" s="2"/>
    </row>
    <row r="571">
      <c r="A571" s="17"/>
      <c r="B571" s="17"/>
      <c r="C571" s="17"/>
      <c r="D571" s="17"/>
      <c r="E571" s="17"/>
      <c r="F571" s="17"/>
      <c r="G571" s="2"/>
      <c r="H571" s="2"/>
      <c r="I571" s="2"/>
      <c r="J571" s="2"/>
      <c r="K571" s="2"/>
    </row>
    <row r="572">
      <c r="A572" s="17"/>
      <c r="B572" s="17"/>
      <c r="C572" s="17"/>
      <c r="D572" s="17"/>
      <c r="E572" s="17"/>
      <c r="F572" s="17"/>
      <c r="G572" s="2"/>
      <c r="H572" s="2"/>
      <c r="I572" s="2"/>
      <c r="J572" s="2"/>
      <c r="K572" s="2"/>
    </row>
    <row r="573">
      <c r="A573" s="17"/>
      <c r="B573" s="17"/>
      <c r="C573" s="17"/>
      <c r="D573" s="17"/>
      <c r="E573" s="17"/>
      <c r="F573" s="17"/>
      <c r="G573" s="2"/>
      <c r="H573" s="2"/>
      <c r="I573" s="2"/>
      <c r="J573" s="2"/>
      <c r="K573" s="2"/>
    </row>
    <row r="574">
      <c r="A574" s="17"/>
      <c r="B574" s="17"/>
      <c r="C574" s="17"/>
      <c r="D574" s="17"/>
      <c r="E574" s="17"/>
      <c r="F574" s="17"/>
      <c r="G574" s="2"/>
      <c r="H574" s="2"/>
      <c r="I574" s="2"/>
      <c r="J574" s="2"/>
      <c r="K574" s="2"/>
    </row>
    <row r="575">
      <c r="A575" s="17"/>
      <c r="B575" s="17"/>
      <c r="C575" s="17"/>
      <c r="D575" s="17"/>
      <c r="E575" s="17"/>
      <c r="F575" s="17"/>
      <c r="G575" s="2"/>
      <c r="H575" s="2"/>
      <c r="I575" s="2"/>
      <c r="J575" s="2"/>
      <c r="K575" s="2"/>
    </row>
    <row r="576">
      <c r="A576" s="17"/>
      <c r="B576" s="17"/>
      <c r="C576" s="17"/>
      <c r="D576" s="17"/>
      <c r="E576" s="17"/>
      <c r="F576" s="17"/>
      <c r="G576" s="2"/>
      <c r="H576" s="2"/>
      <c r="I576" s="2"/>
      <c r="J576" s="2"/>
      <c r="K576" s="2"/>
    </row>
    <row r="577">
      <c r="A577" s="17"/>
      <c r="B577" s="17"/>
      <c r="C577" s="17"/>
      <c r="D577" s="17"/>
      <c r="E577" s="17"/>
      <c r="F577" s="17"/>
      <c r="G577" s="2"/>
      <c r="H577" s="2"/>
      <c r="I577" s="2"/>
      <c r="J577" s="2"/>
      <c r="K577" s="2"/>
    </row>
    <row r="578">
      <c r="A578" s="17"/>
      <c r="B578" s="17"/>
      <c r="C578" s="17"/>
      <c r="D578" s="17"/>
      <c r="E578" s="17"/>
      <c r="F578" s="17"/>
      <c r="G578" s="2"/>
      <c r="H578" s="2"/>
      <c r="I578" s="2"/>
      <c r="J578" s="2"/>
      <c r="K578" s="2"/>
    </row>
    <row r="579">
      <c r="A579" s="17"/>
      <c r="B579" s="17"/>
      <c r="C579" s="17"/>
      <c r="D579" s="17"/>
      <c r="E579" s="17"/>
      <c r="F579" s="17"/>
      <c r="G579" s="2"/>
      <c r="H579" s="2"/>
      <c r="I579" s="2"/>
      <c r="J579" s="2"/>
      <c r="K579" s="2"/>
    </row>
    <row r="580">
      <c r="A580" s="17"/>
      <c r="B580" s="17"/>
      <c r="C580" s="17"/>
      <c r="D580" s="17"/>
      <c r="E580" s="17"/>
      <c r="F580" s="17"/>
      <c r="G580" s="2"/>
      <c r="H580" s="2"/>
      <c r="I580" s="2"/>
      <c r="J580" s="2"/>
      <c r="K580" s="2"/>
    </row>
    <row r="581">
      <c r="A581" s="17"/>
      <c r="B581" s="17"/>
      <c r="C581" s="17"/>
      <c r="D581" s="17"/>
      <c r="E581" s="17"/>
      <c r="F581" s="17"/>
      <c r="G581" s="2"/>
      <c r="H581" s="2"/>
      <c r="I581" s="2"/>
      <c r="J581" s="2"/>
      <c r="K581" s="2"/>
    </row>
    <row r="582">
      <c r="A582" s="17"/>
      <c r="B582" s="17"/>
      <c r="C582" s="17"/>
      <c r="D582" s="17"/>
      <c r="E582" s="17"/>
      <c r="F582" s="17"/>
      <c r="G582" s="2"/>
      <c r="H582" s="2"/>
      <c r="I582" s="2"/>
      <c r="J582" s="2"/>
      <c r="K582" s="2"/>
    </row>
    <row r="583">
      <c r="A583" s="17"/>
      <c r="B583" s="17"/>
      <c r="C583" s="17"/>
      <c r="D583" s="17"/>
      <c r="E583" s="17"/>
      <c r="F583" s="17"/>
      <c r="G583" s="2"/>
      <c r="H583" s="2"/>
      <c r="I583" s="2"/>
      <c r="J583" s="2"/>
      <c r="K583" s="2"/>
    </row>
    <row r="584">
      <c r="A584" s="17"/>
      <c r="B584" s="17"/>
      <c r="C584" s="17"/>
      <c r="D584" s="17"/>
      <c r="E584" s="17"/>
      <c r="F584" s="17"/>
      <c r="G584" s="2"/>
      <c r="H584" s="2"/>
      <c r="I584" s="2"/>
      <c r="J584" s="2"/>
      <c r="K584" s="2"/>
    </row>
    <row r="585">
      <c r="A585" s="17"/>
      <c r="B585" s="17"/>
      <c r="C585" s="17"/>
      <c r="D585" s="17"/>
      <c r="E585" s="17"/>
      <c r="F585" s="17"/>
      <c r="G585" s="2"/>
      <c r="H585" s="2"/>
      <c r="I585" s="2"/>
      <c r="J585" s="2"/>
      <c r="K585" s="2"/>
    </row>
    <row r="586">
      <c r="A586" s="17"/>
      <c r="B586" s="17"/>
      <c r="C586" s="17"/>
      <c r="D586" s="17"/>
      <c r="E586" s="17"/>
      <c r="F586" s="17"/>
      <c r="G586" s="2"/>
      <c r="H586" s="2"/>
      <c r="I586" s="2"/>
      <c r="J586" s="2"/>
      <c r="K586" s="2"/>
    </row>
    <row r="587">
      <c r="A587" s="17"/>
      <c r="B587" s="17"/>
      <c r="C587" s="17"/>
      <c r="D587" s="17"/>
      <c r="E587" s="17"/>
      <c r="F587" s="17"/>
      <c r="G587" s="2"/>
      <c r="H587" s="2"/>
      <c r="I587" s="2"/>
      <c r="J587" s="2"/>
      <c r="K587" s="2"/>
    </row>
    <row r="588">
      <c r="A588" s="17"/>
      <c r="B588" s="17"/>
      <c r="C588" s="17"/>
      <c r="D588" s="17"/>
      <c r="E588" s="17"/>
      <c r="F588" s="17"/>
      <c r="G588" s="2"/>
      <c r="H588" s="2"/>
      <c r="I588" s="2"/>
      <c r="J588" s="2"/>
      <c r="K588" s="2"/>
    </row>
    <row r="589">
      <c r="A589" s="17"/>
      <c r="B589" s="17"/>
      <c r="C589" s="17"/>
      <c r="D589" s="17"/>
      <c r="E589" s="17"/>
      <c r="F589" s="17"/>
      <c r="G589" s="2"/>
      <c r="H589" s="2"/>
      <c r="I589" s="2"/>
      <c r="J589" s="2"/>
      <c r="K589" s="2"/>
    </row>
    <row r="590">
      <c r="A590" s="17"/>
      <c r="B590" s="17"/>
      <c r="C590" s="17"/>
      <c r="D590" s="17"/>
      <c r="E590" s="17"/>
      <c r="F590" s="17"/>
      <c r="G590" s="2"/>
      <c r="H590" s="2"/>
      <c r="I590" s="2"/>
      <c r="J590" s="2"/>
      <c r="K590" s="2"/>
    </row>
    <row r="591">
      <c r="A591" s="17"/>
      <c r="B591" s="17"/>
      <c r="C591" s="17"/>
      <c r="D591" s="17"/>
      <c r="E591" s="17"/>
      <c r="F591" s="17"/>
      <c r="G591" s="2"/>
      <c r="H591" s="2"/>
      <c r="I591" s="2"/>
      <c r="J591" s="2"/>
      <c r="K591" s="2"/>
    </row>
    <row r="592">
      <c r="A592" s="17"/>
      <c r="B592" s="17"/>
      <c r="C592" s="17"/>
      <c r="D592" s="17"/>
      <c r="E592" s="17"/>
      <c r="F592" s="17"/>
      <c r="G592" s="2"/>
      <c r="H592" s="2"/>
      <c r="I592" s="2"/>
      <c r="J592" s="2"/>
      <c r="K592" s="2"/>
    </row>
    <row r="593">
      <c r="A593" s="17"/>
      <c r="B593" s="17"/>
      <c r="C593" s="17"/>
      <c r="D593" s="17"/>
      <c r="E593" s="17"/>
      <c r="F593" s="17"/>
      <c r="G593" s="2"/>
      <c r="H593" s="2"/>
      <c r="I593" s="2"/>
      <c r="J593" s="2"/>
      <c r="K593" s="2"/>
    </row>
    <row r="594">
      <c r="A594" s="17"/>
      <c r="B594" s="17"/>
      <c r="C594" s="17"/>
      <c r="D594" s="17"/>
      <c r="E594" s="17"/>
      <c r="F594" s="17"/>
      <c r="G594" s="2"/>
      <c r="H594" s="2"/>
      <c r="I594" s="2"/>
      <c r="J594" s="2"/>
      <c r="K594" s="2"/>
    </row>
    <row r="595">
      <c r="A595" s="17"/>
      <c r="B595" s="17"/>
      <c r="C595" s="17"/>
      <c r="D595" s="17"/>
      <c r="E595" s="17"/>
      <c r="F595" s="17"/>
      <c r="G595" s="2"/>
      <c r="H595" s="2"/>
      <c r="I595" s="2"/>
      <c r="J595" s="2"/>
      <c r="K595" s="2"/>
    </row>
    <row r="596">
      <c r="A596" s="17"/>
      <c r="B596" s="17"/>
      <c r="C596" s="17"/>
      <c r="D596" s="17"/>
      <c r="E596" s="17"/>
      <c r="F596" s="17"/>
      <c r="G596" s="2"/>
      <c r="H596" s="2"/>
      <c r="I596" s="2"/>
      <c r="J596" s="2"/>
      <c r="K596" s="2"/>
    </row>
    <row r="597">
      <c r="A597" s="17"/>
      <c r="B597" s="17"/>
      <c r="C597" s="17"/>
      <c r="D597" s="17"/>
      <c r="E597" s="17"/>
      <c r="F597" s="17"/>
      <c r="G597" s="2"/>
      <c r="H597" s="2"/>
      <c r="I597" s="2"/>
      <c r="J597" s="2"/>
      <c r="K597" s="2"/>
    </row>
    <row r="598">
      <c r="A598" s="17"/>
      <c r="B598" s="17"/>
      <c r="C598" s="17"/>
      <c r="D598" s="17"/>
      <c r="E598" s="17"/>
      <c r="F598" s="17"/>
      <c r="G598" s="2"/>
      <c r="H598" s="2"/>
      <c r="I598" s="2"/>
      <c r="J598" s="2"/>
      <c r="K598" s="2"/>
    </row>
    <row r="599">
      <c r="A599" s="17"/>
      <c r="B599" s="17"/>
      <c r="C599" s="17"/>
      <c r="D599" s="17"/>
      <c r="E599" s="17"/>
      <c r="F599" s="17"/>
      <c r="G599" s="2"/>
      <c r="H599" s="2"/>
      <c r="I599" s="2"/>
      <c r="J599" s="2"/>
      <c r="K599" s="2"/>
    </row>
    <row r="600">
      <c r="A600" s="17"/>
      <c r="B600" s="17"/>
      <c r="C600" s="17"/>
      <c r="D600" s="17"/>
      <c r="E600" s="17"/>
      <c r="F600" s="17"/>
      <c r="G600" s="2"/>
      <c r="H600" s="2"/>
      <c r="I600" s="2"/>
      <c r="J600" s="2"/>
      <c r="K600" s="2"/>
    </row>
    <row r="601">
      <c r="A601" s="17"/>
      <c r="B601" s="17"/>
      <c r="C601" s="17"/>
      <c r="D601" s="17"/>
      <c r="E601" s="17"/>
      <c r="F601" s="17"/>
      <c r="G601" s="2"/>
      <c r="H601" s="2"/>
      <c r="I601" s="2"/>
      <c r="J601" s="2"/>
      <c r="K601" s="2"/>
    </row>
    <row r="602">
      <c r="A602" s="17"/>
      <c r="B602" s="17"/>
      <c r="C602" s="17"/>
      <c r="D602" s="17"/>
      <c r="E602" s="17"/>
      <c r="F602" s="17"/>
      <c r="G602" s="2"/>
      <c r="H602" s="2"/>
      <c r="I602" s="2"/>
      <c r="J602" s="2"/>
      <c r="K602" s="2"/>
    </row>
    <row r="603">
      <c r="A603" s="17"/>
      <c r="B603" s="17"/>
      <c r="C603" s="17"/>
      <c r="D603" s="17"/>
      <c r="E603" s="17"/>
      <c r="F603" s="17"/>
      <c r="G603" s="2"/>
      <c r="H603" s="2"/>
      <c r="I603" s="2"/>
      <c r="J603" s="2"/>
      <c r="K603" s="2"/>
    </row>
    <row r="604">
      <c r="A604" s="17"/>
      <c r="B604" s="17"/>
      <c r="C604" s="17"/>
      <c r="D604" s="17"/>
      <c r="E604" s="17"/>
      <c r="F604" s="17"/>
      <c r="G604" s="2"/>
      <c r="H604" s="2"/>
      <c r="I604" s="2"/>
      <c r="J604" s="2"/>
      <c r="K604" s="2"/>
    </row>
    <row r="605">
      <c r="A605" s="17"/>
      <c r="B605" s="17"/>
      <c r="C605" s="17"/>
      <c r="D605" s="17"/>
      <c r="E605" s="17"/>
      <c r="F605" s="17"/>
      <c r="G605" s="2"/>
      <c r="H605" s="2"/>
      <c r="I605" s="2"/>
      <c r="J605" s="2"/>
      <c r="K605" s="2"/>
    </row>
    <row r="606">
      <c r="A606" s="17"/>
      <c r="B606" s="17"/>
      <c r="C606" s="17"/>
      <c r="D606" s="17"/>
      <c r="E606" s="17"/>
      <c r="F606" s="17"/>
      <c r="G606" s="2"/>
      <c r="H606" s="2"/>
      <c r="I606" s="2"/>
      <c r="J606" s="2"/>
      <c r="K606" s="2"/>
    </row>
    <row r="607">
      <c r="A607" s="17"/>
      <c r="B607" s="17"/>
      <c r="C607" s="17"/>
      <c r="D607" s="17"/>
      <c r="E607" s="17"/>
      <c r="F607" s="17"/>
      <c r="G607" s="2"/>
      <c r="H607" s="2"/>
      <c r="I607" s="2"/>
      <c r="J607" s="2"/>
      <c r="K607" s="2"/>
    </row>
    <row r="608">
      <c r="A608" s="17"/>
      <c r="B608" s="17"/>
      <c r="C608" s="17"/>
      <c r="D608" s="17"/>
      <c r="E608" s="17"/>
      <c r="F608" s="17"/>
      <c r="G608" s="2"/>
      <c r="H608" s="2"/>
      <c r="I608" s="2"/>
      <c r="J608" s="2"/>
      <c r="K608" s="2"/>
    </row>
    <row r="609">
      <c r="A609" s="17"/>
      <c r="B609" s="17"/>
      <c r="C609" s="17"/>
      <c r="D609" s="17"/>
      <c r="E609" s="17"/>
      <c r="F609" s="17"/>
      <c r="G609" s="2"/>
      <c r="H609" s="2"/>
      <c r="I609" s="2"/>
      <c r="J609" s="2"/>
      <c r="K609" s="2"/>
    </row>
    <row r="610">
      <c r="A610" s="17"/>
      <c r="B610" s="17"/>
      <c r="C610" s="17"/>
      <c r="D610" s="17"/>
      <c r="E610" s="17"/>
      <c r="F610" s="17"/>
      <c r="G610" s="2"/>
      <c r="H610" s="2"/>
      <c r="I610" s="2"/>
      <c r="J610" s="2"/>
      <c r="K610" s="2"/>
    </row>
    <row r="611">
      <c r="A611" s="17"/>
      <c r="B611" s="17"/>
      <c r="C611" s="17"/>
      <c r="D611" s="17"/>
      <c r="E611" s="17"/>
      <c r="F611" s="17"/>
      <c r="G611" s="2"/>
      <c r="H611" s="2"/>
      <c r="I611" s="2"/>
      <c r="J611" s="2"/>
      <c r="K611" s="2"/>
    </row>
    <row r="612">
      <c r="A612" s="17"/>
      <c r="B612" s="17"/>
      <c r="C612" s="17"/>
      <c r="D612" s="17"/>
      <c r="E612" s="17"/>
      <c r="F612" s="17"/>
      <c r="G612" s="2"/>
      <c r="H612" s="2"/>
      <c r="I612" s="2"/>
      <c r="J612" s="2"/>
      <c r="K612" s="2"/>
    </row>
    <row r="613">
      <c r="A613" s="17"/>
      <c r="B613" s="17"/>
      <c r="C613" s="17"/>
      <c r="D613" s="17"/>
      <c r="E613" s="17"/>
      <c r="F613" s="17"/>
      <c r="G613" s="2"/>
      <c r="H613" s="2"/>
      <c r="I613" s="2"/>
      <c r="J613" s="2"/>
      <c r="K613" s="2"/>
    </row>
    <row r="614">
      <c r="A614" s="17"/>
      <c r="B614" s="17"/>
      <c r="C614" s="17"/>
      <c r="D614" s="17"/>
      <c r="E614" s="17"/>
      <c r="F614" s="17"/>
      <c r="G614" s="2"/>
      <c r="H614" s="2"/>
      <c r="I614" s="2"/>
      <c r="J614" s="2"/>
      <c r="K614" s="2"/>
    </row>
    <row r="615">
      <c r="A615" s="17"/>
      <c r="B615" s="17"/>
      <c r="C615" s="17"/>
      <c r="D615" s="17"/>
      <c r="E615" s="17"/>
      <c r="F615" s="17"/>
      <c r="G615" s="2"/>
      <c r="H615" s="2"/>
      <c r="I615" s="2"/>
      <c r="J615" s="2"/>
      <c r="K615" s="2"/>
    </row>
    <row r="616">
      <c r="A616" s="17"/>
      <c r="B616" s="17"/>
      <c r="C616" s="17"/>
      <c r="D616" s="17"/>
      <c r="E616" s="17"/>
      <c r="F616" s="17"/>
      <c r="G616" s="2"/>
      <c r="H616" s="2"/>
      <c r="I616" s="2"/>
      <c r="J616" s="2"/>
      <c r="K616" s="2"/>
    </row>
    <row r="617">
      <c r="A617" s="17"/>
      <c r="B617" s="17"/>
      <c r="C617" s="17"/>
      <c r="D617" s="17"/>
      <c r="E617" s="17"/>
      <c r="F617" s="17"/>
      <c r="G617" s="2"/>
      <c r="H617" s="2"/>
      <c r="I617" s="2"/>
      <c r="J617" s="2"/>
      <c r="K617" s="2"/>
    </row>
    <row r="618">
      <c r="A618" s="17"/>
      <c r="B618" s="17"/>
      <c r="C618" s="17"/>
      <c r="D618" s="17"/>
      <c r="E618" s="17"/>
      <c r="F618" s="17"/>
      <c r="G618" s="2"/>
      <c r="H618" s="2"/>
      <c r="I618" s="2"/>
      <c r="J618" s="2"/>
      <c r="K618" s="2"/>
    </row>
    <row r="619">
      <c r="A619" s="17"/>
      <c r="B619" s="17"/>
      <c r="C619" s="17"/>
      <c r="D619" s="17"/>
      <c r="E619" s="17"/>
      <c r="F619" s="17"/>
      <c r="G619" s="2"/>
      <c r="H619" s="2"/>
      <c r="I619" s="2"/>
      <c r="J619" s="2"/>
      <c r="K619" s="2"/>
    </row>
    <row r="620">
      <c r="A620" s="17"/>
      <c r="B620" s="17"/>
      <c r="C620" s="17"/>
      <c r="D620" s="17"/>
      <c r="E620" s="17"/>
      <c r="F620" s="17"/>
      <c r="G620" s="2"/>
      <c r="H620" s="2"/>
      <c r="I620" s="2"/>
      <c r="J620" s="2"/>
      <c r="K620" s="2"/>
    </row>
    <row r="621">
      <c r="A621" s="17"/>
      <c r="B621" s="17"/>
      <c r="C621" s="17"/>
      <c r="D621" s="17"/>
      <c r="E621" s="17"/>
      <c r="F621" s="17"/>
      <c r="G621" s="2"/>
      <c r="H621" s="2"/>
      <c r="I621" s="2"/>
      <c r="J621" s="2"/>
      <c r="K621" s="2"/>
    </row>
    <row r="622">
      <c r="A622" s="17"/>
      <c r="B622" s="17"/>
      <c r="C622" s="17"/>
      <c r="D622" s="17"/>
      <c r="E622" s="17"/>
      <c r="F622" s="17"/>
      <c r="G622" s="2"/>
      <c r="H622" s="2"/>
      <c r="I622" s="2"/>
      <c r="J622" s="2"/>
      <c r="K622" s="2"/>
    </row>
    <row r="623">
      <c r="A623" s="17"/>
      <c r="B623" s="17"/>
      <c r="C623" s="17"/>
      <c r="D623" s="17"/>
      <c r="E623" s="17"/>
      <c r="F623" s="17"/>
      <c r="G623" s="2"/>
      <c r="H623" s="2"/>
      <c r="I623" s="2"/>
      <c r="J623" s="2"/>
      <c r="K623" s="2"/>
    </row>
    <row r="624">
      <c r="A624" s="17"/>
      <c r="B624" s="17"/>
      <c r="C624" s="17"/>
      <c r="D624" s="17"/>
      <c r="E624" s="17"/>
      <c r="F624" s="17"/>
      <c r="G624" s="2"/>
      <c r="H624" s="2"/>
      <c r="I624" s="2"/>
      <c r="J624" s="2"/>
      <c r="K624" s="2"/>
    </row>
    <row r="625">
      <c r="A625" s="17"/>
      <c r="B625" s="17"/>
      <c r="C625" s="17"/>
      <c r="D625" s="17"/>
      <c r="E625" s="17"/>
      <c r="F625" s="17"/>
      <c r="G625" s="2"/>
      <c r="H625" s="2"/>
      <c r="I625" s="2"/>
      <c r="J625" s="2"/>
      <c r="K625" s="2"/>
    </row>
    <row r="626">
      <c r="A626" s="17"/>
      <c r="B626" s="17"/>
      <c r="C626" s="17"/>
      <c r="D626" s="17"/>
      <c r="E626" s="17"/>
      <c r="F626" s="17"/>
      <c r="G626" s="2"/>
      <c r="H626" s="2"/>
      <c r="I626" s="2"/>
      <c r="J626" s="2"/>
      <c r="K626" s="2"/>
    </row>
    <row r="627">
      <c r="A627" s="17"/>
      <c r="B627" s="17"/>
      <c r="C627" s="17"/>
      <c r="D627" s="17"/>
      <c r="E627" s="17"/>
      <c r="F627" s="17"/>
      <c r="G627" s="2"/>
      <c r="H627" s="2"/>
      <c r="I627" s="2"/>
      <c r="J627" s="2"/>
      <c r="K627" s="2"/>
    </row>
    <row r="628">
      <c r="A628" s="17"/>
      <c r="B628" s="17"/>
      <c r="C628" s="17"/>
      <c r="D628" s="17"/>
      <c r="E628" s="17"/>
      <c r="F628" s="17"/>
      <c r="G628" s="2"/>
      <c r="H628" s="2"/>
      <c r="I628" s="2"/>
      <c r="J628" s="2"/>
      <c r="K628" s="2"/>
    </row>
    <row r="629">
      <c r="A629" s="17"/>
      <c r="B629" s="17"/>
      <c r="C629" s="17"/>
      <c r="D629" s="17"/>
      <c r="E629" s="17"/>
      <c r="F629" s="17"/>
      <c r="G629" s="2"/>
      <c r="H629" s="2"/>
      <c r="I629" s="2"/>
      <c r="J629" s="2"/>
      <c r="K629" s="2"/>
    </row>
    <row r="630">
      <c r="A630" s="17"/>
      <c r="B630" s="17"/>
      <c r="C630" s="17"/>
      <c r="D630" s="17"/>
      <c r="E630" s="17"/>
      <c r="F630" s="17"/>
      <c r="G630" s="2"/>
      <c r="H630" s="2"/>
      <c r="I630" s="2"/>
      <c r="J630" s="2"/>
      <c r="K630" s="2"/>
    </row>
    <row r="631">
      <c r="A631" s="17"/>
      <c r="B631" s="17"/>
      <c r="C631" s="17"/>
      <c r="D631" s="17"/>
      <c r="E631" s="17"/>
      <c r="F631" s="17"/>
      <c r="G631" s="2"/>
      <c r="H631" s="2"/>
      <c r="I631" s="2"/>
      <c r="J631" s="2"/>
      <c r="K631" s="2"/>
    </row>
    <row r="632">
      <c r="A632" s="17"/>
      <c r="B632" s="17"/>
      <c r="C632" s="17"/>
      <c r="D632" s="17"/>
      <c r="E632" s="17"/>
      <c r="F632" s="17"/>
      <c r="G632" s="2"/>
      <c r="H632" s="2"/>
      <c r="I632" s="2"/>
      <c r="J632" s="2"/>
      <c r="K632" s="2"/>
    </row>
    <row r="633">
      <c r="A633" s="17"/>
      <c r="B633" s="17"/>
      <c r="C633" s="17"/>
      <c r="D633" s="17"/>
      <c r="E633" s="17"/>
      <c r="F633" s="17"/>
      <c r="G633" s="2"/>
      <c r="H633" s="2"/>
      <c r="I633" s="2"/>
      <c r="J633" s="2"/>
      <c r="K633" s="2"/>
    </row>
    <row r="634">
      <c r="A634" s="17"/>
      <c r="B634" s="17"/>
      <c r="C634" s="17"/>
      <c r="D634" s="17"/>
      <c r="E634" s="17"/>
      <c r="F634" s="17"/>
      <c r="G634" s="2"/>
      <c r="H634" s="2"/>
      <c r="I634" s="2"/>
      <c r="J634" s="2"/>
      <c r="K634" s="2"/>
    </row>
    <row r="635">
      <c r="A635" s="17"/>
      <c r="B635" s="17"/>
      <c r="C635" s="17"/>
      <c r="D635" s="17"/>
      <c r="E635" s="17"/>
      <c r="F635" s="17"/>
      <c r="G635" s="2"/>
      <c r="H635" s="2"/>
      <c r="I635" s="2"/>
      <c r="J635" s="2"/>
      <c r="K635" s="2"/>
    </row>
    <row r="636">
      <c r="A636" s="17"/>
      <c r="B636" s="17"/>
      <c r="C636" s="17"/>
      <c r="D636" s="17"/>
      <c r="E636" s="17"/>
      <c r="F636" s="17"/>
      <c r="G636" s="2"/>
      <c r="H636" s="2"/>
      <c r="I636" s="2"/>
      <c r="J636" s="2"/>
      <c r="K636" s="2"/>
    </row>
    <row r="637">
      <c r="A637" s="17"/>
      <c r="B637" s="17"/>
      <c r="C637" s="17"/>
      <c r="D637" s="17"/>
      <c r="E637" s="17"/>
      <c r="F637" s="17"/>
      <c r="G637" s="2"/>
      <c r="H637" s="2"/>
      <c r="I637" s="2"/>
      <c r="J637" s="2"/>
      <c r="K637" s="2"/>
    </row>
    <row r="638">
      <c r="A638" s="17"/>
      <c r="B638" s="17"/>
      <c r="C638" s="17"/>
      <c r="D638" s="17"/>
      <c r="E638" s="17"/>
      <c r="F638" s="17"/>
      <c r="G638" s="2"/>
      <c r="H638" s="2"/>
      <c r="I638" s="2"/>
      <c r="J638" s="2"/>
      <c r="K638" s="2"/>
    </row>
    <row r="639">
      <c r="A639" s="17"/>
      <c r="B639" s="17"/>
      <c r="C639" s="17"/>
      <c r="D639" s="17"/>
      <c r="E639" s="17"/>
      <c r="F639" s="17"/>
      <c r="G639" s="2"/>
      <c r="H639" s="2"/>
      <c r="I639" s="2"/>
      <c r="J639" s="2"/>
      <c r="K639" s="2"/>
    </row>
    <row r="640">
      <c r="A640" s="17"/>
      <c r="B640" s="17"/>
      <c r="C640" s="17"/>
      <c r="D640" s="17"/>
      <c r="E640" s="17"/>
      <c r="F640" s="17"/>
      <c r="G640" s="2"/>
      <c r="H640" s="2"/>
      <c r="I640" s="2"/>
      <c r="J640" s="2"/>
      <c r="K640" s="2"/>
    </row>
    <row r="641">
      <c r="A641" s="17"/>
      <c r="B641" s="17"/>
      <c r="C641" s="17"/>
      <c r="D641" s="17"/>
      <c r="E641" s="17"/>
      <c r="F641" s="17"/>
      <c r="G641" s="2"/>
      <c r="H641" s="2"/>
      <c r="I641" s="2"/>
      <c r="J641" s="2"/>
      <c r="K641" s="2"/>
    </row>
    <row r="642">
      <c r="A642" s="17"/>
      <c r="B642" s="17"/>
      <c r="C642" s="17"/>
      <c r="D642" s="17"/>
      <c r="E642" s="17"/>
      <c r="F642" s="17"/>
      <c r="G642" s="2"/>
      <c r="H642" s="2"/>
      <c r="I642" s="2"/>
      <c r="J642" s="2"/>
      <c r="K642" s="2"/>
    </row>
    <row r="643">
      <c r="A643" s="17"/>
      <c r="B643" s="17"/>
      <c r="C643" s="17"/>
      <c r="D643" s="17"/>
      <c r="E643" s="17"/>
      <c r="F643" s="17"/>
      <c r="G643" s="2"/>
      <c r="H643" s="2"/>
      <c r="I643" s="2"/>
      <c r="J643" s="2"/>
      <c r="K643" s="2"/>
    </row>
    <row r="644">
      <c r="A644" s="17"/>
      <c r="B644" s="17"/>
      <c r="C644" s="17"/>
      <c r="D644" s="17"/>
      <c r="E644" s="17"/>
      <c r="F644" s="17"/>
      <c r="G644" s="2"/>
      <c r="H644" s="2"/>
      <c r="I644" s="2"/>
      <c r="J644" s="2"/>
      <c r="K644" s="2"/>
    </row>
    <row r="645">
      <c r="A645" s="17"/>
      <c r="B645" s="17"/>
      <c r="C645" s="17"/>
      <c r="D645" s="17"/>
      <c r="E645" s="17"/>
      <c r="F645" s="17"/>
      <c r="G645" s="2"/>
      <c r="H645" s="2"/>
      <c r="I645" s="2"/>
      <c r="J645" s="2"/>
      <c r="K645" s="2"/>
    </row>
    <row r="646">
      <c r="A646" s="17"/>
      <c r="B646" s="17"/>
      <c r="C646" s="17"/>
      <c r="D646" s="17"/>
      <c r="E646" s="17"/>
      <c r="F646" s="17"/>
      <c r="G646" s="2"/>
      <c r="H646" s="2"/>
      <c r="I646" s="2"/>
      <c r="J646" s="2"/>
      <c r="K646" s="2"/>
    </row>
    <row r="647">
      <c r="A647" s="17"/>
      <c r="B647" s="17"/>
      <c r="C647" s="17"/>
      <c r="D647" s="17"/>
      <c r="E647" s="17"/>
      <c r="F647" s="17"/>
      <c r="G647" s="2"/>
      <c r="H647" s="2"/>
      <c r="I647" s="2"/>
      <c r="J647" s="2"/>
      <c r="K647" s="2"/>
    </row>
    <row r="648">
      <c r="A648" s="17"/>
      <c r="B648" s="17"/>
      <c r="C648" s="17"/>
      <c r="D648" s="17"/>
      <c r="E648" s="17"/>
      <c r="F648" s="17"/>
      <c r="G648" s="2"/>
      <c r="H648" s="2"/>
      <c r="I648" s="2"/>
      <c r="J648" s="2"/>
      <c r="K648" s="2"/>
    </row>
    <row r="649">
      <c r="A649" s="17"/>
      <c r="B649" s="17"/>
      <c r="C649" s="17"/>
      <c r="D649" s="17"/>
      <c r="E649" s="17"/>
      <c r="F649" s="17"/>
      <c r="G649" s="2"/>
      <c r="H649" s="2"/>
      <c r="I649" s="2"/>
      <c r="J649" s="2"/>
      <c r="K649" s="2"/>
    </row>
    <row r="650">
      <c r="A650" s="17"/>
      <c r="B650" s="17"/>
      <c r="C650" s="17"/>
      <c r="D650" s="17"/>
      <c r="E650" s="17"/>
      <c r="F650" s="17"/>
      <c r="G650" s="2"/>
      <c r="H650" s="2"/>
      <c r="I650" s="2"/>
      <c r="J650" s="2"/>
      <c r="K650" s="2"/>
    </row>
    <row r="651">
      <c r="A651" s="17"/>
      <c r="B651" s="17"/>
      <c r="C651" s="17"/>
      <c r="D651" s="17"/>
      <c r="E651" s="17"/>
      <c r="F651" s="17"/>
      <c r="G651" s="2"/>
      <c r="H651" s="2"/>
      <c r="I651" s="2"/>
      <c r="J651" s="2"/>
      <c r="K651" s="2"/>
    </row>
    <row r="652">
      <c r="A652" s="17"/>
      <c r="B652" s="17"/>
      <c r="C652" s="17"/>
      <c r="D652" s="17"/>
      <c r="E652" s="17"/>
      <c r="F652" s="17"/>
      <c r="G652" s="2"/>
      <c r="H652" s="2"/>
      <c r="I652" s="2"/>
      <c r="J652" s="2"/>
      <c r="K652" s="2"/>
    </row>
    <row r="653">
      <c r="A653" s="17"/>
      <c r="B653" s="17"/>
      <c r="C653" s="17"/>
      <c r="D653" s="17"/>
      <c r="E653" s="17"/>
      <c r="F653" s="17"/>
      <c r="G653" s="2"/>
      <c r="H653" s="2"/>
      <c r="I653" s="2"/>
      <c r="J653" s="2"/>
      <c r="K653" s="2"/>
    </row>
    <row r="654">
      <c r="A654" s="17"/>
      <c r="B654" s="17"/>
      <c r="C654" s="17"/>
      <c r="D654" s="17"/>
      <c r="E654" s="17"/>
      <c r="F654" s="17"/>
      <c r="G654" s="2"/>
      <c r="H654" s="2"/>
      <c r="I654" s="2"/>
      <c r="J654" s="2"/>
      <c r="K654" s="2"/>
    </row>
    <row r="655">
      <c r="A655" s="17"/>
      <c r="B655" s="17"/>
      <c r="C655" s="17"/>
      <c r="D655" s="17"/>
      <c r="E655" s="17"/>
      <c r="F655" s="17"/>
      <c r="G655" s="2"/>
      <c r="H655" s="2"/>
      <c r="I655" s="2"/>
      <c r="J655" s="2"/>
      <c r="K655" s="2"/>
    </row>
    <row r="656">
      <c r="A656" s="17"/>
      <c r="B656" s="17"/>
      <c r="C656" s="17"/>
      <c r="D656" s="17"/>
      <c r="E656" s="17"/>
      <c r="F656" s="17"/>
      <c r="G656" s="2"/>
      <c r="H656" s="2"/>
      <c r="I656" s="2"/>
      <c r="J656" s="2"/>
      <c r="K656" s="2"/>
    </row>
    <row r="657">
      <c r="A657" s="17"/>
      <c r="B657" s="17"/>
      <c r="C657" s="17"/>
      <c r="D657" s="17"/>
      <c r="E657" s="17"/>
      <c r="F657" s="17"/>
      <c r="G657" s="2"/>
      <c r="H657" s="2"/>
      <c r="I657" s="2"/>
      <c r="J657" s="2"/>
      <c r="K657" s="2"/>
    </row>
    <row r="658">
      <c r="A658" s="17"/>
      <c r="B658" s="17"/>
      <c r="C658" s="17"/>
      <c r="D658" s="17"/>
      <c r="E658" s="17"/>
      <c r="F658" s="17"/>
      <c r="G658" s="2"/>
      <c r="H658" s="2"/>
      <c r="I658" s="2"/>
      <c r="J658" s="2"/>
      <c r="K658" s="2"/>
    </row>
    <row r="659">
      <c r="A659" s="17"/>
      <c r="B659" s="17"/>
      <c r="C659" s="17"/>
      <c r="D659" s="17"/>
      <c r="E659" s="17"/>
      <c r="F659" s="17"/>
      <c r="G659" s="2"/>
      <c r="H659" s="2"/>
      <c r="I659" s="2"/>
      <c r="J659" s="2"/>
      <c r="K659" s="2"/>
    </row>
    <row r="660">
      <c r="A660" s="17"/>
      <c r="B660" s="17"/>
      <c r="C660" s="17"/>
      <c r="D660" s="17"/>
      <c r="E660" s="17"/>
      <c r="F660" s="17"/>
      <c r="G660" s="2"/>
      <c r="H660" s="2"/>
      <c r="I660" s="2"/>
      <c r="J660" s="2"/>
      <c r="K660" s="2"/>
    </row>
    <row r="661">
      <c r="A661" s="17"/>
      <c r="B661" s="17"/>
      <c r="C661" s="17"/>
      <c r="D661" s="17"/>
      <c r="E661" s="17"/>
      <c r="F661" s="17"/>
      <c r="G661" s="2"/>
      <c r="H661" s="2"/>
      <c r="I661" s="2"/>
      <c r="J661" s="2"/>
      <c r="K661" s="2"/>
    </row>
    <row r="662">
      <c r="A662" s="17"/>
      <c r="B662" s="17"/>
      <c r="C662" s="17"/>
      <c r="D662" s="17"/>
      <c r="E662" s="17"/>
      <c r="F662" s="17"/>
      <c r="G662" s="2"/>
      <c r="H662" s="2"/>
      <c r="I662" s="2"/>
      <c r="J662" s="2"/>
      <c r="K662" s="2"/>
    </row>
    <row r="663">
      <c r="A663" s="17"/>
      <c r="B663" s="17"/>
      <c r="C663" s="17"/>
      <c r="D663" s="17"/>
      <c r="E663" s="17"/>
      <c r="F663" s="17"/>
      <c r="G663" s="2"/>
      <c r="H663" s="2"/>
      <c r="I663" s="2"/>
      <c r="J663" s="2"/>
      <c r="K663" s="2"/>
    </row>
    <row r="664">
      <c r="A664" s="17"/>
      <c r="B664" s="17"/>
      <c r="C664" s="17"/>
      <c r="D664" s="17"/>
      <c r="E664" s="17"/>
      <c r="F664" s="17"/>
      <c r="G664" s="2"/>
      <c r="H664" s="2"/>
      <c r="I664" s="2"/>
      <c r="J664" s="2"/>
      <c r="K664" s="2"/>
    </row>
    <row r="665">
      <c r="A665" s="17"/>
      <c r="B665" s="17"/>
      <c r="C665" s="17"/>
      <c r="D665" s="17"/>
      <c r="E665" s="17"/>
      <c r="F665" s="17"/>
      <c r="G665" s="2"/>
      <c r="H665" s="2"/>
      <c r="I665" s="2"/>
      <c r="J665" s="2"/>
      <c r="K665" s="2"/>
    </row>
    <row r="666">
      <c r="A666" s="17"/>
      <c r="B666" s="17"/>
      <c r="C666" s="17"/>
      <c r="D666" s="17"/>
      <c r="E666" s="17"/>
      <c r="F666" s="17"/>
      <c r="G666" s="2"/>
      <c r="H666" s="2"/>
      <c r="I666" s="2"/>
      <c r="J666" s="2"/>
      <c r="K666" s="2"/>
    </row>
    <row r="667">
      <c r="A667" s="17"/>
      <c r="B667" s="17"/>
      <c r="C667" s="17"/>
      <c r="D667" s="17"/>
      <c r="E667" s="17"/>
      <c r="F667" s="17"/>
      <c r="G667" s="2"/>
      <c r="H667" s="2"/>
      <c r="I667" s="2"/>
      <c r="J667" s="2"/>
      <c r="K667" s="2"/>
    </row>
    <row r="668">
      <c r="A668" s="17"/>
      <c r="B668" s="17"/>
      <c r="C668" s="17"/>
      <c r="D668" s="17"/>
      <c r="E668" s="17"/>
      <c r="F668" s="17"/>
      <c r="G668" s="2"/>
      <c r="H668" s="2"/>
      <c r="I668" s="2"/>
      <c r="J668" s="2"/>
      <c r="K668" s="2"/>
    </row>
    <row r="669">
      <c r="A669" s="17"/>
      <c r="B669" s="17"/>
      <c r="C669" s="17"/>
      <c r="D669" s="17"/>
      <c r="E669" s="17"/>
      <c r="F669" s="17"/>
      <c r="G669" s="2"/>
      <c r="H669" s="2"/>
      <c r="I669" s="2"/>
      <c r="J669" s="2"/>
      <c r="K669" s="2"/>
    </row>
    <row r="670">
      <c r="A670" s="17"/>
      <c r="B670" s="17"/>
      <c r="C670" s="17"/>
      <c r="D670" s="17"/>
      <c r="E670" s="17"/>
      <c r="F670" s="17"/>
      <c r="G670" s="2"/>
      <c r="H670" s="2"/>
      <c r="I670" s="2"/>
      <c r="J670" s="2"/>
      <c r="K670" s="2"/>
    </row>
    <row r="671">
      <c r="A671" s="17"/>
      <c r="B671" s="17"/>
      <c r="C671" s="17"/>
      <c r="D671" s="17"/>
      <c r="E671" s="17"/>
      <c r="F671" s="17"/>
      <c r="G671" s="2"/>
      <c r="H671" s="2"/>
      <c r="I671" s="2"/>
      <c r="J671" s="2"/>
      <c r="K671" s="2"/>
    </row>
    <row r="672">
      <c r="A672" s="17"/>
      <c r="B672" s="17"/>
      <c r="C672" s="17"/>
      <c r="D672" s="17"/>
      <c r="E672" s="17"/>
      <c r="F672" s="17"/>
      <c r="G672" s="2"/>
      <c r="H672" s="2"/>
      <c r="I672" s="2"/>
      <c r="J672" s="2"/>
      <c r="K672" s="2"/>
    </row>
    <row r="673">
      <c r="A673" s="17"/>
      <c r="B673" s="17"/>
      <c r="C673" s="17"/>
      <c r="D673" s="17"/>
      <c r="E673" s="17"/>
      <c r="F673" s="17"/>
      <c r="G673" s="2"/>
      <c r="H673" s="2"/>
      <c r="I673" s="2"/>
      <c r="J673" s="2"/>
      <c r="K673" s="2"/>
    </row>
    <row r="674">
      <c r="A674" s="17"/>
      <c r="B674" s="17"/>
      <c r="C674" s="17"/>
      <c r="D674" s="17"/>
      <c r="E674" s="17"/>
      <c r="F674" s="17"/>
      <c r="G674" s="2"/>
      <c r="H674" s="2"/>
      <c r="I674" s="2"/>
      <c r="J674" s="2"/>
      <c r="K674" s="2"/>
    </row>
    <row r="675">
      <c r="A675" s="17"/>
      <c r="B675" s="17"/>
      <c r="C675" s="17"/>
      <c r="D675" s="17"/>
      <c r="E675" s="17"/>
      <c r="F675" s="17"/>
      <c r="G675" s="2"/>
      <c r="H675" s="2"/>
      <c r="I675" s="2"/>
      <c r="J675" s="2"/>
      <c r="K675" s="2"/>
    </row>
    <row r="676">
      <c r="A676" s="17"/>
      <c r="B676" s="17"/>
      <c r="C676" s="17"/>
      <c r="D676" s="17"/>
      <c r="E676" s="17"/>
      <c r="F676" s="17"/>
      <c r="G676" s="2"/>
      <c r="H676" s="2"/>
      <c r="I676" s="2"/>
      <c r="J676" s="2"/>
      <c r="K676" s="2"/>
    </row>
    <row r="677">
      <c r="A677" s="17"/>
      <c r="B677" s="17"/>
      <c r="C677" s="17"/>
      <c r="D677" s="17"/>
      <c r="E677" s="17"/>
      <c r="F677" s="17"/>
      <c r="G677" s="2"/>
      <c r="H677" s="2"/>
      <c r="I677" s="2"/>
      <c r="J677" s="2"/>
      <c r="K677" s="2"/>
    </row>
    <row r="678">
      <c r="A678" s="17"/>
      <c r="B678" s="17"/>
      <c r="C678" s="17"/>
      <c r="D678" s="17"/>
      <c r="E678" s="17"/>
      <c r="F678" s="17"/>
      <c r="G678" s="2"/>
      <c r="H678" s="2"/>
      <c r="I678" s="2"/>
      <c r="J678" s="2"/>
      <c r="K678" s="2"/>
    </row>
    <row r="679">
      <c r="A679" s="17"/>
      <c r="B679" s="17"/>
      <c r="C679" s="17"/>
      <c r="D679" s="17"/>
      <c r="E679" s="17"/>
      <c r="F679" s="17"/>
      <c r="G679" s="2"/>
      <c r="H679" s="2"/>
      <c r="I679" s="2"/>
      <c r="J679" s="2"/>
      <c r="K679" s="2"/>
    </row>
    <row r="680">
      <c r="A680" s="17"/>
      <c r="B680" s="17"/>
      <c r="C680" s="17"/>
      <c r="D680" s="17"/>
      <c r="E680" s="17"/>
      <c r="F680" s="17"/>
      <c r="G680" s="2"/>
      <c r="H680" s="2"/>
      <c r="I680" s="2"/>
      <c r="J680" s="2"/>
      <c r="K680" s="2"/>
    </row>
    <row r="681">
      <c r="A681" s="17"/>
      <c r="B681" s="17"/>
      <c r="C681" s="17"/>
      <c r="D681" s="17"/>
      <c r="E681" s="17"/>
      <c r="F681" s="17"/>
      <c r="G681" s="2"/>
      <c r="H681" s="2"/>
      <c r="I681" s="2"/>
      <c r="J681" s="2"/>
      <c r="K681" s="2"/>
    </row>
    <row r="682">
      <c r="A682" s="17"/>
      <c r="B682" s="17"/>
      <c r="C682" s="17"/>
      <c r="D682" s="17"/>
      <c r="E682" s="17"/>
      <c r="F682" s="17"/>
      <c r="G682" s="2"/>
      <c r="H682" s="2"/>
      <c r="I682" s="2"/>
      <c r="J682" s="2"/>
      <c r="K682" s="2"/>
    </row>
    <row r="683">
      <c r="A683" s="17"/>
      <c r="B683" s="17"/>
      <c r="C683" s="17"/>
      <c r="D683" s="17"/>
      <c r="E683" s="17"/>
      <c r="F683" s="17"/>
      <c r="G683" s="2"/>
      <c r="H683" s="2"/>
      <c r="I683" s="2"/>
      <c r="J683" s="2"/>
      <c r="K683" s="2"/>
    </row>
    <row r="684">
      <c r="A684" s="17"/>
      <c r="B684" s="17"/>
      <c r="C684" s="17"/>
      <c r="D684" s="17"/>
      <c r="E684" s="17"/>
      <c r="F684" s="17"/>
      <c r="G684" s="2"/>
      <c r="H684" s="2"/>
      <c r="I684" s="2"/>
      <c r="J684" s="2"/>
      <c r="K684" s="2"/>
    </row>
    <row r="685">
      <c r="A685" s="17"/>
      <c r="B685" s="17"/>
      <c r="C685" s="17"/>
      <c r="D685" s="17"/>
      <c r="E685" s="17"/>
      <c r="F685" s="17"/>
      <c r="G685" s="2"/>
      <c r="H685" s="2"/>
      <c r="I685" s="2"/>
      <c r="J685" s="2"/>
      <c r="K685" s="2"/>
    </row>
    <row r="686">
      <c r="A686" s="17"/>
      <c r="B686" s="17"/>
      <c r="C686" s="17"/>
      <c r="D686" s="17"/>
      <c r="E686" s="17"/>
      <c r="F686" s="17"/>
      <c r="G686" s="2"/>
      <c r="H686" s="2"/>
      <c r="I686" s="2"/>
      <c r="J686" s="2"/>
      <c r="K686" s="2"/>
    </row>
    <row r="687">
      <c r="A687" s="17"/>
      <c r="B687" s="17"/>
      <c r="C687" s="17"/>
      <c r="D687" s="17"/>
      <c r="E687" s="17"/>
      <c r="F687" s="17"/>
      <c r="G687" s="2"/>
      <c r="H687" s="2"/>
      <c r="I687" s="2"/>
      <c r="J687" s="2"/>
      <c r="K687" s="2"/>
    </row>
    <row r="688">
      <c r="A688" s="17"/>
      <c r="B688" s="17"/>
      <c r="C688" s="17"/>
      <c r="D688" s="17"/>
      <c r="E688" s="17"/>
      <c r="F688" s="17"/>
      <c r="G688" s="2"/>
      <c r="H688" s="2"/>
      <c r="I688" s="2"/>
      <c r="J688" s="2"/>
      <c r="K688" s="2"/>
    </row>
    <row r="689">
      <c r="A689" s="17"/>
      <c r="B689" s="17"/>
      <c r="C689" s="17"/>
      <c r="D689" s="17"/>
      <c r="E689" s="17"/>
      <c r="F689" s="17"/>
      <c r="G689" s="2"/>
      <c r="H689" s="2"/>
      <c r="I689" s="2"/>
      <c r="J689" s="2"/>
      <c r="K689" s="2"/>
    </row>
    <row r="690">
      <c r="A690" s="17"/>
      <c r="B690" s="17"/>
      <c r="C690" s="17"/>
      <c r="D690" s="17"/>
      <c r="E690" s="17"/>
      <c r="F690" s="17"/>
      <c r="G690" s="2"/>
      <c r="H690" s="2"/>
      <c r="I690" s="2"/>
      <c r="J690" s="2"/>
      <c r="K690" s="2"/>
    </row>
    <row r="691">
      <c r="A691" s="17"/>
      <c r="B691" s="17"/>
      <c r="C691" s="17"/>
      <c r="D691" s="17"/>
      <c r="E691" s="17"/>
      <c r="F691" s="17"/>
      <c r="G691" s="2"/>
      <c r="H691" s="2"/>
      <c r="I691" s="2"/>
      <c r="J691" s="2"/>
      <c r="K691" s="2"/>
    </row>
    <row r="692">
      <c r="A692" s="17"/>
      <c r="B692" s="17"/>
      <c r="C692" s="17"/>
      <c r="D692" s="17"/>
      <c r="E692" s="17"/>
      <c r="F692" s="17"/>
      <c r="G692" s="2"/>
      <c r="H692" s="2"/>
      <c r="I692" s="2"/>
      <c r="J692" s="2"/>
      <c r="K692" s="2"/>
    </row>
    <row r="693">
      <c r="A693" s="17"/>
      <c r="B693" s="17"/>
      <c r="C693" s="17"/>
      <c r="D693" s="17"/>
      <c r="E693" s="17"/>
      <c r="F693" s="17"/>
      <c r="G693" s="2"/>
      <c r="H693" s="2"/>
      <c r="I693" s="2"/>
      <c r="J693" s="2"/>
      <c r="K693" s="2"/>
    </row>
    <row r="694">
      <c r="A694" s="17"/>
      <c r="B694" s="17"/>
      <c r="C694" s="17"/>
      <c r="D694" s="17"/>
      <c r="E694" s="17"/>
      <c r="F694" s="17"/>
      <c r="G694" s="2"/>
      <c r="H694" s="2"/>
      <c r="I694" s="2"/>
      <c r="J694" s="2"/>
      <c r="K694" s="2"/>
    </row>
    <row r="695">
      <c r="A695" s="17"/>
      <c r="B695" s="17"/>
      <c r="C695" s="17"/>
      <c r="D695" s="17"/>
      <c r="E695" s="17"/>
      <c r="F695" s="17"/>
      <c r="G695" s="2"/>
      <c r="H695" s="2"/>
      <c r="I695" s="2"/>
      <c r="J695" s="2"/>
      <c r="K695" s="2"/>
    </row>
    <row r="696">
      <c r="A696" s="17"/>
      <c r="B696" s="17"/>
      <c r="C696" s="17"/>
      <c r="D696" s="17"/>
      <c r="E696" s="17"/>
      <c r="F696" s="17"/>
      <c r="G696" s="2"/>
      <c r="H696" s="2"/>
      <c r="I696" s="2"/>
      <c r="J696" s="2"/>
      <c r="K696" s="2"/>
    </row>
    <row r="697">
      <c r="A697" s="17"/>
      <c r="B697" s="17"/>
      <c r="C697" s="17"/>
      <c r="D697" s="17"/>
      <c r="E697" s="17"/>
      <c r="F697" s="17"/>
      <c r="G697" s="2"/>
      <c r="H697" s="2"/>
      <c r="I697" s="2"/>
      <c r="J697" s="2"/>
      <c r="K697" s="2"/>
    </row>
    <row r="698">
      <c r="A698" s="17"/>
      <c r="B698" s="17"/>
      <c r="C698" s="17"/>
      <c r="D698" s="17"/>
      <c r="E698" s="17"/>
      <c r="F698" s="17"/>
      <c r="G698" s="2"/>
      <c r="H698" s="2"/>
      <c r="I698" s="2"/>
      <c r="J698" s="2"/>
      <c r="K698" s="2"/>
    </row>
    <row r="699">
      <c r="A699" s="17"/>
      <c r="B699" s="17"/>
      <c r="C699" s="17"/>
      <c r="D699" s="17"/>
      <c r="E699" s="17"/>
      <c r="F699" s="17"/>
      <c r="G699" s="2"/>
      <c r="H699" s="2"/>
      <c r="I699" s="2"/>
      <c r="J699" s="2"/>
      <c r="K699" s="2"/>
    </row>
    <row r="700">
      <c r="A700" s="17"/>
      <c r="B700" s="17"/>
      <c r="C700" s="17"/>
      <c r="D700" s="17"/>
      <c r="E700" s="17"/>
      <c r="F700" s="17"/>
      <c r="G700" s="2"/>
      <c r="H700" s="2"/>
      <c r="I700" s="2"/>
      <c r="J700" s="2"/>
      <c r="K700" s="2"/>
    </row>
    <row r="701">
      <c r="A701" s="17"/>
      <c r="B701" s="17"/>
      <c r="C701" s="17"/>
      <c r="D701" s="17"/>
      <c r="E701" s="17"/>
      <c r="F701" s="17"/>
      <c r="G701" s="2"/>
      <c r="H701" s="2"/>
      <c r="I701" s="2"/>
      <c r="J701" s="2"/>
      <c r="K701" s="2"/>
    </row>
    <row r="702">
      <c r="A702" s="17"/>
      <c r="B702" s="17"/>
      <c r="C702" s="17"/>
      <c r="D702" s="17"/>
      <c r="E702" s="17"/>
      <c r="F702" s="17"/>
      <c r="G702" s="2"/>
      <c r="H702" s="2"/>
      <c r="I702" s="2"/>
      <c r="J702" s="2"/>
      <c r="K702" s="2"/>
    </row>
    <row r="703">
      <c r="A703" s="17"/>
      <c r="B703" s="17"/>
      <c r="C703" s="17"/>
      <c r="D703" s="17"/>
      <c r="E703" s="17"/>
      <c r="F703" s="17"/>
      <c r="G703" s="2"/>
      <c r="H703" s="2"/>
      <c r="I703" s="2"/>
      <c r="J703" s="2"/>
      <c r="K703" s="2"/>
    </row>
    <row r="704">
      <c r="A704" s="17"/>
      <c r="B704" s="17"/>
      <c r="C704" s="17"/>
      <c r="D704" s="17"/>
      <c r="E704" s="17"/>
      <c r="F704" s="17"/>
      <c r="G704" s="2"/>
      <c r="H704" s="2"/>
      <c r="I704" s="2"/>
      <c r="J704" s="2"/>
      <c r="K704" s="2"/>
    </row>
    <row r="705">
      <c r="A705" s="17"/>
      <c r="B705" s="17"/>
      <c r="C705" s="17"/>
      <c r="D705" s="17"/>
      <c r="E705" s="17"/>
      <c r="F705" s="17"/>
      <c r="G705" s="2"/>
      <c r="H705" s="2"/>
      <c r="I705" s="2"/>
      <c r="J705" s="2"/>
      <c r="K705" s="2"/>
    </row>
    <row r="706">
      <c r="A706" s="17"/>
      <c r="B706" s="17"/>
      <c r="C706" s="17"/>
      <c r="D706" s="17"/>
      <c r="E706" s="17"/>
      <c r="F706" s="17"/>
      <c r="G706" s="2"/>
      <c r="H706" s="2"/>
      <c r="I706" s="2"/>
      <c r="J706" s="2"/>
      <c r="K706" s="2"/>
    </row>
    <row r="707">
      <c r="A707" s="17"/>
      <c r="B707" s="17"/>
      <c r="C707" s="17"/>
      <c r="D707" s="17"/>
      <c r="E707" s="17"/>
      <c r="F707" s="17"/>
      <c r="G707" s="2"/>
      <c r="H707" s="2"/>
      <c r="I707" s="2"/>
      <c r="J707" s="2"/>
      <c r="K707" s="2"/>
    </row>
    <row r="708">
      <c r="A708" s="17"/>
      <c r="B708" s="17"/>
      <c r="C708" s="17"/>
      <c r="D708" s="17"/>
      <c r="E708" s="17"/>
      <c r="F708" s="17"/>
      <c r="G708" s="2"/>
      <c r="H708" s="2"/>
      <c r="I708" s="2"/>
      <c r="J708" s="2"/>
      <c r="K708" s="2"/>
    </row>
    <row r="709">
      <c r="A709" s="17"/>
      <c r="B709" s="17"/>
      <c r="C709" s="17"/>
      <c r="D709" s="17"/>
      <c r="E709" s="17"/>
      <c r="F709" s="17"/>
      <c r="G709" s="2"/>
      <c r="H709" s="2"/>
      <c r="I709" s="2"/>
      <c r="J709" s="2"/>
      <c r="K709" s="2"/>
    </row>
    <row r="710">
      <c r="A710" s="17"/>
      <c r="B710" s="17"/>
      <c r="C710" s="17"/>
      <c r="D710" s="17"/>
      <c r="E710" s="17"/>
      <c r="F710" s="17"/>
      <c r="G710" s="2"/>
      <c r="H710" s="2"/>
      <c r="I710" s="2"/>
      <c r="J710" s="2"/>
      <c r="K710" s="2"/>
    </row>
    <row r="711">
      <c r="A711" s="17"/>
      <c r="B711" s="17"/>
      <c r="C711" s="17"/>
      <c r="D711" s="17"/>
      <c r="E711" s="17"/>
      <c r="F711" s="17"/>
      <c r="G711" s="2"/>
      <c r="H711" s="2"/>
      <c r="I711" s="2"/>
      <c r="J711" s="2"/>
      <c r="K711" s="2"/>
    </row>
    <row r="712">
      <c r="A712" s="17"/>
      <c r="B712" s="17"/>
      <c r="C712" s="17"/>
      <c r="D712" s="17"/>
      <c r="E712" s="17"/>
      <c r="F712" s="17"/>
      <c r="G712" s="2"/>
      <c r="H712" s="2"/>
      <c r="I712" s="2"/>
      <c r="J712" s="2"/>
      <c r="K712" s="2"/>
    </row>
    <row r="713">
      <c r="A713" s="17"/>
      <c r="B713" s="17"/>
      <c r="C713" s="17"/>
      <c r="D713" s="17"/>
      <c r="E713" s="17"/>
      <c r="F713" s="17"/>
      <c r="G713" s="2"/>
      <c r="H713" s="2"/>
      <c r="I713" s="2"/>
      <c r="J713" s="2"/>
      <c r="K713" s="2"/>
    </row>
    <row r="714">
      <c r="A714" s="17"/>
      <c r="B714" s="17"/>
      <c r="C714" s="17"/>
      <c r="D714" s="17"/>
      <c r="E714" s="17"/>
      <c r="F714" s="17"/>
      <c r="G714" s="2"/>
      <c r="H714" s="2"/>
      <c r="I714" s="2"/>
      <c r="J714" s="2"/>
      <c r="K714" s="2"/>
    </row>
    <row r="715">
      <c r="A715" s="17"/>
      <c r="B715" s="17"/>
      <c r="C715" s="17"/>
      <c r="D715" s="17"/>
      <c r="E715" s="17"/>
      <c r="F715" s="17"/>
      <c r="G715" s="2"/>
      <c r="H715" s="2"/>
      <c r="I715" s="2"/>
      <c r="J715" s="2"/>
      <c r="K715" s="2"/>
    </row>
    <row r="716">
      <c r="A716" s="17"/>
      <c r="B716" s="17"/>
      <c r="C716" s="17"/>
      <c r="D716" s="17"/>
      <c r="E716" s="17"/>
      <c r="F716" s="17"/>
      <c r="G716" s="2"/>
      <c r="H716" s="2"/>
      <c r="I716" s="2"/>
      <c r="J716" s="2"/>
      <c r="K716" s="2"/>
    </row>
    <row r="717">
      <c r="A717" s="17"/>
      <c r="B717" s="17"/>
      <c r="C717" s="17"/>
      <c r="D717" s="17"/>
      <c r="E717" s="17"/>
      <c r="F717" s="17"/>
      <c r="G717" s="2"/>
      <c r="H717" s="2"/>
      <c r="I717" s="2"/>
      <c r="J717" s="2"/>
      <c r="K717" s="2"/>
    </row>
    <row r="718">
      <c r="A718" s="17"/>
      <c r="B718" s="17"/>
      <c r="C718" s="17"/>
      <c r="D718" s="17"/>
      <c r="E718" s="17"/>
      <c r="F718" s="17"/>
      <c r="G718" s="2"/>
      <c r="H718" s="2"/>
      <c r="I718" s="2"/>
      <c r="J718" s="2"/>
      <c r="K718" s="2"/>
    </row>
    <row r="719">
      <c r="A719" s="17"/>
      <c r="B719" s="17"/>
      <c r="C719" s="17"/>
      <c r="D719" s="17"/>
      <c r="E719" s="17"/>
      <c r="F719" s="17"/>
      <c r="G719" s="2"/>
      <c r="H719" s="2"/>
      <c r="I719" s="2"/>
      <c r="J719" s="2"/>
      <c r="K719" s="2"/>
    </row>
    <row r="720">
      <c r="A720" s="17"/>
      <c r="B720" s="17"/>
      <c r="C720" s="17"/>
      <c r="D720" s="17"/>
      <c r="E720" s="17"/>
      <c r="F720" s="17"/>
      <c r="G720" s="2"/>
      <c r="H720" s="2"/>
      <c r="I720" s="2"/>
      <c r="J720" s="2"/>
      <c r="K720" s="2"/>
    </row>
    <row r="721">
      <c r="A721" s="17"/>
      <c r="B721" s="17"/>
      <c r="C721" s="17"/>
      <c r="D721" s="17"/>
      <c r="E721" s="17"/>
      <c r="F721" s="17"/>
      <c r="G721" s="2"/>
      <c r="H721" s="2"/>
      <c r="I721" s="2"/>
      <c r="J721" s="2"/>
      <c r="K721" s="2"/>
    </row>
    <row r="722">
      <c r="A722" s="17"/>
      <c r="B722" s="17"/>
      <c r="C722" s="17"/>
      <c r="D722" s="17"/>
      <c r="E722" s="17"/>
      <c r="F722" s="17"/>
      <c r="G722" s="2"/>
      <c r="H722" s="2"/>
      <c r="I722" s="2"/>
      <c r="J722" s="2"/>
      <c r="K722" s="2"/>
    </row>
    <row r="723">
      <c r="A723" s="17"/>
      <c r="B723" s="17"/>
      <c r="C723" s="17"/>
      <c r="D723" s="17"/>
      <c r="E723" s="17"/>
      <c r="F723" s="17"/>
      <c r="G723" s="2"/>
      <c r="H723" s="2"/>
      <c r="I723" s="2"/>
      <c r="J723" s="2"/>
      <c r="K723" s="2"/>
    </row>
    <row r="724">
      <c r="A724" s="17"/>
      <c r="B724" s="17"/>
      <c r="C724" s="17"/>
      <c r="D724" s="17"/>
      <c r="E724" s="17"/>
      <c r="F724" s="17"/>
      <c r="G724" s="2"/>
      <c r="H724" s="2"/>
      <c r="I724" s="2"/>
      <c r="J724" s="2"/>
      <c r="K724" s="2"/>
    </row>
    <row r="725">
      <c r="A725" s="17"/>
      <c r="B725" s="17"/>
      <c r="C725" s="17"/>
      <c r="D725" s="17"/>
      <c r="E725" s="17"/>
      <c r="F725" s="17"/>
      <c r="G725" s="2"/>
      <c r="H725" s="2"/>
      <c r="I725" s="2"/>
      <c r="J725" s="2"/>
      <c r="K725" s="2"/>
    </row>
    <row r="726">
      <c r="A726" s="17"/>
      <c r="B726" s="17"/>
      <c r="C726" s="17"/>
      <c r="D726" s="17"/>
      <c r="E726" s="17"/>
      <c r="F726" s="17"/>
      <c r="G726" s="2"/>
      <c r="H726" s="2"/>
      <c r="I726" s="2"/>
      <c r="J726" s="2"/>
      <c r="K726" s="2"/>
    </row>
    <row r="727">
      <c r="A727" s="17"/>
      <c r="B727" s="17"/>
      <c r="C727" s="17"/>
      <c r="D727" s="17"/>
      <c r="E727" s="17"/>
      <c r="F727" s="17"/>
      <c r="G727" s="2"/>
      <c r="H727" s="2"/>
      <c r="I727" s="2"/>
      <c r="J727" s="2"/>
      <c r="K727" s="2"/>
    </row>
    <row r="728">
      <c r="A728" s="17"/>
      <c r="B728" s="17"/>
      <c r="C728" s="17"/>
      <c r="D728" s="17"/>
      <c r="E728" s="17"/>
      <c r="F728" s="17"/>
      <c r="G728" s="2"/>
      <c r="H728" s="2"/>
      <c r="I728" s="2"/>
      <c r="J728" s="2"/>
      <c r="K728" s="2"/>
    </row>
    <row r="729">
      <c r="A729" s="17"/>
      <c r="B729" s="17"/>
      <c r="C729" s="17"/>
      <c r="D729" s="17"/>
      <c r="E729" s="17"/>
      <c r="F729" s="17"/>
      <c r="G729" s="2"/>
      <c r="H729" s="2"/>
      <c r="I729" s="2"/>
      <c r="J729" s="2"/>
      <c r="K729" s="2"/>
    </row>
    <row r="730">
      <c r="A730" s="17"/>
      <c r="B730" s="17"/>
      <c r="C730" s="17"/>
      <c r="D730" s="17"/>
      <c r="E730" s="17"/>
      <c r="F730" s="17"/>
      <c r="G730" s="2"/>
      <c r="H730" s="2"/>
      <c r="I730" s="2"/>
      <c r="J730" s="2"/>
      <c r="K730" s="2"/>
    </row>
    <row r="731">
      <c r="A731" s="17"/>
      <c r="B731" s="17"/>
      <c r="C731" s="17"/>
      <c r="D731" s="17"/>
      <c r="E731" s="17"/>
      <c r="F731" s="17"/>
      <c r="G731" s="2"/>
      <c r="H731" s="2"/>
      <c r="I731" s="2"/>
      <c r="J731" s="2"/>
      <c r="K731" s="2"/>
    </row>
    <row r="732">
      <c r="A732" s="17"/>
      <c r="B732" s="17"/>
      <c r="C732" s="17"/>
      <c r="D732" s="17"/>
      <c r="E732" s="17"/>
      <c r="F732" s="17"/>
      <c r="G732" s="2"/>
      <c r="H732" s="2"/>
      <c r="I732" s="2"/>
      <c r="J732" s="2"/>
      <c r="K732" s="2"/>
    </row>
    <row r="733">
      <c r="A733" s="17"/>
      <c r="B733" s="17"/>
      <c r="C733" s="17"/>
      <c r="D733" s="17"/>
      <c r="E733" s="17"/>
      <c r="F733" s="17"/>
      <c r="G733" s="2"/>
      <c r="H733" s="2"/>
      <c r="I733" s="2"/>
      <c r="J733" s="2"/>
      <c r="K733" s="2"/>
    </row>
    <row r="734">
      <c r="A734" s="17"/>
      <c r="B734" s="17"/>
      <c r="C734" s="17"/>
      <c r="D734" s="17"/>
      <c r="E734" s="17"/>
      <c r="F734" s="17"/>
      <c r="G734" s="2"/>
      <c r="H734" s="2"/>
      <c r="I734" s="2"/>
      <c r="J734" s="2"/>
      <c r="K734" s="2"/>
    </row>
    <row r="735">
      <c r="A735" s="17"/>
      <c r="B735" s="17"/>
      <c r="C735" s="17"/>
      <c r="D735" s="17"/>
      <c r="E735" s="17"/>
      <c r="F735" s="17"/>
      <c r="G735" s="2"/>
      <c r="H735" s="2"/>
      <c r="I735" s="2"/>
      <c r="J735" s="2"/>
      <c r="K735" s="2"/>
    </row>
    <row r="736">
      <c r="A736" s="17"/>
      <c r="B736" s="17"/>
      <c r="C736" s="17"/>
      <c r="D736" s="17"/>
      <c r="E736" s="17"/>
      <c r="F736" s="17"/>
      <c r="G736" s="2"/>
      <c r="H736" s="2"/>
      <c r="I736" s="2"/>
      <c r="J736" s="2"/>
      <c r="K736" s="2"/>
    </row>
    <row r="737">
      <c r="A737" s="17"/>
      <c r="B737" s="17"/>
      <c r="C737" s="17"/>
      <c r="D737" s="17"/>
      <c r="E737" s="17"/>
      <c r="F737" s="17"/>
      <c r="G737" s="2"/>
      <c r="H737" s="2"/>
      <c r="I737" s="2"/>
      <c r="J737" s="2"/>
      <c r="K737" s="2"/>
    </row>
    <row r="738">
      <c r="A738" s="17"/>
      <c r="B738" s="17"/>
      <c r="C738" s="17"/>
      <c r="D738" s="17"/>
      <c r="E738" s="17"/>
      <c r="F738" s="17"/>
      <c r="G738" s="2"/>
      <c r="H738" s="2"/>
      <c r="I738" s="2"/>
      <c r="J738" s="2"/>
      <c r="K738" s="2"/>
    </row>
    <row r="739">
      <c r="A739" s="17"/>
      <c r="B739" s="17"/>
      <c r="C739" s="17"/>
      <c r="D739" s="17"/>
      <c r="E739" s="17"/>
      <c r="F739" s="17"/>
      <c r="G739" s="2"/>
      <c r="H739" s="2"/>
      <c r="I739" s="2"/>
      <c r="J739" s="2"/>
      <c r="K739" s="2"/>
    </row>
    <row r="740">
      <c r="A740" s="17"/>
      <c r="B740" s="17"/>
      <c r="C740" s="17"/>
      <c r="D740" s="17"/>
      <c r="E740" s="17"/>
      <c r="F740" s="17"/>
      <c r="G740" s="2"/>
      <c r="H740" s="2"/>
      <c r="I740" s="2"/>
      <c r="J740" s="2"/>
      <c r="K740" s="2"/>
    </row>
    <row r="741">
      <c r="A741" s="17"/>
      <c r="B741" s="17"/>
      <c r="C741" s="17"/>
      <c r="D741" s="17"/>
      <c r="E741" s="17"/>
      <c r="F741" s="17"/>
      <c r="G741" s="2"/>
      <c r="H741" s="2"/>
      <c r="I741" s="2"/>
      <c r="J741" s="2"/>
      <c r="K741" s="2"/>
    </row>
    <row r="742">
      <c r="A742" s="17"/>
      <c r="B742" s="17"/>
      <c r="C742" s="17"/>
      <c r="D742" s="17"/>
      <c r="E742" s="17"/>
      <c r="F742" s="17"/>
      <c r="G742" s="2"/>
      <c r="H742" s="2"/>
      <c r="I742" s="2"/>
      <c r="J742" s="2"/>
      <c r="K742" s="2"/>
    </row>
    <row r="743">
      <c r="A743" s="17"/>
      <c r="B743" s="17"/>
      <c r="C743" s="17"/>
      <c r="D743" s="17"/>
      <c r="E743" s="17"/>
      <c r="F743" s="17"/>
      <c r="G743" s="2"/>
      <c r="H743" s="2"/>
      <c r="I743" s="2"/>
      <c r="J743" s="2"/>
      <c r="K743" s="2"/>
    </row>
    <row r="744">
      <c r="A744" s="17"/>
      <c r="B744" s="17"/>
      <c r="C744" s="17"/>
      <c r="D744" s="17"/>
      <c r="E744" s="17"/>
      <c r="F744" s="17"/>
      <c r="G744" s="2"/>
      <c r="H744" s="2"/>
      <c r="I744" s="2"/>
      <c r="J744" s="2"/>
      <c r="K744" s="2"/>
    </row>
    <row r="745">
      <c r="A745" s="17"/>
      <c r="B745" s="17"/>
      <c r="C745" s="17"/>
      <c r="D745" s="17"/>
      <c r="E745" s="17"/>
      <c r="F745" s="17"/>
      <c r="G745" s="2"/>
      <c r="H745" s="2"/>
      <c r="I745" s="2"/>
      <c r="J745" s="2"/>
      <c r="K745" s="2"/>
    </row>
    <row r="746">
      <c r="A746" s="17"/>
      <c r="B746" s="17"/>
      <c r="C746" s="17"/>
      <c r="D746" s="17"/>
      <c r="E746" s="17"/>
      <c r="F746" s="17"/>
      <c r="G746" s="2"/>
      <c r="H746" s="2"/>
      <c r="I746" s="2"/>
      <c r="J746" s="2"/>
      <c r="K746" s="2"/>
    </row>
    <row r="747">
      <c r="A747" s="17"/>
      <c r="B747" s="17"/>
      <c r="C747" s="17"/>
      <c r="D747" s="17"/>
      <c r="E747" s="17"/>
      <c r="F747" s="17"/>
      <c r="G747" s="2"/>
      <c r="H747" s="2"/>
      <c r="I747" s="2"/>
      <c r="J747" s="2"/>
      <c r="K747" s="2"/>
    </row>
    <row r="748">
      <c r="A748" s="17"/>
      <c r="B748" s="17"/>
      <c r="C748" s="17"/>
      <c r="D748" s="17"/>
      <c r="E748" s="17"/>
      <c r="F748" s="17"/>
      <c r="G748" s="2"/>
      <c r="H748" s="2"/>
      <c r="I748" s="2"/>
      <c r="J748" s="2"/>
      <c r="K748" s="2"/>
    </row>
    <row r="749">
      <c r="A749" s="17"/>
      <c r="B749" s="17"/>
      <c r="C749" s="17"/>
      <c r="D749" s="17"/>
      <c r="E749" s="17"/>
      <c r="F749" s="17"/>
      <c r="G749" s="2"/>
      <c r="H749" s="2"/>
      <c r="I749" s="2"/>
      <c r="J749" s="2"/>
      <c r="K749" s="2"/>
    </row>
    <row r="750">
      <c r="A750" s="17"/>
      <c r="B750" s="17"/>
      <c r="C750" s="17"/>
      <c r="D750" s="17"/>
      <c r="E750" s="17"/>
      <c r="F750" s="17"/>
      <c r="G750" s="2"/>
      <c r="H750" s="2"/>
      <c r="I750" s="2"/>
      <c r="J750" s="2"/>
      <c r="K750" s="2"/>
    </row>
    <row r="751">
      <c r="A751" s="17"/>
      <c r="B751" s="17"/>
      <c r="C751" s="17"/>
      <c r="D751" s="17"/>
      <c r="E751" s="17"/>
      <c r="F751" s="17"/>
      <c r="G751" s="2"/>
      <c r="H751" s="2"/>
      <c r="I751" s="2"/>
      <c r="J751" s="2"/>
      <c r="K751" s="2"/>
    </row>
    <row r="752">
      <c r="A752" s="17"/>
      <c r="B752" s="17"/>
      <c r="C752" s="17"/>
      <c r="D752" s="17"/>
      <c r="E752" s="17"/>
      <c r="F752" s="17"/>
      <c r="G752" s="2"/>
      <c r="H752" s="2"/>
      <c r="I752" s="2"/>
      <c r="J752" s="2"/>
      <c r="K752" s="2"/>
    </row>
    <row r="753">
      <c r="A753" s="17"/>
      <c r="B753" s="17"/>
      <c r="C753" s="17"/>
      <c r="D753" s="17"/>
      <c r="E753" s="17"/>
      <c r="F753" s="17"/>
      <c r="G753" s="2"/>
      <c r="H753" s="2"/>
      <c r="I753" s="2"/>
      <c r="J753" s="2"/>
      <c r="K753" s="2"/>
    </row>
    <row r="754">
      <c r="A754" s="17"/>
      <c r="B754" s="17"/>
      <c r="C754" s="17"/>
      <c r="D754" s="17"/>
      <c r="E754" s="17"/>
      <c r="F754" s="17"/>
      <c r="G754" s="2"/>
      <c r="H754" s="2"/>
      <c r="I754" s="2"/>
      <c r="J754" s="2"/>
      <c r="K754" s="2"/>
    </row>
    <row r="755">
      <c r="A755" s="17"/>
      <c r="B755" s="17"/>
      <c r="C755" s="17"/>
      <c r="D755" s="17"/>
      <c r="E755" s="17"/>
      <c r="F755" s="17"/>
      <c r="G755" s="2"/>
      <c r="H755" s="2"/>
      <c r="I755" s="2"/>
      <c r="J755" s="2"/>
      <c r="K755" s="2"/>
    </row>
    <row r="756">
      <c r="A756" s="17"/>
      <c r="B756" s="17"/>
      <c r="C756" s="17"/>
      <c r="D756" s="17"/>
      <c r="E756" s="17"/>
      <c r="F756" s="17"/>
      <c r="G756" s="2"/>
      <c r="H756" s="2"/>
      <c r="I756" s="2"/>
      <c r="J756" s="2"/>
      <c r="K756" s="2"/>
    </row>
    <row r="757">
      <c r="A757" s="17"/>
      <c r="B757" s="17"/>
      <c r="C757" s="17"/>
      <c r="D757" s="17"/>
      <c r="E757" s="17"/>
      <c r="F757" s="17"/>
      <c r="G757" s="2"/>
      <c r="H757" s="2"/>
      <c r="I757" s="2"/>
      <c r="J757" s="2"/>
      <c r="K757" s="2"/>
    </row>
    <row r="758">
      <c r="A758" s="17"/>
      <c r="B758" s="17"/>
      <c r="C758" s="17"/>
      <c r="D758" s="17"/>
      <c r="E758" s="17"/>
      <c r="F758" s="17"/>
      <c r="G758" s="2"/>
      <c r="H758" s="2"/>
      <c r="I758" s="2"/>
      <c r="J758" s="2"/>
      <c r="K758" s="2"/>
    </row>
    <row r="759">
      <c r="A759" s="17"/>
      <c r="B759" s="17"/>
      <c r="C759" s="17"/>
      <c r="D759" s="17"/>
      <c r="E759" s="17"/>
      <c r="F759" s="17"/>
      <c r="G759" s="2"/>
      <c r="H759" s="2"/>
      <c r="I759" s="2"/>
      <c r="J759" s="2"/>
      <c r="K759" s="2"/>
    </row>
    <row r="760">
      <c r="A760" s="17"/>
      <c r="B760" s="17"/>
      <c r="C760" s="17"/>
      <c r="D760" s="17"/>
      <c r="E760" s="17"/>
      <c r="F760" s="17"/>
      <c r="G760" s="2"/>
      <c r="H760" s="2"/>
      <c r="I760" s="2"/>
      <c r="J760" s="2"/>
      <c r="K760" s="2"/>
    </row>
    <row r="761">
      <c r="A761" s="17"/>
      <c r="B761" s="17"/>
      <c r="C761" s="17"/>
      <c r="D761" s="17"/>
      <c r="E761" s="17"/>
      <c r="F761" s="17"/>
      <c r="G761" s="2"/>
      <c r="H761" s="2"/>
      <c r="I761" s="2"/>
      <c r="J761" s="2"/>
      <c r="K761" s="2"/>
    </row>
    <row r="762">
      <c r="A762" s="17"/>
      <c r="B762" s="17"/>
      <c r="C762" s="17"/>
      <c r="D762" s="17"/>
      <c r="E762" s="17"/>
      <c r="F762" s="17"/>
      <c r="G762" s="2"/>
      <c r="H762" s="2"/>
      <c r="I762" s="2"/>
      <c r="J762" s="2"/>
      <c r="K762" s="2"/>
    </row>
    <row r="763">
      <c r="A763" s="17"/>
      <c r="B763" s="17"/>
      <c r="C763" s="17"/>
      <c r="D763" s="17"/>
      <c r="E763" s="17"/>
      <c r="F763" s="17"/>
      <c r="G763" s="2"/>
      <c r="H763" s="2"/>
      <c r="I763" s="2"/>
      <c r="J763" s="2"/>
      <c r="K763" s="2"/>
    </row>
    <row r="764">
      <c r="A764" s="17"/>
      <c r="B764" s="17"/>
      <c r="C764" s="17"/>
      <c r="D764" s="17"/>
      <c r="E764" s="17"/>
      <c r="F764" s="17"/>
      <c r="G764" s="2"/>
      <c r="H764" s="2"/>
      <c r="I764" s="2"/>
      <c r="J764" s="2"/>
      <c r="K764" s="2"/>
    </row>
    <row r="765">
      <c r="A765" s="17"/>
      <c r="B765" s="17"/>
      <c r="C765" s="17"/>
      <c r="D765" s="17"/>
      <c r="E765" s="17"/>
      <c r="F765" s="17"/>
      <c r="G765" s="2"/>
      <c r="H765" s="2"/>
      <c r="I765" s="2"/>
      <c r="J765" s="2"/>
      <c r="K765" s="2"/>
    </row>
    <row r="766">
      <c r="A766" s="17"/>
      <c r="B766" s="17"/>
      <c r="C766" s="17"/>
      <c r="D766" s="17"/>
      <c r="E766" s="17"/>
      <c r="F766" s="17"/>
      <c r="G766" s="2"/>
      <c r="H766" s="2"/>
      <c r="I766" s="2"/>
      <c r="J766" s="2"/>
      <c r="K766" s="2"/>
    </row>
    <row r="767">
      <c r="A767" s="17"/>
      <c r="B767" s="17"/>
      <c r="C767" s="17"/>
      <c r="D767" s="17"/>
      <c r="E767" s="17"/>
      <c r="F767" s="17"/>
      <c r="G767" s="2"/>
      <c r="H767" s="2"/>
      <c r="I767" s="2"/>
      <c r="J767" s="2"/>
      <c r="K767" s="2"/>
    </row>
    <row r="768">
      <c r="A768" s="17"/>
      <c r="B768" s="17"/>
      <c r="C768" s="17"/>
      <c r="D768" s="17"/>
      <c r="E768" s="17"/>
      <c r="F768" s="17"/>
      <c r="G768" s="2"/>
      <c r="H768" s="2"/>
      <c r="I768" s="2"/>
      <c r="J768" s="2"/>
      <c r="K768" s="2"/>
    </row>
    <row r="769">
      <c r="A769" s="17"/>
      <c r="B769" s="17"/>
      <c r="C769" s="17"/>
      <c r="D769" s="17"/>
      <c r="E769" s="17"/>
      <c r="F769" s="17"/>
      <c r="G769" s="2"/>
      <c r="H769" s="2"/>
      <c r="I769" s="2"/>
      <c r="J769" s="2"/>
      <c r="K769" s="2"/>
    </row>
    <row r="770">
      <c r="A770" s="17"/>
      <c r="B770" s="17"/>
      <c r="C770" s="17"/>
      <c r="D770" s="17"/>
      <c r="E770" s="17"/>
      <c r="F770" s="17"/>
      <c r="G770" s="2"/>
      <c r="H770" s="2"/>
      <c r="I770" s="2"/>
      <c r="J770" s="2"/>
      <c r="K770" s="2"/>
    </row>
    <row r="771">
      <c r="A771" s="17"/>
      <c r="B771" s="17"/>
      <c r="C771" s="17"/>
      <c r="D771" s="17"/>
      <c r="E771" s="17"/>
      <c r="F771" s="17"/>
      <c r="G771" s="2"/>
      <c r="H771" s="2"/>
      <c r="I771" s="2"/>
      <c r="J771" s="2"/>
      <c r="K771" s="2"/>
    </row>
    <row r="772">
      <c r="A772" s="17"/>
      <c r="B772" s="17"/>
      <c r="C772" s="17"/>
      <c r="D772" s="17"/>
      <c r="E772" s="17"/>
      <c r="F772" s="17"/>
      <c r="G772" s="2"/>
      <c r="H772" s="2"/>
      <c r="I772" s="2"/>
      <c r="J772" s="2"/>
      <c r="K772" s="2"/>
    </row>
    <row r="773">
      <c r="A773" s="17"/>
      <c r="B773" s="17"/>
      <c r="C773" s="17"/>
      <c r="D773" s="17"/>
      <c r="E773" s="17"/>
      <c r="F773" s="17"/>
      <c r="G773" s="2"/>
      <c r="H773" s="2"/>
      <c r="I773" s="2"/>
      <c r="J773" s="2"/>
      <c r="K773" s="2"/>
    </row>
    <row r="774">
      <c r="A774" s="17"/>
      <c r="B774" s="17"/>
      <c r="C774" s="17"/>
      <c r="D774" s="17"/>
      <c r="E774" s="17"/>
      <c r="F774" s="17"/>
      <c r="G774" s="2"/>
      <c r="H774" s="2"/>
      <c r="I774" s="2"/>
      <c r="J774" s="2"/>
      <c r="K774" s="2"/>
    </row>
    <row r="775">
      <c r="A775" s="17"/>
      <c r="B775" s="17"/>
      <c r="C775" s="17"/>
      <c r="D775" s="17"/>
      <c r="E775" s="17"/>
      <c r="F775" s="17"/>
      <c r="G775" s="2"/>
      <c r="H775" s="2"/>
      <c r="I775" s="2"/>
      <c r="J775" s="2"/>
      <c r="K775" s="2"/>
    </row>
    <row r="776">
      <c r="A776" s="17"/>
      <c r="B776" s="17"/>
      <c r="C776" s="17"/>
      <c r="D776" s="17"/>
      <c r="E776" s="17"/>
      <c r="F776" s="17"/>
      <c r="G776" s="2"/>
      <c r="H776" s="2"/>
      <c r="I776" s="2"/>
      <c r="J776" s="2"/>
      <c r="K776" s="2"/>
    </row>
    <row r="777">
      <c r="A777" s="17"/>
      <c r="B777" s="17"/>
      <c r="C777" s="17"/>
      <c r="D777" s="17"/>
      <c r="E777" s="17"/>
      <c r="F777" s="17"/>
      <c r="G777" s="2"/>
      <c r="H777" s="2"/>
      <c r="I777" s="2"/>
      <c r="J777" s="2"/>
      <c r="K777" s="2"/>
    </row>
    <row r="778">
      <c r="A778" s="17"/>
      <c r="B778" s="17"/>
      <c r="C778" s="17"/>
      <c r="D778" s="17"/>
      <c r="E778" s="17"/>
      <c r="F778" s="17"/>
      <c r="G778" s="2"/>
      <c r="H778" s="2"/>
      <c r="I778" s="2"/>
      <c r="J778" s="2"/>
      <c r="K778" s="2"/>
    </row>
    <row r="779">
      <c r="A779" s="17"/>
      <c r="B779" s="17"/>
      <c r="C779" s="17"/>
      <c r="D779" s="17"/>
      <c r="E779" s="17"/>
      <c r="F779" s="17"/>
      <c r="G779" s="2"/>
      <c r="H779" s="2"/>
      <c r="I779" s="2"/>
      <c r="J779" s="2"/>
      <c r="K779" s="2"/>
    </row>
    <row r="780">
      <c r="A780" s="17"/>
      <c r="B780" s="17"/>
      <c r="C780" s="17"/>
      <c r="D780" s="17"/>
      <c r="E780" s="17"/>
      <c r="F780" s="17"/>
      <c r="G780" s="2"/>
      <c r="H780" s="2"/>
      <c r="I780" s="2"/>
      <c r="J780" s="2"/>
      <c r="K780" s="2"/>
    </row>
    <row r="781">
      <c r="A781" s="17"/>
      <c r="B781" s="17"/>
      <c r="C781" s="17"/>
      <c r="D781" s="17"/>
      <c r="E781" s="17"/>
      <c r="F781" s="17"/>
      <c r="G781" s="2"/>
      <c r="H781" s="2"/>
      <c r="I781" s="2"/>
      <c r="J781" s="2"/>
      <c r="K781" s="2"/>
    </row>
    <row r="782">
      <c r="A782" s="17"/>
      <c r="B782" s="17"/>
      <c r="C782" s="17"/>
      <c r="D782" s="17"/>
      <c r="E782" s="17"/>
      <c r="F782" s="17"/>
      <c r="G782" s="2"/>
      <c r="H782" s="2"/>
      <c r="I782" s="2"/>
      <c r="J782" s="2"/>
      <c r="K782" s="2"/>
    </row>
    <row r="783">
      <c r="A783" s="17"/>
      <c r="B783" s="17"/>
      <c r="C783" s="17"/>
      <c r="D783" s="17"/>
      <c r="E783" s="17"/>
      <c r="F783" s="17"/>
      <c r="G783" s="2"/>
      <c r="H783" s="2"/>
      <c r="I783" s="2"/>
      <c r="J783" s="2"/>
      <c r="K783" s="2"/>
    </row>
    <row r="784">
      <c r="A784" s="17"/>
      <c r="B784" s="17"/>
      <c r="C784" s="17"/>
      <c r="D784" s="17"/>
      <c r="E784" s="17"/>
      <c r="F784" s="17"/>
      <c r="G784" s="2"/>
      <c r="H784" s="2"/>
      <c r="I784" s="2"/>
      <c r="J784" s="2"/>
      <c r="K784" s="2"/>
    </row>
    <row r="785">
      <c r="A785" s="17"/>
      <c r="B785" s="17"/>
      <c r="C785" s="17"/>
      <c r="D785" s="17"/>
      <c r="E785" s="17"/>
      <c r="F785" s="17"/>
      <c r="G785" s="2"/>
      <c r="H785" s="2"/>
      <c r="I785" s="2"/>
      <c r="J785" s="2"/>
      <c r="K785" s="2"/>
    </row>
    <row r="786">
      <c r="A786" s="17"/>
      <c r="B786" s="17"/>
      <c r="C786" s="17"/>
      <c r="D786" s="17"/>
      <c r="E786" s="17"/>
      <c r="F786" s="17"/>
      <c r="G786" s="2"/>
      <c r="H786" s="2"/>
      <c r="I786" s="2"/>
      <c r="J786" s="2"/>
      <c r="K786" s="2"/>
    </row>
    <row r="787">
      <c r="A787" s="17"/>
      <c r="B787" s="17"/>
      <c r="C787" s="17"/>
      <c r="D787" s="17"/>
      <c r="E787" s="17"/>
      <c r="F787" s="17"/>
      <c r="G787" s="2"/>
      <c r="H787" s="2"/>
      <c r="I787" s="2"/>
      <c r="J787" s="2"/>
      <c r="K787" s="2"/>
    </row>
    <row r="788">
      <c r="A788" s="17"/>
      <c r="B788" s="17"/>
      <c r="C788" s="17"/>
      <c r="D788" s="17"/>
      <c r="E788" s="17"/>
      <c r="F788" s="17"/>
      <c r="G788" s="2"/>
      <c r="H788" s="2"/>
      <c r="I788" s="2"/>
      <c r="J788" s="2"/>
      <c r="K788" s="2"/>
    </row>
    <row r="789">
      <c r="A789" s="17"/>
      <c r="B789" s="17"/>
      <c r="C789" s="17"/>
      <c r="D789" s="17"/>
      <c r="E789" s="17"/>
      <c r="F789" s="17"/>
      <c r="G789" s="2"/>
      <c r="H789" s="2"/>
      <c r="I789" s="2"/>
      <c r="J789" s="2"/>
      <c r="K789" s="2"/>
    </row>
    <row r="790">
      <c r="A790" s="17"/>
      <c r="B790" s="17"/>
      <c r="C790" s="17"/>
      <c r="D790" s="17"/>
      <c r="E790" s="17"/>
      <c r="F790" s="17"/>
      <c r="G790" s="2"/>
      <c r="H790" s="2"/>
      <c r="I790" s="2"/>
      <c r="J790" s="2"/>
      <c r="K790" s="2"/>
    </row>
    <row r="791">
      <c r="A791" s="17"/>
      <c r="B791" s="17"/>
      <c r="C791" s="17"/>
      <c r="D791" s="17"/>
      <c r="E791" s="17"/>
      <c r="F791" s="17"/>
      <c r="G791" s="2"/>
      <c r="H791" s="2"/>
      <c r="I791" s="2"/>
      <c r="J791" s="2"/>
      <c r="K791" s="2"/>
    </row>
    <row r="792">
      <c r="A792" s="17"/>
      <c r="B792" s="17"/>
      <c r="C792" s="17"/>
      <c r="D792" s="17"/>
      <c r="E792" s="17"/>
      <c r="F792" s="17"/>
      <c r="G792" s="2"/>
      <c r="H792" s="2"/>
      <c r="I792" s="2"/>
      <c r="J792" s="2"/>
      <c r="K792" s="2"/>
    </row>
    <row r="793">
      <c r="A793" s="17"/>
      <c r="B793" s="17"/>
      <c r="C793" s="17"/>
      <c r="D793" s="17"/>
      <c r="E793" s="17"/>
      <c r="F793" s="17"/>
      <c r="G793" s="2"/>
      <c r="H793" s="2"/>
      <c r="I793" s="2"/>
      <c r="J793" s="2"/>
      <c r="K793" s="2"/>
    </row>
    <row r="794">
      <c r="A794" s="17"/>
      <c r="B794" s="17"/>
      <c r="C794" s="17"/>
      <c r="D794" s="17"/>
      <c r="E794" s="17"/>
      <c r="F794" s="17"/>
      <c r="G794" s="2"/>
      <c r="H794" s="2"/>
      <c r="I794" s="2"/>
      <c r="J794" s="2"/>
      <c r="K794" s="2"/>
    </row>
    <row r="795">
      <c r="A795" s="17"/>
      <c r="B795" s="17"/>
      <c r="C795" s="17"/>
      <c r="D795" s="17"/>
      <c r="E795" s="17"/>
      <c r="F795" s="17"/>
      <c r="G795" s="2"/>
      <c r="H795" s="2"/>
      <c r="I795" s="2"/>
      <c r="J795" s="2"/>
      <c r="K795" s="2"/>
    </row>
    <row r="796">
      <c r="A796" s="17"/>
      <c r="B796" s="17"/>
      <c r="C796" s="17"/>
      <c r="D796" s="17"/>
      <c r="E796" s="17"/>
      <c r="F796" s="17"/>
      <c r="G796" s="2"/>
      <c r="H796" s="2"/>
      <c r="I796" s="2"/>
      <c r="J796" s="2"/>
      <c r="K796" s="2"/>
    </row>
    <row r="797">
      <c r="A797" s="17"/>
      <c r="B797" s="17"/>
      <c r="C797" s="17"/>
      <c r="D797" s="17"/>
      <c r="E797" s="17"/>
      <c r="F797" s="17"/>
      <c r="G797" s="2"/>
      <c r="H797" s="2"/>
      <c r="I797" s="2"/>
      <c r="J797" s="2"/>
      <c r="K797" s="2"/>
    </row>
    <row r="798">
      <c r="A798" s="17"/>
      <c r="B798" s="17"/>
      <c r="C798" s="17"/>
      <c r="D798" s="17"/>
      <c r="E798" s="17"/>
      <c r="F798" s="17"/>
      <c r="G798" s="2"/>
      <c r="H798" s="2"/>
      <c r="I798" s="2"/>
      <c r="J798" s="2"/>
      <c r="K798" s="2"/>
    </row>
    <row r="799">
      <c r="A799" s="17"/>
      <c r="B799" s="17"/>
      <c r="C799" s="17"/>
      <c r="D799" s="17"/>
      <c r="E799" s="17"/>
      <c r="F799" s="17"/>
      <c r="G799" s="2"/>
      <c r="H799" s="2"/>
      <c r="I799" s="2"/>
      <c r="J799" s="2"/>
      <c r="K799" s="2"/>
    </row>
    <row r="800">
      <c r="A800" s="17"/>
      <c r="B800" s="17"/>
      <c r="C800" s="17"/>
      <c r="D800" s="17"/>
      <c r="E800" s="17"/>
      <c r="F800" s="17"/>
      <c r="G800" s="2"/>
      <c r="H800" s="2"/>
      <c r="I800" s="2"/>
      <c r="J800" s="2"/>
      <c r="K800" s="2"/>
    </row>
    <row r="801">
      <c r="A801" s="17"/>
      <c r="B801" s="17"/>
      <c r="C801" s="17"/>
      <c r="D801" s="17"/>
      <c r="E801" s="17"/>
      <c r="F801" s="17"/>
      <c r="G801" s="2"/>
      <c r="H801" s="2"/>
      <c r="I801" s="2"/>
      <c r="J801" s="2"/>
      <c r="K801" s="2"/>
    </row>
    <row r="802">
      <c r="A802" s="17"/>
      <c r="B802" s="17"/>
      <c r="C802" s="17"/>
      <c r="D802" s="17"/>
      <c r="E802" s="17"/>
      <c r="F802" s="17"/>
      <c r="G802" s="2"/>
      <c r="H802" s="2"/>
      <c r="I802" s="2"/>
      <c r="J802" s="2"/>
      <c r="K802" s="2"/>
    </row>
    <row r="803">
      <c r="A803" s="17"/>
      <c r="B803" s="17"/>
      <c r="C803" s="17"/>
      <c r="D803" s="17"/>
      <c r="E803" s="17"/>
      <c r="F803" s="17"/>
      <c r="G803" s="2"/>
      <c r="H803" s="2"/>
      <c r="I803" s="2"/>
      <c r="J803" s="2"/>
      <c r="K803" s="2"/>
    </row>
    <row r="804">
      <c r="A804" s="17"/>
      <c r="B804" s="17"/>
      <c r="C804" s="17"/>
      <c r="D804" s="17"/>
      <c r="E804" s="17"/>
      <c r="F804" s="17"/>
      <c r="G804" s="2"/>
      <c r="H804" s="2"/>
      <c r="I804" s="2"/>
      <c r="J804" s="2"/>
      <c r="K804" s="2"/>
    </row>
    <row r="805">
      <c r="A805" s="17"/>
      <c r="B805" s="17"/>
      <c r="C805" s="17"/>
      <c r="D805" s="17"/>
      <c r="E805" s="17"/>
      <c r="F805" s="17"/>
      <c r="G805" s="2"/>
      <c r="H805" s="2"/>
      <c r="I805" s="2"/>
      <c r="J805" s="2"/>
      <c r="K805" s="2"/>
    </row>
    <row r="806">
      <c r="A806" s="17"/>
      <c r="B806" s="17"/>
      <c r="C806" s="17"/>
      <c r="D806" s="17"/>
      <c r="E806" s="17"/>
      <c r="F806" s="17"/>
      <c r="G806" s="2"/>
      <c r="H806" s="2"/>
      <c r="I806" s="2"/>
      <c r="J806" s="2"/>
      <c r="K806" s="2"/>
    </row>
    <row r="807">
      <c r="A807" s="17"/>
      <c r="B807" s="17"/>
      <c r="C807" s="17"/>
      <c r="D807" s="17"/>
      <c r="E807" s="17"/>
      <c r="F807" s="17"/>
      <c r="G807" s="2"/>
      <c r="H807" s="2"/>
      <c r="I807" s="2"/>
      <c r="J807" s="2"/>
      <c r="K807" s="2"/>
    </row>
    <row r="808">
      <c r="A808" s="17"/>
      <c r="B808" s="17"/>
      <c r="C808" s="17"/>
      <c r="D808" s="17"/>
      <c r="E808" s="17"/>
      <c r="F808" s="17"/>
      <c r="G808" s="2"/>
      <c r="H808" s="2"/>
      <c r="I808" s="2"/>
      <c r="J808" s="2"/>
      <c r="K808" s="2"/>
    </row>
    <row r="809">
      <c r="A809" s="17"/>
      <c r="B809" s="17"/>
      <c r="C809" s="17"/>
      <c r="D809" s="17"/>
      <c r="E809" s="17"/>
      <c r="F809" s="17"/>
      <c r="G809" s="2"/>
      <c r="H809" s="2"/>
      <c r="I809" s="2"/>
      <c r="J809" s="2"/>
      <c r="K809" s="2"/>
    </row>
    <row r="810">
      <c r="A810" s="17"/>
      <c r="B810" s="17"/>
      <c r="C810" s="17"/>
      <c r="D810" s="17"/>
      <c r="E810" s="17"/>
      <c r="F810" s="17"/>
      <c r="G810" s="2"/>
      <c r="H810" s="2"/>
      <c r="I810" s="2"/>
      <c r="J810" s="2"/>
      <c r="K810" s="2"/>
    </row>
    <row r="811">
      <c r="A811" s="17"/>
      <c r="B811" s="17"/>
      <c r="C811" s="17"/>
      <c r="D811" s="17"/>
      <c r="E811" s="17"/>
      <c r="F811" s="17"/>
      <c r="G811" s="2"/>
      <c r="H811" s="2"/>
      <c r="I811" s="2"/>
      <c r="J811" s="2"/>
      <c r="K811" s="2"/>
    </row>
    <row r="812">
      <c r="A812" s="17"/>
      <c r="B812" s="17"/>
      <c r="C812" s="17"/>
      <c r="D812" s="17"/>
      <c r="E812" s="17"/>
      <c r="F812" s="17"/>
      <c r="G812" s="2"/>
      <c r="H812" s="2"/>
      <c r="I812" s="2"/>
      <c r="J812" s="2"/>
      <c r="K812" s="2"/>
    </row>
    <row r="813">
      <c r="A813" s="17"/>
      <c r="B813" s="17"/>
      <c r="C813" s="17"/>
      <c r="D813" s="17"/>
      <c r="E813" s="17"/>
      <c r="F813" s="17"/>
      <c r="G813" s="2"/>
      <c r="H813" s="2"/>
      <c r="I813" s="2"/>
      <c r="J813" s="2"/>
      <c r="K813" s="2"/>
    </row>
    <row r="814">
      <c r="A814" s="17"/>
      <c r="B814" s="17"/>
      <c r="C814" s="17"/>
      <c r="D814" s="17"/>
      <c r="E814" s="17"/>
      <c r="F814" s="17"/>
      <c r="G814" s="2"/>
      <c r="H814" s="2"/>
      <c r="I814" s="2"/>
      <c r="J814" s="2"/>
      <c r="K814" s="2"/>
    </row>
    <row r="815">
      <c r="A815" s="17"/>
      <c r="B815" s="17"/>
      <c r="C815" s="17"/>
      <c r="D815" s="17"/>
      <c r="E815" s="17"/>
      <c r="F815" s="17"/>
      <c r="G815" s="2"/>
      <c r="H815" s="2"/>
      <c r="I815" s="2"/>
      <c r="J815" s="2"/>
      <c r="K815" s="2"/>
    </row>
    <row r="816">
      <c r="A816" s="17"/>
      <c r="B816" s="17"/>
      <c r="C816" s="17"/>
      <c r="D816" s="17"/>
      <c r="E816" s="17"/>
      <c r="F816" s="17"/>
      <c r="G816" s="2"/>
      <c r="H816" s="2"/>
      <c r="I816" s="2"/>
      <c r="J816" s="2"/>
      <c r="K816" s="2"/>
    </row>
    <row r="817">
      <c r="A817" s="17"/>
      <c r="B817" s="17"/>
      <c r="C817" s="17"/>
      <c r="D817" s="17"/>
      <c r="E817" s="17"/>
      <c r="F817" s="17"/>
      <c r="G817" s="2"/>
      <c r="H817" s="2"/>
      <c r="I817" s="2"/>
      <c r="J817" s="2"/>
      <c r="K817" s="2"/>
    </row>
    <row r="818">
      <c r="A818" s="17"/>
      <c r="B818" s="17"/>
      <c r="C818" s="17"/>
      <c r="D818" s="17"/>
      <c r="E818" s="17"/>
      <c r="F818" s="17"/>
      <c r="G818" s="2"/>
      <c r="H818" s="2"/>
      <c r="I818" s="2"/>
      <c r="J818" s="2"/>
      <c r="K818" s="2"/>
    </row>
    <row r="819">
      <c r="A819" s="17"/>
      <c r="B819" s="17"/>
      <c r="C819" s="17"/>
      <c r="D819" s="17"/>
      <c r="E819" s="17"/>
      <c r="F819" s="17"/>
      <c r="G819" s="2"/>
      <c r="H819" s="2"/>
      <c r="I819" s="2"/>
      <c r="J819" s="2"/>
      <c r="K819" s="2"/>
    </row>
    <row r="820">
      <c r="A820" s="17"/>
      <c r="B820" s="17"/>
      <c r="C820" s="17"/>
      <c r="D820" s="17"/>
      <c r="E820" s="17"/>
      <c r="F820" s="17"/>
      <c r="G820" s="2"/>
      <c r="H820" s="2"/>
      <c r="I820" s="2"/>
      <c r="J820" s="2"/>
      <c r="K820" s="2"/>
    </row>
    <row r="821">
      <c r="A821" s="17"/>
      <c r="B821" s="17"/>
      <c r="C821" s="17"/>
      <c r="D821" s="17"/>
      <c r="E821" s="17"/>
      <c r="F821" s="17"/>
      <c r="G821" s="2"/>
      <c r="H821" s="2"/>
      <c r="I821" s="2"/>
      <c r="J821" s="2"/>
      <c r="K821" s="2"/>
    </row>
    <row r="822">
      <c r="A822" s="17"/>
      <c r="B822" s="17"/>
      <c r="C822" s="17"/>
      <c r="D822" s="17"/>
      <c r="E822" s="17"/>
      <c r="F822" s="17"/>
      <c r="G822" s="2"/>
      <c r="H822" s="2"/>
      <c r="I822" s="2"/>
      <c r="J822" s="2"/>
      <c r="K822" s="2"/>
    </row>
    <row r="823">
      <c r="A823" s="17"/>
      <c r="B823" s="17"/>
      <c r="C823" s="17"/>
      <c r="D823" s="17"/>
      <c r="E823" s="17"/>
      <c r="F823" s="17"/>
      <c r="G823" s="2"/>
      <c r="H823" s="2"/>
      <c r="I823" s="2"/>
      <c r="J823" s="2"/>
      <c r="K823" s="2"/>
    </row>
    <row r="824">
      <c r="A824" s="17"/>
      <c r="B824" s="17"/>
      <c r="C824" s="17"/>
      <c r="D824" s="17"/>
      <c r="E824" s="17"/>
      <c r="F824" s="17"/>
      <c r="G824" s="2"/>
      <c r="H824" s="2"/>
      <c r="I824" s="2"/>
      <c r="J824" s="2"/>
      <c r="K824" s="2"/>
    </row>
    <row r="825">
      <c r="A825" s="17"/>
      <c r="B825" s="17"/>
      <c r="C825" s="17"/>
      <c r="D825" s="17"/>
      <c r="E825" s="17"/>
      <c r="F825" s="17"/>
      <c r="G825" s="2"/>
      <c r="H825" s="2"/>
      <c r="I825" s="2"/>
      <c r="J825" s="2"/>
      <c r="K825" s="2"/>
    </row>
    <row r="826">
      <c r="A826" s="17"/>
      <c r="B826" s="17"/>
      <c r="C826" s="17"/>
      <c r="D826" s="17"/>
      <c r="E826" s="17"/>
      <c r="F826" s="17"/>
      <c r="G826" s="2"/>
      <c r="H826" s="2"/>
      <c r="I826" s="2"/>
      <c r="J826" s="2"/>
      <c r="K826" s="2"/>
    </row>
    <row r="827">
      <c r="A827" s="17"/>
      <c r="B827" s="17"/>
      <c r="C827" s="17"/>
      <c r="D827" s="17"/>
      <c r="E827" s="17"/>
      <c r="F827" s="17"/>
      <c r="G827" s="2"/>
      <c r="H827" s="2"/>
      <c r="I827" s="2"/>
      <c r="J827" s="2"/>
      <c r="K827" s="2"/>
    </row>
    <row r="828">
      <c r="A828" s="17"/>
      <c r="B828" s="17"/>
      <c r="C828" s="17"/>
      <c r="D828" s="17"/>
      <c r="E828" s="17"/>
      <c r="F828" s="17"/>
      <c r="G828" s="2"/>
      <c r="H828" s="2"/>
      <c r="I828" s="2"/>
      <c r="J828" s="2"/>
      <c r="K828" s="2"/>
    </row>
    <row r="829">
      <c r="A829" s="17"/>
      <c r="B829" s="17"/>
      <c r="C829" s="17"/>
      <c r="D829" s="17"/>
      <c r="E829" s="17"/>
      <c r="F829" s="17"/>
      <c r="G829" s="2"/>
      <c r="H829" s="2"/>
      <c r="I829" s="2"/>
      <c r="J829" s="2"/>
      <c r="K829" s="2"/>
    </row>
    <row r="830">
      <c r="A830" s="17"/>
      <c r="B830" s="17"/>
      <c r="C830" s="17"/>
      <c r="D830" s="17"/>
      <c r="E830" s="17"/>
      <c r="F830" s="17"/>
      <c r="G830" s="2"/>
      <c r="H830" s="2"/>
      <c r="I830" s="2"/>
      <c r="J830" s="2"/>
      <c r="K830" s="2"/>
    </row>
    <row r="831">
      <c r="A831" s="17"/>
      <c r="B831" s="17"/>
      <c r="C831" s="17"/>
      <c r="D831" s="17"/>
      <c r="E831" s="17"/>
      <c r="F831" s="17"/>
      <c r="G831" s="2"/>
      <c r="H831" s="2"/>
      <c r="I831" s="2"/>
      <c r="J831" s="2"/>
      <c r="K831" s="2"/>
    </row>
    <row r="832">
      <c r="A832" s="17"/>
      <c r="B832" s="17"/>
      <c r="C832" s="17"/>
      <c r="D832" s="17"/>
      <c r="E832" s="17"/>
      <c r="F832" s="17"/>
      <c r="G832" s="2"/>
      <c r="H832" s="2"/>
      <c r="I832" s="2"/>
      <c r="J832" s="2"/>
      <c r="K832" s="2"/>
    </row>
    <row r="833">
      <c r="A833" s="17"/>
      <c r="B833" s="17"/>
      <c r="C833" s="17"/>
      <c r="D833" s="17"/>
      <c r="E833" s="17"/>
      <c r="F833" s="17"/>
      <c r="G833" s="2"/>
      <c r="H833" s="2"/>
      <c r="I833" s="2"/>
      <c r="J833" s="2"/>
      <c r="K833" s="2"/>
    </row>
    <row r="834">
      <c r="A834" s="17"/>
      <c r="B834" s="17"/>
      <c r="C834" s="17"/>
      <c r="D834" s="17"/>
      <c r="E834" s="17"/>
      <c r="F834" s="17"/>
      <c r="G834" s="2"/>
      <c r="H834" s="2"/>
      <c r="I834" s="2"/>
      <c r="J834" s="2"/>
      <c r="K834" s="2"/>
    </row>
    <row r="835">
      <c r="A835" s="17"/>
      <c r="B835" s="17"/>
      <c r="C835" s="17"/>
      <c r="D835" s="17"/>
      <c r="E835" s="17"/>
      <c r="F835" s="17"/>
      <c r="G835" s="2"/>
      <c r="H835" s="2"/>
      <c r="I835" s="2"/>
      <c r="J835" s="2"/>
      <c r="K835" s="2"/>
    </row>
    <row r="836">
      <c r="A836" s="17"/>
      <c r="B836" s="17"/>
      <c r="C836" s="17"/>
      <c r="D836" s="17"/>
      <c r="E836" s="17"/>
      <c r="F836" s="17"/>
      <c r="G836" s="2"/>
      <c r="H836" s="2"/>
      <c r="I836" s="2"/>
      <c r="J836" s="2"/>
      <c r="K836" s="2"/>
    </row>
    <row r="837">
      <c r="A837" s="17"/>
      <c r="B837" s="17"/>
      <c r="C837" s="17"/>
      <c r="D837" s="17"/>
      <c r="E837" s="17"/>
      <c r="F837" s="17"/>
      <c r="G837" s="2"/>
      <c r="H837" s="2"/>
      <c r="I837" s="2"/>
      <c r="J837" s="2"/>
      <c r="K837" s="2"/>
    </row>
    <row r="838">
      <c r="A838" s="17"/>
      <c r="B838" s="17"/>
      <c r="C838" s="17"/>
      <c r="D838" s="17"/>
      <c r="E838" s="17"/>
      <c r="F838" s="17"/>
      <c r="G838" s="2"/>
      <c r="H838" s="2"/>
      <c r="I838" s="2"/>
      <c r="J838" s="2"/>
      <c r="K838" s="2"/>
    </row>
    <row r="839">
      <c r="A839" s="17"/>
      <c r="B839" s="17"/>
      <c r="C839" s="17"/>
      <c r="D839" s="17"/>
      <c r="E839" s="17"/>
      <c r="F839" s="17"/>
      <c r="G839" s="2"/>
      <c r="H839" s="2"/>
      <c r="I839" s="2"/>
      <c r="J839" s="2"/>
      <c r="K839" s="2"/>
    </row>
    <row r="840">
      <c r="A840" s="17"/>
      <c r="B840" s="17"/>
      <c r="C840" s="17"/>
      <c r="D840" s="17"/>
      <c r="E840" s="17"/>
      <c r="F840" s="17"/>
      <c r="G840" s="2"/>
      <c r="H840" s="2"/>
      <c r="I840" s="2"/>
      <c r="J840" s="2"/>
      <c r="K840" s="2"/>
    </row>
    <row r="841">
      <c r="A841" s="17"/>
      <c r="B841" s="17"/>
      <c r="C841" s="17"/>
      <c r="D841" s="17"/>
      <c r="E841" s="17"/>
      <c r="F841" s="17"/>
      <c r="G841" s="2"/>
      <c r="H841" s="2"/>
      <c r="I841" s="2"/>
      <c r="J841" s="2"/>
      <c r="K841" s="2"/>
    </row>
    <row r="842">
      <c r="A842" s="17"/>
      <c r="B842" s="17"/>
      <c r="C842" s="17"/>
      <c r="D842" s="17"/>
      <c r="E842" s="17"/>
      <c r="F842" s="17"/>
      <c r="G842" s="2"/>
      <c r="H842" s="2"/>
      <c r="I842" s="2"/>
      <c r="J842" s="2"/>
      <c r="K842" s="2"/>
    </row>
    <row r="843">
      <c r="A843" s="17"/>
      <c r="B843" s="17"/>
      <c r="C843" s="17"/>
      <c r="D843" s="17"/>
      <c r="E843" s="17"/>
      <c r="F843" s="17"/>
      <c r="G843" s="2"/>
      <c r="H843" s="2"/>
      <c r="I843" s="2"/>
      <c r="J843" s="2"/>
      <c r="K843" s="2"/>
    </row>
    <row r="844">
      <c r="A844" s="17"/>
      <c r="B844" s="17"/>
      <c r="C844" s="17"/>
      <c r="D844" s="17"/>
      <c r="E844" s="17"/>
      <c r="F844" s="17"/>
      <c r="G844" s="2"/>
      <c r="H844" s="2"/>
      <c r="I844" s="2"/>
      <c r="J844" s="2"/>
      <c r="K844" s="2"/>
    </row>
    <row r="845">
      <c r="A845" s="17"/>
      <c r="B845" s="17"/>
      <c r="C845" s="17"/>
      <c r="D845" s="17"/>
      <c r="E845" s="17"/>
      <c r="F845" s="17"/>
      <c r="G845" s="2"/>
      <c r="H845" s="2"/>
      <c r="I845" s="2"/>
      <c r="J845" s="2"/>
      <c r="K845" s="2"/>
    </row>
    <row r="846">
      <c r="A846" s="17"/>
      <c r="B846" s="17"/>
      <c r="C846" s="17"/>
      <c r="D846" s="17"/>
      <c r="E846" s="17"/>
      <c r="F846" s="17"/>
      <c r="G846" s="2"/>
      <c r="H846" s="2"/>
      <c r="I846" s="2"/>
      <c r="J846" s="2"/>
      <c r="K846" s="2"/>
    </row>
    <row r="847">
      <c r="A847" s="17"/>
      <c r="B847" s="17"/>
      <c r="C847" s="17"/>
      <c r="D847" s="17"/>
      <c r="E847" s="17"/>
      <c r="F847" s="17"/>
      <c r="G847" s="2"/>
      <c r="H847" s="2"/>
      <c r="I847" s="2"/>
      <c r="J847" s="2"/>
      <c r="K847" s="2"/>
    </row>
    <row r="848">
      <c r="A848" s="17"/>
      <c r="B848" s="17"/>
      <c r="C848" s="17"/>
      <c r="D848" s="17"/>
      <c r="E848" s="17"/>
      <c r="F848" s="17"/>
      <c r="G848" s="2"/>
      <c r="H848" s="2"/>
      <c r="I848" s="2"/>
      <c r="J848" s="2"/>
      <c r="K848" s="2"/>
    </row>
    <row r="849">
      <c r="A849" s="17"/>
      <c r="B849" s="17"/>
      <c r="C849" s="17"/>
      <c r="D849" s="17"/>
      <c r="E849" s="17"/>
      <c r="F849" s="17"/>
      <c r="G849" s="2"/>
      <c r="H849" s="2"/>
      <c r="I849" s="2"/>
      <c r="J849" s="2"/>
      <c r="K849" s="2"/>
    </row>
    <row r="850">
      <c r="A850" s="17"/>
      <c r="B850" s="17"/>
      <c r="C850" s="17"/>
      <c r="D850" s="17"/>
      <c r="E850" s="17"/>
      <c r="F850" s="17"/>
      <c r="G850" s="2"/>
      <c r="H850" s="2"/>
      <c r="I850" s="2"/>
      <c r="J850" s="2"/>
      <c r="K850" s="2"/>
    </row>
    <row r="851">
      <c r="A851" s="17"/>
      <c r="B851" s="17"/>
      <c r="C851" s="17"/>
      <c r="D851" s="17"/>
      <c r="E851" s="17"/>
      <c r="F851" s="17"/>
      <c r="G851" s="2"/>
      <c r="H851" s="2"/>
      <c r="I851" s="2"/>
      <c r="J851" s="2"/>
      <c r="K851" s="2"/>
    </row>
    <row r="852">
      <c r="A852" s="17"/>
      <c r="B852" s="17"/>
      <c r="C852" s="17"/>
      <c r="D852" s="17"/>
      <c r="E852" s="17"/>
      <c r="F852" s="17"/>
      <c r="G852" s="2"/>
      <c r="H852" s="2"/>
      <c r="I852" s="2"/>
      <c r="J852" s="2"/>
      <c r="K852" s="2"/>
    </row>
    <row r="853">
      <c r="A853" s="17"/>
      <c r="B853" s="17"/>
      <c r="C853" s="17"/>
      <c r="D853" s="17"/>
      <c r="E853" s="17"/>
      <c r="F853" s="17"/>
      <c r="G853" s="2"/>
      <c r="H853" s="2"/>
      <c r="I853" s="2"/>
      <c r="J853" s="2"/>
      <c r="K853" s="2"/>
    </row>
    <row r="854">
      <c r="A854" s="17"/>
      <c r="B854" s="17"/>
      <c r="C854" s="17"/>
      <c r="D854" s="17"/>
      <c r="E854" s="17"/>
      <c r="F854" s="17"/>
      <c r="G854" s="2"/>
      <c r="H854" s="2"/>
      <c r="I854" s="2"/>
      <c r="J854" s="2"/>
      <c r="K854" s="2"/>
    </row>
    <row r="855">
      <c r="A855" s="17"/>
      <c r="B855" s="17"/>
      <c r="C855" s="17"/>
      <c r="D855" s="17"/>
      <c r="E855" s="17"/>
      <c r="F855" s="17"/>
      <c r="G855" s="2"/>
      <c r="H855" s="2"/>
      <c r="I855" s="2"/>
      <c r="J855" s="2"/>
      <c r="K855" s="2"/>
    </row>
    <row r="856">
      <c r="A856" s="17"/>
      <c r="B856" s="17"/>
      <c r="C856" s="17"/>
      <c r="D856" s="17"/>
      <c r="E856" s="17"/>
      <c r="F856" s="17"/>
      <c r="G856" s="2"/>
      <c r="H856" s="2"/>
      <c r="I856" s="2"/>
      <c r="J856" s="2"/>
      <c r="K856" s="2"/>
    </row>
    <row r="857">
      <c r="A857" s="17"/>
      <c r="B857" s="17"/>
      <c r="C857" s="17"/>
      <c r="D857" s="17"/>
      <c r="E857" s="17"/>
      <c r="F857" s="17"/>
      <c r="G857" s="2"/>
      <c r="H857" s="2"/>
      <c r="I857" s="2"/>
      <c r="J857" s="2"/>
      <c r="K857" s="2"/>
    </row>
    <row r="858">
      <c r="A858" s="17"/>
      <c r="B858" s="17"/>
      <c r="C858" s="17"/>
      <c r="D858" s="17"/>
      <c r="E858" s="17"/>
      <c r="F858" s="17"/>
      <c r="G858" s="2"/>
      <c r="H858" s="2"/>
      <c r="I858" s="2"/>
      <c r="J858" s="2"/>
      <c r="K858" s="2"/>
    </row>
    <row r="859">
      <c r="A859" s="17"/>
      <c r="B859" s="17"/>
      <c r="C859" s="17"/>
      <c r="D859" s="17"/>
      <c r="E859" s="17"/>
      <c r="F859" s="17"/>
      <c r="G859" s="2"/>
      <c r="H859" s="2"/>
      <c r="I859" s="2"/>
      <c r="J859" s="2"/>
      <c r="K859" s="2"/>
    </row>
    <row r="860">
      <c r="A860" s="17"/>
      <c r="B860" s="17"/>
      <c r="C860" s="17"/>
      <c r="D860" s="17"/>
      <c r="E860" s="17"/>
      <c r="F860" s="17"/>
      <c r="G860" s="2"/>
      <c r="H860" s="2"/>
      <c r="I860" s="2"/>
      <c r="J860" s="2"/>
      <c r="K860" s="2"/>
    </row>
    <row r="861">
      <c r="A861" s="17"/>
      <c r="B861" s="17"/>
      <c r="C861" s="17"/>
      <c r="D861" s="17"/>
      <c r="E861" s="17"/>
      <c r="F861" s="17"/>
      <c r="G861" s="2"/>
      <c r="H861" s="2"/>
      <c r="I861" s="2"/>
      <c r="J861" s="2"/>
      <c r="K861" s="2"/>
    </row>
    <row r="862">
      <c r="A862" s="17"/>
      <c r="B862" s="17"/>
      <c r="C862" s="17"/>
      <c r="D862" s="17"/>
      <c r="E862" s="17"/>
      <c r="F862" s="17"/>
      <c r="G862" s="2"/>
      <c r="H862" s="2"/>
      <c r="I862" s="2"/>
      <c r="J862" s="2"/>
      <c r="K862" s="2"/>
    </row>
    <row r="863">
      <c r="A863" s="17"/>
      <c r="B863" s="17"/>
      <c r="C863" s="17"/>
      <c r="D863" s="17"/>
      <c r="E863" s="17"/>
      <c r="F863" s="17"/>
      <c r="G863" s="2"/>
      <c r="H863" s="2"/>
      <c r="I863" s="2"/>
      <c r="J863" s="2"/>
      <c r="K863" s="2"/>
    </row>
    <row r="864">
      <c r="A864" s="17"/>
      <c r="B864" s="17"/>
      <c r="C864" s="17"/>
      <c r="D864" s="17"/>
      <c r="E864" s="17"/>
      <c r="F864" s="17"/>
      <c r="G864" s="2"/>
      <c r="H864" s="2"/>
      <c r="I864" s="2"/>
      <c r="J864" s="2"/>
      <c r="K864" s="2"/>
    </row>
    <row r="865">
      <c r="A865" s="17"/>
      <c r="B865" s="17"/>
      <c r="C865" s="17"/>
      <c r="D865" s="17"/>
      <c r="E865" s="17"/>
      <c r="F865" s="17"/>
      <c r="G865" s="2"/>
      <c r="H865" s="2"/>
      <c r="I865" s="2"/>
      <c r="J865" s="2"/>
      <c r="K865" s="2"/>
    </row>
    <row r="866">
      <c r="A866" s="17"/>
      <c r="B866" s="17"/>
      <c r="C866" s="17"/>
      <c r="D866" s="17"/>
      <c r="E866" s="17"/>
      <c r="F866" s="17"/>
      <c r="G866" s="2"/>
      <c r="H866" s="2"/>
      <c r="I866" s="2"/>
      <c r="J866" s="2"/>
      <c r="K866" s="2"/>
    </row>
    <row r="867">
      <c r="A867" s="17"/>
      <c r="B867" s="17"/>
      <c r="C867" s="17"/>
      <c r="D867" s="17"/>
      <c r="E867" s="17"/>
      <c r="F867" s="17"/>
      <c r="G867" s="2"/>
      <c r="H867" s="2"/>
      <c r="I867" s="2"/>
      <c r="J867" s="2"/>
      <c r="K867" s="2"/>
    </row>
    <row r="868">
      <c r="A868" s="17"/>
      <c r="B868" s="17"/>
      <c r="C868" s="17"/>
      <c r="D868" s="17"/>
      <c r="E868" s="17"/>
      <c r="F868" s="17"/>
      <c r="G868" s="2"/>
      <c r="H868" s="2"/>
      <c r="I868" s="2"/>
      <c r="J868" s="2"/>
      <c r="K868" s="2"/>
    </row>
    <row r="869">
      <c r="A869" s="17"/>
      <c r="B869" s="17"/>
      <c r="C869" s="17"/>
      <c r="D869" s="17"/>
      <c r="E869" s="17"/>
      <c r="F869" s="17"/>
      <c r="G869" s="2"/>
      <c r="H869" s="2"/>
      <c r="I869" s="2"/>
      <c r="J869" s="2"/>
      <c r="K869" s="2"/>
    </row>
    <row r="870">
      <c r="A870" s="17"/>
      <c r="B870" s="17"/>
      <c r="C870" s="17"/>
      <c r="D870" s="17"/>
      <c r="E870" s="17"/>
      <c r="F870" s="17"/>
      <c r="G870" s="2"/>
      <c r="H870" s="2"/>
      <c r="I870" s="2"/>
      <c r="J870" s="2"/>
      <c r="K870" s="2"/>
    </row>
    <row r="871">
      <c r="A871" s="17"/>
      <c r="B871" s="17"/>
      <c r="C871" s="17"/>
      <c r="D871" s="17"/>
      <c r="E871" s="17"/>
      <c r="F871" s="17"/>
      <c r="G871" s="2"/>
      <c r="H871" s="2"/>
      <c r="I871" s="2"/>
      <c r="J871" s="2"/>
      <c r="K871" s="2"/>
    </row>
    <row r="872">
      <c r="A872" s="17"/>
      <c r="B872" s="17"/>
      <c r="C872" s="17"/>
      <c r="D872" s="17"/>
      <c r="E872" s="17"/>
      <c r="F872" s="17"/>
      <c r="G872" s="2"/>
      <c r="H872" s="2"/>
      <c r="I872" s="2"/>
      <c r="J872" s="2"/>
      <c r="K872" s="2"/>
    </row>
    <row r="873">
      <c r="A873" s="17"/>
      <c r="B873" s="17"/>
      <c r="C873" s="17"/>
      <c r="D873" s="17"/>
      <c r="E873" s="17"/>
      <c r="F873" s="17"/>
      <c r="G873" s="2"/>
      <c r="H873" s="2"/>
      <c r="I873" s="2"/>
      <c r="J873" s="2"/>
      <c r="K873" s="2"/>
    </row>
    <row r="874">
      <c r="A874" s="17"/>
      <c r="B874" s="17"/>
      <c r="C874" s="17"/>
      <c r="D874" s="17"/>
      <c r="E874" s="17"/>
      <c r="F874" s="17"/>
      <c r="G874" s="2"/>
      <c r="H874" s="2"/>
      <c r="I874" s="2"/>
      <c r="J874" s="2"/>
      <c r="K874" s="2"/>
    </row>
    <row r="875">
      <c r="A875" s="17"/>
      <c r="B875" s="17"/>
      <c r="C875" s="17"/>
      <c r="D875" s="17"/>
      <c r="E875" s="17"/>
      <c r="F875" s="17"/>
      <c r="G875" s="2"/>
      <c r="H875" s="2"/>
      <c r="I875" s="2"/>
      <c r="J875" s="2"/>
      <c r="K875" s="2"/>
    </row>
    <row r="876">
      <c r="A876" s="17"/>
      <c r="B876" s="17"/>
      <c r="C876" s="17"/>
      <c r="D876" s="17"/>
      <c r="E876" s="17"/>
      <c r="F876" s="17"/>
      <c r="G876" s="2"/>
      <c r="H876" s="2"/>
      <c r="I876" s="2"/>
      <c r="J876" s="2"/>
      <c r="K876" s="2"/>
    </row>
    <row r="877">
      <c r="A877" s="17"/>
      <c r="B877" s="17"/>
      <c r="C877" s="17"/>
      <c r="D877" s="17"/>
      <c r="E877" s="17"/>
      <c r="F877" s="17"/>
      <c r="G877" s="2"/>
      <c r="H877" s="2"/>
      <c r="I877" s="2"/>
      <c r="J877" s="2"/>
      <c r="K877" s="2"/>
    </row>
    <row r="878">
      <c r="A878" s="17"/>
      <c r="B878" s="17"/>
      <c r="C878" s="17"/>
      <c r="D878" s="17"/>
      <c r="E878" s="17"/>
      <c r="F878" s="17"/>
      <c r="G878" s="2"/>
      <c r="H878" s="2"/>
      <c r="I878" s="2"/>
      <c r="J878" s="2"/>
      <c r="K878" s="2"/>
    </row>
    <row r="879">
      <c r="A879" s="17"/>
      <c r="B879" s="17"/>
      <c r="C879" s="17"/>
      <c r="D879" s="17"/>
      <c r="E879" s="17"/>
      <c r="F879" s="17"/>
      <c r="G879" s="2"/>
      <c r="H879" s="2"/>
      <c r="I879" s="2"/>
      <c r="J879" s="2"/>
      <c r="K879" s="2"/>
    </row>
    <row r="880">
      <c r="A880" s="17"/>
      <c r="B880" s="17"/>
      <c r="C880" s="17"/>
      <c r="D880" s="17"/>
      <c r="E880" s="17"/>
      <c r="F880" s="17"/>
      <c r="G880" s="2"/>
      <c r="H880" s="2"/>
      <c r="I880" s="2"/>
      <c r="J880" s="2"/>
      <c r="K880" s="2"/>
    </row>
    <row r="881">
      <c r="A881" s="17"/>
      <c r="B881" s="17"/>
      <c r="C881" s="17"/>
      <c r="D881" s="17"/>
      <c r="E881" s="17"/>
      <c r="F881" s="17"/>
      <c r="G881" s="2"/>
      <c r="H881" s="2"/>
      <c r="I881" s="2"/>
      <c r="J881" s="2"/>
      <c r="K881" s="2"/>
    </row>
    <row r="882">
      <c r="A882" s="17"/>
      <c r="B882" s="17"/>
      <c r="C882" s="17"/>
      <c r="D882" s="17"/>
      <c r="E882" s="17"/>
      <c r="F882" s="17"/>
      <c r="G882" s="2"/>
      <c r="H882" s="2"/>
      <c r="I882" s="2"/>
      <c r="J882" s="2"/>
      <c r="K882" s="2"/>
    </row>
    <row r="883">
      <c r="A883" s="17"/>
      <c r="B883" s="17"/>
      <c r="C883" s="17"/>
      <c r="D883" s="17"/>
      <c r="E883" s="17"/>
      <c r="F883" s="17"/>
      <c r="G883" s="2"/>
      <c r="H883" s="2"/>
      <c r="I883" s="2"/>
      <c r="J883" s="2"/>
      <c r="K883" s="2"/>
    </row>
    <row r="884">
      <c r="A884" s="17"/>
      <c r="B884" s="17"/>
      <c r="C884" s="17"/>
      <c r="D884" s="17"/>
      <c r="E884" s="17"/>
      <c r="F884" s="17"/>
      <c r="G884" s="2"/>
      <c r="H884" s="2"/>
      <c r="I884" s="2"/>
      <c r="J884" s="2"/>
      <c r="K884" s="2"/>
    </row>
    <row r="885">
      <c r="A885" s="17"/>
      <c r="B885" s="17"/>
      <c r="C885" s="17"/>
      <c r="D885" s="17"/>
      <c r="E885" s="17"/>
      <c r="F885" s="17"/>
      <c r="G885" s="2"/>
      <c r="H885" s="2"/>
      <c r="I885" s="2"/>
      <c r="J885" s="2"/>
      <c r="K885" s="2"/>
    </row>
    <row r="886">
      <c r="A886" s="17"/>
      <c r="B886" s="17"/>
      <c r="C886" s="17"/>
      <c r="D886" s="17"/>
      <c r="E886" s="17"/>
      <c r="F886" s="17"/>
      <c r="G886" s="2"/>
      <c r="H886" s="2"/>
      <c r="I886" s="2"/>
      <c r="J886" s="2"/>
      <c r="K886" s="2"/>
    </row>
    <row r="887">
      <c r="A887" s="17"/>
      <c r="B887" s="17"/>
      <c r="C887" s="17"/>
      <c r="D887" s="17"/>
      <c r="E887" s="17"/>
      <c r="F887" s="17"/>
      <c r="G887" s="2"/>
      <c r="H887" s="2"/>
      <c r="I887" s="2"/>
      <c r="J887" s="2"/>
      <c r="K887" s="2"/>
    </row>
    <row r="888">
      <c r="A888" s="17"/>
      <c r="B888" s="17"/>
      <c r="C888" s="17"/>
      <c r="D888" s="17"/>
      <c r="E888" s="17"/>
      <c r="F888" s="17"/>
      <c r="G888" s="2"/>
      <c r="H888" s="2"/>
      <c r="I888" s="2"/>
      <c r="J888" s="2"/>
      <c r="K888" s="2"/>
    </row>
    <row r="889">
      <c r="A889" s="17"/>
      <c r="B889" s="17"/>
      <c r="C889" s="17"/>
      <c r="D889" s="17"/>
      <c r="E889" s="17"/>
      <c r="F889" s="17"/>
      <c r="G889" s="2"/>
      <c r="H889" s="2"/>
      <c r="I889" s="2"/>
      <c r="J889" s="2"/>
      <c r="K889" s="2"/>
    </row>
    <row r="890">
      <c r="A890" s="17"/>
      <c r="B890" s="17"/>
      <c r="C890" s="17"/>
      <c r="D890" s="17"/>
      <c r="E890" s="17"/>
      <c r="F890" s="17"/>
      <c r="G890" s="2"/>
      <c r="H890" s="2"/>
      <c r="I890" s="2"/>
      <c r="J890" s="2"/>
      <c r="K890" s="2"/>
    </row>
    <row r="891">
      <c r="A891" s="17"/>
      <c r="B891" s="17"/>
      <c r="C891" s="17"/>
      <c r="D891" s="17"/>
      <c r="E891" s="17"/>
      <c r="F891" s="17"/>
      <c r="G891" s="2"/>
      <c r="H891" s="2"/>
      <c r="I891" s="2"/>
      <c r="J891" s="2"/>
      <c r="K891" s="2"/>
    </row>
    <row r="892">
      <c r="A892" s="17"/>
      <c r="B892" s="17"/>
      <c r="C892" s="17"/>
      <c r="D892" s="17"/>
      <c r="E892" s="17"/>
      <c r="F892" s="17"/>
      <c r="G892" s="2"/>
      <c r="H892" s="2"/>
      <c r="I892" s="2"/>
      <c r="J892" s="2"/>
      <c r="K892" s="2"/>
    </row>
    <row r="893">
      <c r="A893" s="17"/>
      <c r="B893" s="17"/>
      <c r="C893" s="17"/>
      <c r="D893" s="17"/>
      <c r="E893" s="17"/>
      <c r="F893" s="17"/>
      <c r="G893" s="2"/>
      <c r="H893" s="2"/>
      <c r="I893" s="2"/>
      <c r="J893" s="2"/>
      <c r="K893" s="2"/>
    </row>
    <row r="894">
      <c r="A894" s="17"/>
      <c r="B894" s="17"/>
      <c r="C894" s="17"/>
      <c r="D894" s="17"/>
      <c r="E894" s="17"/>
      <c r="F894" s="17"/>
      <c r="G894" s="2"/>
      <c r="H894" s="2"/>
      <c r="I894" s="2"/>
      <c r="J894" s="2"/>
      <c r="K894" s="2"/>
    </row>
    <row r="895">
      <c r="A895" s="17"/>
      <c r="B895" s="17"/>
      <c r="C895" s="17"/>
      <c r="D895" s="17"/>
      <c r="E895" s="17"/>
      <c r="F895" s="17"/>
      <c r="G895" s="2"/>
      <c r="H895" s="2"/>
      <c r="I895" s="2"/>
      <c r="J895" s="2"/>
      <c r="K895" s="2"/>
    </row>
    <row r="896">
      <c r="A896" s="17"/>
      <c r="B896" s="17"/>
      <c r="C896" s="17"/>
      <c r="D896" s="17"/>
      <c r="E896" s="17"/>
      <c r="F896" s="17"/>
      <c r="G896" s="2"/>
      <c r="H896" s="2"/>
      <c r="I896" s="2"/>
      <c r="J896" s="2"/>
      <c r="K896" s="2"/>
    </row>
    <row r="897">
      <c r="A897" s="17"/>
      <c r="B897" s="17"/>
      <c r="C897" s="17"/>
      <c r="D897" s="17"/>
      <c r="E897" s="17"/>
      <c r="F897" s="17"/>
      <c r="G897" s="2"/>
      <c r="H897" s="2"/>
      <c r="I897" s="2"/>
      <c r="J897" s="2"/>
      <c r="K897" s="2"/>
    </row>
    <row r="898">
      <c r="A898" s="17"/>
      <c r="B898" s="17"/>
      <c r="C898" s="17"/>
      <c r="D898" s="17"/>
      <c r="E898" s="17"/>
      <c r="F898" s="17"/>
      <c r="G898" s="2"/>
      <c r="H898" s="2"/>
      <c r="I898" s="2"/>
      <c r="J898" s="2"/>
      <c r="K898" s="2"/>
    </row>
    <row r="899">
      <c r="A899" s="17"/>
      <c r="B899" s="17"/>
      <c r="C899" s="17"/>
      <c r="D899" s="17"/>
      <c r="E899" s="17"/>
      <c r="F899" s="17"/>
      <c r="G899" s="2"/>
      <c r="H899" s="2"/>
      <c r="I899" s="2"/>
      <c r="J899" s="2"/>
      <c r="K899" s="2"/>
    </row>
    <row r="900">
      <c r="A900" s="17"/>
      <c r="B900" s="17"/>
      <c r="C900" s="17"/>
      <c r="D900" s="17"/>
      <c r="E900" s="17"/>
      <c r="F900" s="17"/>
      <c r="G900" s="2"/>
      <c r="H900" s="2"/>
      <c r="I900" s="2"/>
      <c r="J900" s="2"/>
      <c r="K900" s="2"/>
    </row>
    <row r="901">
      <c r="A901" s="17"/>
      <c r="B901" s="17"/>
      <c r="C901" s="17"/>
      <c r="D901" s="17"/>
      <c r="E901" s="17"/>
      <c r="F901" s="17"/>
      <c r="G901" s="2"/>
      <c r="H901" s="2"/>
      <c r="I901" s="2"/>
      <c r="J901" s="2"/>
      <c r="K901" s="2"/>
    </row>
    <row r="902">
      <c r="A902" s="17"/>
      <c r="B902" s="17"/>
      <c r="C902" s="17"/>
      <c r="D902" s="17"/>
      <c r="E902" s="17"/>
      <c r="F902" s="17"/>
      <c r="G902" s="2"/>
      <c r="H902" s="2"/>
      <c r="I902" s="2"/>
      <c r="J902" s="2"/>
      <c r="K902" s="2"/>
    </row>
    <row r="903">
      <c r="A903" s="17"/>
      <c r="B903" s="17"/>
      <c r="C903" s="17"/>
      <c r="D903" s="17"/>
      <c r="E903" s="17"/>
      <c r="F903" s="17"/>
      <c r="G903" s="2"/>
      <c r="H903" s="2"/>
      <c r="I903" s="2"/>
      <c r="J903" s="2"/>
      <c r="K903" s="2"/>
    </row>
    <row r="904">
      <c r="A904" s="17"/>
      <c r="B904" s="17"/>
      <c r="C904" s="17"/>
      <c r="D904" s="17"/>
      <c r="E904" s="17"/>
      <c r="F904" s="17"/>
      <c r="G904" s="2"/>
      <c r="H904" s="2"/>
      <c r="I904" s="2"/>
      <c r="J904" s="2"/>
      <c r="K904" s="2"/>
    </row>
    <row r="905">
      <c r="A905" s="17"/>
      <c r="B905" s="17"/>
      <c r="C905" s="17"/>
      <c r="D905" s="17"/>
      <c r="E905" s="17"/>
      <c r="F905" s="17"/>
      <c r="G905" s="2"/>
      <c r="H905" s="2"/>
      <c r="I905" s="2"/>
      <c r="J905" s="2"/>
      <c r="K905" s="2"/>
    </row>
    <row r="906">
      <c r="A906" s="17"/>
      <c r="B906" s="17"/>
      <c r="C906" s="17"/>
      <c r="D906" s="17"/>
      <c r="E906" s="17"/>
      <c r="F906" s="17"/>
      <c r="G906" s="2"/>
      <c r="H906" s="2"/>
      <c r="I906" s="2"/>
      <c r="J906" s="2"/>
      <c r="K906" s="2"/>
    </row>
    <row r="907">
      <c r="A907" s="17"/>
      <c r="B907" s="17"/>
      <c r="C907" s="17"/>
      <c r="D907" s="17"/>
      <c r="E907" s="17"/>
      <c r="F907" s="17"/>
      <c r="G907" s="2"/>
      <c r="H907" s="2"/>
      <c r="I907" s="2"/>
      <c r="J907" s="2"/>
      <c r="K907" s="2"/>
    </row>
    <row r="908">
      <c r="A908" s="17"/>
      <c r="B908" s="17"/>
      <c r="C908" s="17"/>
      <c r="D908" s="17"/>
      <c r="E908" s="17"/>
      <c r="F908" s="17"/>
      <c r="G908" s="2"/>
      <c r="H908" s="2"/>
      <c r="I908" s="2"/>
      <c r="J908" s="2"/>
      <c r="K908" s="2"/>
    </row>
    <row r="909">
      <c r="A909" s="17"/>
      <c r="B909" s="17"/>
      <c r="C909" s="17"/>
      <c r="D909" s="17"/>
      <c r="E909" s="17"/>
      <c r="F909" s="17"/>
      <c r="G909" s="2"/>
      <c r="H909" s="2"/>
      <c r="I909" s="2"/>
      <c r="J909" s="2"/>
      <c r="K909" s="2"/>
    </row>
    <row r="910">
      <c r="A910" s="17"/>
      <c r="B910" s="17"/>
      <c r="C910" s="17"/>
      <c r="D910" s="17"/>
      <c r="E910" s="17"/>
      <c r="F910" s="17"/>
      <c r="G910" s="2"/>
      <c r="H910" s="2"/>
      <c r="I910" s="2"/>
      <c r="J910" s="2"/>
      <c r="K910" s="2"/>
    </row>
    <row r="911">
      <c r="A911" s="17"/>
      <c r="B911" s="17"/>
      <c r="C911" s="17"/>
      <c r="D911" s="17"/>
      <c r="E911" s="17"/>
      <c r="F911" s="17"/>
      <c r="G911" s="2"/>
      <c r="H911" s="2"/>
      <c r="I911" s="2"/>
      <c r="J911" s="2"/>
      <c r="K911" s="2"/>
    </row>
    <row r="912">
      <c r="A912" s="17"/>
      <c r="B912" s="17"/>
      <c r="C912" s="17"/>
      <c r="D912" s="17"/>
      <c r="E912" s="17"/>
      <c r="F912" s="17"/>
      <c r="G912" s="2"/>
      <c r="H912" s="2"/>
      <c r="I912" s="2"/>
      <c r="J912" s="2"/>
      <c r="K912" s="2"/>
    </row>
    <row r="913">
      <c r="A913" s="17"/>
      <c r="B913" s="17"/>
      <c r="C913" s="17"/>
      <c r="D913" s="17"/>
      <c r="E913" s="17"/>
      <c r="F913" s="17"/>
      <c r="G913" s="2"/>
      <c r="H913" s="2"/>
      <c r="I913" s="2"/>
      <c r="J913" s="2"/>
      <c r="K913" s="2"/>
    </row>
    <row r="914">
      <c r="A914" s="17"/>
      <c r="B914" s="17"/>
      <c r="C914" s="17"/>
      <c r="D914" s="17"/>
      <c r="E914" s="17"/>
      <c r="F914" s="17"/>
      <c r="G914" s="2"/>
      <c r="H914" s="2"/>
      <c r="I914" s="2"/>
      <c r="J914" s="2"/>
      <c r="K914" s="2"/>
    </row>
    <row r="915">
      <c r="A915" s="17"/>
      <c r="B915" s="17"/>
      <c r="C915" s="17"/>
      <c r="D915" s="17"/>
      <c r="E915" s="17"/>
      <c r="F915" s="17"/>
      <c r="G915" s="2"/>
      <c r="H915" s="2"/>
      <c r="I915" s="2"/>
      <c r="J915" s="2"/>
      <c r="K915" s="2"/>
    </row>
    <row r="916">
      <c r="A916" s="17"/>
      <c r="B916" s="17"/>
      <c r="C916" s="17"/>
      <c r="D916" s="17"/>
      <c r="E916" s="17"/>
      <c r="F916" s="17"/>
      <c r="G916" s="2"/>
      <c r="H916" s="2"/>
      <c r="I916" s="2"/>
      <c r="J916" s="2"/>
      <c r="K916" s="2"/>
    </row>
    <row r="917">
      <c r="A917" s="17"/>
      <c r="B917" s="17"/>
      <c r="C917" s="17"/>
      <c r="D917" s="17"/>
      <c r="E917" s="17"/>
      <c r="F917" s="17"/>
      <c r="G917" s="2"/>
      <c r="H917" s="2"/>
      <c r="I917" s="2"/>
      <c r="J917" s="2"/>
      <c r="K917" s="2"/>
    </row>
    <row r="918">
      <c r="A918" s="17"/>
      <c r="B918" s="17"/>
      <c r="C918" s="17"/>
      <c r="D918" s="17"/>
      <c r="E918" s="17"/>
      <c r="F918" s="17"/>
      <c r="G918" s="2"/>
      <c r="H918" s="2"/>
      <c r="I918" s="2"/>
      <c r="J918" s="2"/>
      <c r="K918" s="2"/>
    </row>
    <row r="919">
      <c r="A919" s="17"/>
      <c r="B919" s="17"/>
      <c r="C919" s="17"/>
      <c r="D919" s="17"/>
      <c r="E919" s="17"/>
      <c r="F919" s="17"/>
      <c r="G919" s="2"/>
      <c r="H919" s="2"/>
      <c r="I919" s="2"/>
      <c r="J919" s="2"/>
      <c r="K919" s="2"/>
    </row>
    <row r="920">
      <c r="A920" s="17"/>
      <c r="B920" s="17"/>
      <c r="C920" s="17"/>
      <c r="D920" s="17"/>
      <c r="E920" s="17"/>
      <c r="F920" s="17"/>
      <c r="G920" s="2"/>
      <c r="H920" s="2"/>
      <c r="I920" s="2"/>
      <c r="J920" s="2"/>
      <c r="K920" s="2"/>
    </row>
    <row r="921">
      <c r="A921" s="17"/>
      <c r="B921" s="17"/>
      <c r="C921" s="17"/>
      <c r="D921" s="17"/>
      <c r="E921" s="17"/>
      <c r="F921" s="17"/>
      <c r="G921" s="2"/>
      <c r="H921" s="2"/>
      <c r="I921" s="2"/>
      <c r="J921" s="2"/>
      <c r="K921" s="2"/>
    </row>
    <row r="922">
      <c r="A922" s="17"/>
      <c r="B922" s="17"/>
      <c r="C922" s="17"/>
      <c r="D922" s="17"/>
      <c r="E922" s="17"/>
      <c r="F922" s="17"/>
      <c r="G922" s="2"/>
      <c r="H922" s="2"/>
      <c r="I922" s="2"/>
      <c r="J922" s="2"/>
      <c r="K922" s="2"/>
    </row>
    <row r="923">
      <c r="A923" s="17"/>
      <c r="B923" s="17"/>
      <c r="C923" s="17"/>
      <c r="D923" s="17"/>
      <c r="E923" s="17"/>
      <c r="F923" s="17"/>
      <c r="G923" s="2"/>
      <c r="H923" s="2"/>
      <c r="I923" s="2"/>
      <c r="J923" s="2"/>
      <c r="K923" s="2"/>
    </row>
    <row r="924">
      <c r="A924" s="17"/>
      <c r="B924" s="17"/>
      <c r="C924" s="17"/>
      <c r="D924" s="17"/>
      <c r="E924" s="17"/>
      <c r="F924" s="17"/>
      <c r="G924" s="2"/>
      <c r="H924" s="2"/>
      <c r="I924" s="2"/>
      <c r="J924" s="2"/>
      <c r="K924" s="2"/>
    </row>
    <row r="925">
      <c r="A925" s="17"/>
      <c r="B925" s="17"/>
      <c r="C925" s="17"/>
      <c r="D925" s="17"/>
      <c r="E925" s="17"/>
      <c r="F925" s="17"/>
      <c r="G925" s="2"/>
      <c r="H925" s="2"/>
      <c r="I925" s="2"/>
      <c r="J925" s="2"/>
      <c r="K925" s="2"/>
    </row>
    <row r="926">
      <c r="A926" s="17"/>
      <c r="B926" s="17"/>
      <c r="C926" s="17"/>
      <c r="D926" s="17"/>
      <c r="E926" s="17"/>
      <c r="F926" s="17"/>
      <c r="G926" s="2"/>
      <c r="H926" s="2"/>
      <c r="I926" s="2"/>
      <c r="J926" s="2"/>
      <c r="K926" s="2"/>
    </row>
    <row r="927">
      <c r="A927" s="17"/>
      <c r="B927" s="17"/>
      <c r="C927" s="17"/>
      <c r="D927" s="17"/>
      <c r="E927" s="17"/>
      <c r="F927" s="17"/>
      <c r="G927" s="2"/>
      <c r="H927" s="2"/>
      <c r="I927" s="2"/>
      <c r="J927" s="2"/>
      <c r="K927" s="2"/>
    </row>
    <row r="928">
      <c r="A928" s="17"/>
      <c r="B928" s="17"/>
      <c r="C928" s="17"/>
      <c r="D928" s="17"/>
      <c r="E928" s="17"/>
      <c r="F928" s="17"/>
      <c r="G928" s="2"/>
      <c r="H928" s="2"/>
      <c r="I928" s="2"/>
      <c r="J928" s="2"/>
      <c r="K928" s="2"/>
    </row>
    <row r="929">
      <c r="A929" s="17"/>
      <c r="B929" s="17"/>
      <c r="C929" s="17"/>
      <c r="D929" s="17"/>
      <c r="E929" s="17"/>
      <c r="F929" s="17"/>
      <c r="G929" s="2"/>
      <c r="H929" s="2"/>
      <c r="I929" s="2"/>
      <c r="J929" s="2"/>
      <c r="K929" s="2"/>
    </row>
    <row r="930">
      <c r="A930" s="17"/>
      <c r="B930" s="17"/>
      <c r="C930" s="17"/>
      <c r="D930" s="17"/>
      <c r="E930" s="17"/>
      <c r="F930" s="17"/>
      <c r="G930" s="2"/>
      <c r="H930" s="2"/>
      <c r="I930" s="2"/>
      <c r="J930" s="2"/>
      <c r="K930" s="2"/>
    </row>
    <row r="931">
      <c r="A931" s="17"/>
      <c r="B931" s="17"/>
      <c r="C931" s="17"/>
      <c r="D931" s="17"/>
      <c r="E931" s="17"/>
      <c r="F931" s="17"/>
      <c r="G931" s="2"/>
      <c r="H931" s="2"/>
      <c r="I931" s="2"/>
      <c r="J931" s="2"/>
      <c r="K931" s="2"/>
    </row>
    <row r="932">
      <c r="A932" s="17"/>
      <c r="B932" s="17"/>
      <c r="C932" s="17"/>
      <c r="D932" s="17"/>
      <c r="E932" s="17"/>
      <c r="F932" s="17"/>
      <c r="G932" s="2"/>
      <c r="H932" s="2"/>
      <c r="I932" s="2"/>
      <c r="J932" s="2"/>
      <c r="K932" s="2"/>
    </row>
    <row r="933">
      <c r="A933" s="17"/>
      <c r="B933" s="17"/>
      <c r="C933" s="17"/>
      <c r="D933" s="17"/>
      <c r="E933" s="17"/>
      <c r="F933" s="17"/>
      <c r="G933" s="2"/>
      <c r="H933" s="2"/>
      <c r="I933" s="2"/>
      <c r="J933" s="2"/>
      <c r="K933" s="2"/>
    </row>
    <row r="934">
      <c r="A934" s="17"/>
      <c r="B934" s="17"/>
      <c r="C934" s="17"/>
      <c r="D934" s="17"/>
      <c r="E934" s="17"/>
      <c r="F934" s="17"/>
      <c r="G934" s="2"/>
      <c r="H934" s="2"/>
      <c r="I934" s="2"/>
      <c r="J934" s="2"/>
      <c r="K934" s="2"/>
    </row>
    <row r="935">
      <c r="A935" s="17"/>
      <c r="B935" s="17"/>
      <c r="C935" s="17"/>
      <c r="D935" s="17"/>
      <c r="E935" s="17"/>
      <c r="F935" s="17"/>
      <c r="G935" s="2"/>
      <c r="H935" s="2"/>
      <c r="I935" s="2"/>
      <c r="J935" s="2"/>
      <c r="K935" s="2"/>
    </row>
    <row r="936">
      <c r="A936" s="17"/>
      <c r="B936" s="17"/>
      <c r="C936" s="17"/>
      <c r="D936" s="17"/>
      <c r="E936" s="17"/>
      <c r="F936" s="17"/>
      <c r="G936" s="2"/>
      <c r="H936" s="2"/>
      <c r="I936" s="2"/>
      <c r="J936" s="2"/>
      <c r="K936" s="2"/>
    </row>
    <row r="937">
      <c r="A937" s="17"/>
      <c r="B937" s="17"/>
      <c r="C937" s="17"/>
      <c r="D937" s="17"/>
      <c r="E937" s="17"/>
      <c r="F937" s="17"/>
      <c r="G937" s="2"/>
      <c r="H937" s="2"/>
      <c r="I937" s="2"/>
      <c r="J937" s="2"/>
      <c r="K937" s="2"/>
    </row>
    <row r="938">
      <c r="A938" s="17"/>
      <c r="B938" s="17"/>
      <c r="C938" s="17"/>
      <c r="D938" s="17"/>
      <c r="E938" s="17"/>
      <c r="F938" s="17"/>
      <c r="G938" s="2"/>
      <c r="H938" s="2"/>
      <c r="I938" s="2"/>
      <c r="J938" s="2"/>
      <c r="K938" s="2"/>
    </row>
    <row r="939">
      <c r="A939" s="17"/>
      <c r="B939" s="17"/>
      <c r="C939" s="17"/>
      <c r="D939" s="17"/>
      <c r="E939" s="17"/>
      <c r="F939" s="17"/>
      <c r="G939" s="2"/>
      <c r="H939" s="2"/>
      <c r="I939" s="2"/>
      <c r="J939" s="2"/>
      <c r="K939" s="2"/>
    </row>
    <row r="940">
      <c r="A940" s="17"/>
      <c r="B940" s="17"/>
      <c r="C940" s="17"/>
      <c r="D940" s="17"/>
      <c r="E940" s="17"/>
      <c r="F940" s="17"/>
      <c r="G940" s="2"/>
      <c r="H940" s="2"/>
      <c r="I940" s="2"/>
      <c r="J940" s="2"/>
      <c r="K940" s="2"/>
    </row>
    <row r="941">
      <c r="A941" s="17"/>
      <c r="B941" s="17"/>
      <c r="C941" s="17"/>
      <c r="D941" s="17"/>
      <c r="E941" s="17"/>
      <c r="F941" s="17"/>
      <c r="G941" s="2"/>
      <c r="H941" s="2"/>
      <c r="I941" s="2"/>
      <c r="J941" s="2"/>
      <c r="K941" s="2"/>
    </row>
    <row r="942">
      <c r="A942" s="17"/>
      <c r="B942" s="17"/>
      <c r="C942" s="17"/>
      <c r="D942" s="17"/>
      <c r="E942" s="17"/>
      <c r="F942" s="17"/>
      <c r="G942" s="2"/>
      <c r="H942" s="2"/>
      <c r="I942" s="2"/>
      <c r="J942" s="2"/>
      <c r="K942" s="2"/>
    </row>
    <row r="943">
      <c r="A943" s="17"/>
      <c r="B943" s="17"/>
      <c r="C943" s="17"/>
      <c r="D943" s="17"/>
      <c r="E943" s="17"/>
      <c r="F943" s="17"/>
      <c r="G943" s="2"/>
      <c r="H943" s="2"/>
      <c r="I943" s="2"/>
      <c r="J943" s="2"/>
      <c r="K943" s="2"/>
    </row>
    <row r="944">
      <c r="A944" s="17"/>
      <c r="B944" s="17"/>
      <c r="C944" s="17"/>
      <c r="D944" s="17"/>
      <c r="E944" s="17"/>
      <c r="F944" s="17"/>
      <c r="G944" s="2"/>
      <c r="H944" s="2"/>
      <c r="I944" s="2"/>
      <c r="J944" s="2"/>
      <c r="K944" s="2"/>
    </row>
    <row r="945">
      <c r="A945" s="17"/>
      <c r="B945" s="17"/>
      <c r="C945" s="17"/>
      <c r="D945" s="17"/>
      <c r="E945" s="17"/>
      <c r="F945" s="17"/>
      <c r="G945" s="2"/>
      <c r="H945" s="2"/>
      <c r="I945" s="2"/>
      <c r="J945" s="2"/>
      <c r="K945" s="2"/>
    </row>
    <row r="946">
      <c r="A946" s="17"/>
      <c r="B946" s="17"/>
      <c r="C946" s="17"/>
      <c r="D946" s="17"/>
      <c r="E946" s="17"/>
      <c r="F946" s="17"/>
      <c r="G946" s="2"/>
      <c r="H946" s="2"/>
      <c r="I946" s="2"/>
      <c r="J946" s="2"/>
      <c r="K946" s="2"/>
    </row>
    <row r="947">
      <c r="A947" s="17"/>
      <c r="B947" s="17"/>
      <c r="C947" s="17"/>
      <c r="D947" s="17"/>
      <c r="E947" s="17"/>
      <c r="F947" s="17"/>
      <c r="G947" s="2"/>
      <c r="H947" s="2"/>
      <c r="I947" s="2"/>
      <c r="J947" s="2"/>
      <c r="K947" s="2"/>
    </row>
    <row r="948">
      <c r="A948" s="17"/>
      <c r="B948" s="17"/>
      <c r="C948" s="17"/>
      <c r="D948" s="17"/>
      <c r="E948" s="17"/>
      <c r="F948" s="17"/>
      <c r="G948" s="2"/>
      <c r="H948" s="2"/>
      <c r="I948" s="2"/>
      <c r="J948" s="2"/>
      <c r="K948" s="2"/>
    </row>
    <row r="949">
      <c r="A949" s="17"/>
      <c r="B949" s="17"/>
      <c r="C949" s="17"/>
      <c r="D949" s="17"/>
      <c r="E949" s="17"/>
      <c r="F949" s="17"/>
      <c r="G949" s="2"/>
      <c r="H949" s="2"/>
      <c r="I949" s="2"/>
      <c r="J949" s="2"/>
      <c r="K949" s="2"/>
    </row>
    <row r="950">
      <c r="A950" s="17"/>
      <c r="B950" s="17"/>
      <c r="C950" s="17"/>
      <c r="D950" s="17"/>
      <c r="E950" s="17"/>
      <c r="F950" s="17"/>
      <c r="G950" s="2"/>
      <c r="H950" s="2"/>
      <c r="I950" s="2"/>
      <c r="J950" s="2"/>
      <c r="K950" s="2"/>
    </row>
    <row r="951">
      <c r="A951" s="17"/>
      <c r="B951" s="17"/>
      <c r="C951" s="17"/>
      <c r="D951" s="17"/>
      <c r="E951" s="17"/>
      <c r="F951" s="17"/>
      <c r="G951" s="2"/>
      <c r="H951" s="2"/>
      <c r="I951" s="2"/>
      <c r="J951" s="2"/>
      <c r="K951" s="2"/>
    </row>
    <row r="952">
      <c r="A952" s="17"/>
      <c r="B952" s="17"/>
      <c r="C952" s="17"/>
      <c r="D952" s="17"/>
      <c r="E952" s="17"/>
      <c r="F952" s="17"/>
      <c r="G952" s="2"/>
      <c r="H952" s="2"/>
      <c r="I952" s="2"/>
      <c r="J952" s="2"/>
      <c r="K952" s="2"/>
    </row>
    <row r="953">
      <c r="A953" s="17"/>
      <c r="B953" s="17"/>
      <c r="C953" s="17"/>
      <c r="D953" s="17"/>
      <c r="E953" s="17"/>
      <c r="F953" s="17"/>
      <c r="G953" s="2"/>
      <c r="H953" s="2"/>
      <c r="I953" s="2"/>
      <c r="J953" s="2"/>
      <c r="K953" s="2"/>
    </row>
    <row r="954">
      <c r="A954" s="17"/>
      <c r="B954" s="17"/>
      <c r="C954" s="17"/>
      <c r="D954" s="17"/>
      <c r="E954" s="17"/>
      <c r="F954" s="17"/>
      <c r="G954" s="2"/>
      <c r="H954" s="2"/>
      <c r="I954" s="2"/>
      <c r="J954" s="2"/>
      <c r="K954" s="2"/>
    </row>
    <row r="955">
      <c r="A955" s="17"/>
      <c r="B955" s="17"/>
      <c r="C955" s="17"/>
      <c r="D955" s="17"/>
      <c r="E955" s="17"/>
      <c r="F955" s="17"/>
      <c r="G955" s="2"/>
      <c r="H955" s="2"/>
      <c r="I955" s="2"/>
      <c r="J955" s="2"/>
      <c r="K955" s="2"/>
    </row>
    <row r="956">
      <c r="A956" s="17"/>
      <c r="B956" s="17"/>
      <c r="C956" s="17"/>
      <c r="D956" s="17"/>
      <c r="E956" s="17"/>
      <c r="F956" s="17"/>
      <c r="G956" s="2"/>
      <c r="H956" s="2"/>
      <c r="I956" s="2"/>
      <c r="J956" s="2"/>
      <c r="K956" s="2"/>
    </row>
    <row r="957">
      <c r="A957" s="17"/>
      <c r="B957" s="17"/>
      <c r="C957" s="17"/>
      <c r="D957" s="17"/>
      <c r="E957" s="17"/>
      <c r="F957" s="17"/>
      <c r="G957" s="2"/>
      <c r="H957" s="2"/>
      <c r="I957" s="2"/>
      <c r="J957" s="2"/>
      <c r="K957" s="2"/>
    </row>
    <row r="958">
      <c r="A958" s="17"/>
      <c r="B958" s="17"/>
      <c r="C958" s="17"/>
      <c r="D958" s="17"/>
      <c r="E958" s="17"/>
      <c r="F958" s="17"/>
      <c r="G958" s="2"/>
      <c r="H958" s="2"/>
      <c r="I958" s="2"/>
      <c r="J958" s="2"/>
      <c r="K958" s="2"/>
    </row>
    <row r="959">
      <c r="A959" s="17"/>
      <c r="B959" s="17"/>
      <c r="C959" s="17"/>
      <c r="D959" s="17"/>
      <c r="E959" s="17"/>
      <c r="F959" s="17"/>
      <c r="G959" s="2"/>
      <c r="H959" s="2"/>
      <c r="I959" s="2"/>
      <c r="J959" s="2"/>
      <c r="K959" s="2"/>
    </row>
    <row r="960">
      <c r="A960" s="17"/>
      <c r="B960" s="17"/>
      <c r="C960" s="17"/>
      <c r="D960" s="17"/>
      <c r="E960" s="17"/>
      <c r="F960" s="17"/>
      <c r="G960" s="2"/>
      <c r="H960" s="2"/>
      <c r="I960" s="2"/>
      <c r="J960" s="2"/>
      <c r="K960" s="2"/>
    </row>
    <row r="961">
      <c r="A961" s="17"/>
      <c r="B961" s="17"/>
      <c r="C961" s="17"/>
      <c r="D961" s="17"/>
      <c r="E961" s="17"/>
      <c r="F961" s="17"/>
      <c r="G961" s="2"/>
      <c r="H961" s="2"/>
      <c r="I961" s="2"/>
      <c r="J961" s="2"/>
      <c r="K961" s="2"/>
    </row>
    <row r="962">
      <c r="A962" s="17"/>
      <c r="B962" s="17"/>
      <c r="C962" s="17"/>
      <c r="D962" s="17"/>
      <c r="E962" s="17"/>
      <c r="F962" s="17"/>
      <c r="G962" s="2"/>
      <c r="H962" s="2"/>
      <c r="I962" s="2"/>
      <c r="J962" s="2"/>
      <c r="K962" s="2"/>
    </row>
    <row r="963">
      <c r="A963" s="17"/>
      <c r="B963" s="17"/>
      <c r="C963" s="17"/>
      <c r="D963" s="17"/>
      <c r="E963" s="17"/>
      <c r="F963" s="17"/>
      <c r="G963" s="2"/>
      <c r="H963" s="2"/>
      <c r="I963" s="2"/>
      <c r="J963" s="2"/>
      <c r="K963" s="2"/>
    </row>
    <row r="964">
      <c r="A964" s="17"/>
      <c r="B964" s="17"/>
      <c r="C964" s="17"/>
      <c r="D964" s="17"/>
      <c r="E964" s="17"/>
      <c r="F964" s="17"/>
      <c r="G964" s="2"/>
      <c r="H964" s="2"/>
      <c r="I964" s="2"/>
      <c r="J964" s="2"/>
      <c r="K964" s="2"/>
    </row>
    <row r="965">
      <c r="A965" s="17"/>
      <c r="B965" s="17"/>
      <c r="C965" s="17"/>
      <c r="D965" s="17"/>
      <c r="E965" s="17"/>
      <c r="F965" s="17"/>
      <c r="G965" s="2"/>
      <c r="H965" s="2"/>
      <c r="I965" s="2"/>
      <c r="J965" s="2"/>
      <c r="K965" s="2"/>
    </row>
    <row r="966">
      <c r="A966" s="17"/>
      <c r="B966" s="17"/>
      <c r="C966" s="17"/>
      <c r="D966" s="17"/>
      <c r="E966" s="17"/>
      <c r="F966" s="17"/>
      <c r="G966" s="2"/>
      <c r="H966" s="2"/>
      <c r="I966" s="2"/>
      <c r="J966" s="2"/>
      <c r="K966" s="2"/>
    </row>
    <row r="967">
      <c r="A967" s="17"/>
      <c r="B967" s="17"/>
      <c r="C967" s="17"/>
      <c r="D967" s="17"/>
      <c r="E967" s="17"/>
      <c r="F967" s="17"/>
      <c r="G967" s="2"/>
      <c r="H967" s="2"/>
      <c r="I967" s="2"/>
      <c r="J967" s="2"/>
      <c r="K967" s="2"/>
    </row>
    <row r="968">
      <c r="A968" s="17"/>
      <c r="B968" s="17"/>
      <c r="C968" s="17"/>
      <c r="D968" s="17"/>
      <c r="E968" s="17"/>
      <c r="F968" s="17"/>
      <c r="G968" s="2"/>
      <c r="H968" s="2"/>
      <c r="I968" s="2"/>
      <c r="J968" s="2"/>
      <c r="K968" s="2"/>
    </row>
    <row r="969">
      <c r="A969" s="17"/>
      <c r="B969" s="17"/>
      <c r="C969" s="17"/>
      <c r="D969" s="17"/>
      <c r="E969" s="17"/>
      <c r="F969" s="17"/>
      <c r="G969" s="2"/>
      <c r="H969" s="2"/>
      <c r="I969" s="2"/>
      <c r="J969" s="2"/>
      <c r="K969" s="2"/>
    </row>
    <row r="970">
      <c r="A970" s="17"/>
      <c r="B970" s="17"/>
      <c r="C970" s="17"/>
      <c r="D970" s="17"/>
      <c r="E970" s="17"/>
      <c r="F970" s="17"/>
      <c r="G970" s="2"/>
      <c r="H970" s="2"/>
      <c r="I970" s="2"/>
      <c r="J970" s="2"/>
      <c r="K970" s="2"/>
    </row>
    <row r="971">
      <c r="A971" s="17"/>
      <c r="B971" s="17"/>
      <c r="C971" s="17"/>
      <c r="D971" s="17"/>
      <c r="E971" s="17"/>
      <c r="F971" s="17"/>
      <c r="G971" s="2"/>
      <c r="H971" s="2"/>
      <c r="I971" s="2"/>
      <c r="J971" s="2"/>
      <c r="K971" s="2"/>
    </row>
    <row r="972">
      <c r="A972" s="17"/>
      <c r="B972" s="17"/>
      <c r="C972" s="17"/>
      <c r="D972" s="17"/>
      <c r="E972" s="17"/>
      <c r="F972" s="17"/>
      <c r="G972" s="2"/>
      <c r="H972" s="2"/>
      <c r="I972" s="2"/>
      <c r="J972" s="2"/>
      <c r="K972" s="2"/>
    </row>
    <row r="973">
      <c r="A973" s="17"/>
      <c r="B973" s="17"/>
      <c r="C973" s="17"/>
      <c r="D973" s="17"/>
      <c r="E973" s="17"/>
      <c r="F973" s="17"/>
      <c r="G973" s="2"/>
      <c r="H973" s="2"/>
      <c r="I973" s="2"/>
      <c r="J973" s="2"/>
      <c r="K973" s="2"/>
    </row>
    <row r="974">
      <c r="A974" s="17"/>
      <c r="B974" s="17"/>
      <c r="C974" s="17"/>
      <c r="D974" s="17"/>
      <c r="E974" s="17"/>
      <c r="F974" s="17"/>
      <c r="G974" s="2"/>
      <c r="H974" s="2"/>
      <c r="I974" s="2"/>
      <c r="J974" s="2"/>
      <c r="K974" s="2"/>
    </row>
    <row r="975">
      <c r="A975" s="17"/>
      <c r="B975" s="17"/>
      <c r="C975" s="17"/>
      <c r="D975" s="17"/>
      <c r="E975" s="17"/>
      <c r="F975" s="17"/>
      <c r="G975" s="2"/>
      <c r="H975" s="2"/>
      <c r="I975" s="2"/>
      <c r="J975" s="2"/>
      <c r="K975" s="2"/>
    </row>
    <row r="976">
      <c r="A976" s="17"/>
      <c r="B976" s="17"/>
      <c r="C976" s="17"/>
      <c r="D976" s="17"/>
      <c r="E976" s="17"/>
      <c r="F976" s="17"/>
      <c r="G976" s="2"/>
      <c r="H976" s="2"/>
      <c r="I976" s="2"/>
      <c r="J976" s="2"/>
      <c r="K976" s="2"/>
    </row>
    <row r="977">
      <c r="A977" s="17"/>
      <c r="B977" s="17"/>
      <c r="C977" s="17"/>
      <c r="D977" s="17"/>
      <c r="E977" s="17"/>
      <c r="F977" s="17"/>
      <c r="G977" s="2"/>
      <c r="H977" s="2"/>
      <c r="I977" s="2"/>
      <c r="J977" s="2"/>
      <c r="K977" s="2"/>
    </row>
    <row r="978">
      <c r="A978" s="17"/>
      <c r="B978" s="17"/>
      <c r="C978" s="17"/>
      <c r="D978" s="17"/>
      <c r="E978" s="17"/>
      <c r="F978" s="17"/>
      <c r="G978" s="2"/>
      <c r="H978" s="2"/>
      <c r="I978" s="2"/>
      <c r="J978" s="2"/>
      <c r="K978" s="2"/>
    </row>
    <row r="979">
      <c r="A979" s="17"/>
      <c r="B979" s="17"/>
      <c r="C979" s="17"/>
      <c r="D979" s="17"/>
      <c r="E979" s="17"/>
      <c r="F979" s="17"/>
      <c r="G979" s="2"/>
      <c r="H979" s="2"/>
      <c r="I979" s="2"/>
      <c r="J979" s="2"/>
      <c r="K979" s="2"/>
    </row>
    <row r="980">
      <c r="A980" s="17"/>
      <c r="B980" s="17"/>
      <c r="C980" s="17"/>
      <c r="D980" s="17"/>
      <c r="E980" s="17"/>
      <c r="F980" s="17"/>
      <c r="G980" s="2"/>
      <c r="H980" s="2"/>
      <c r="I980" s="2"/>
      <c r="J980" s="2"/>
      <c r="K980" s="2"/>
    </row>
    <row r="981">
      <c r="A981" s="17"/>
      <c r="B981" s="17"/>
      <c r="C981" s="17"/>
      <c r="D981" s="17"/>
      <c r="E981" s="17"/>
      <c r="F981" s="17"/>
      <c r="G981" s="2"/>
      <c r="H981" s="2"/>
      <c r="I981" s="2"/>
      <c r="J981" s="2"/>
      <c r="K981" s="2"/>
    </row>
    <row r="982">
      <c r="A982" s="17"/>
      <c r="B982" s="17"/>
      <c r="C982" s="17"/>
      <c r="D982" s="17"/>
      <c r="E982" s="17"/>
      <c r="F982" s="17"/>
      <c r="G982" s="2"/>
      <c r="H982" s="2"/>
      <c r="I982" s="2"/>
      <c r="J982" s="2"/>
      <c r="K982" s="2"/>
    </row>
    <row r="983">
      <c r="A983" s="17"/>
      <c r="B983" s="17"/>
      <c r="C983" s="17"/>
      <c r="D983" s="17"/>
      <c r="E983" s="17"/>
      <c r="F983" s="17"/>
      <c r="G983" s="2"/>
      <c r="H983" s="2"/>
      <c r="I983" s="2"/>
      <c r="J983" s="2"/>
      <c r="K983" s="2"/>
    </row>
    <row r="984">
      <c r="A984" s="17"/>
      <c r="B984" s="17"/>
      <c r="C984" s="17"/>
      <c r="D984" s="17"/>
      <c r="E984" s="17"/>
      <c r="F984" s="17"/>
      <c r="G984" s="2"/>
      <c r="H984" s="2"/>
      <c r="I984" s="2"/>
      <c r="J984" s="2"/>
      <c r="K984" s="2"/>
    </row>
    <row r="985">
      <c r="A985" s="17"/>
      <c r="B985" s="17"/>
      <c r="C985" s="17"/>
      <c r="D985" s="17"/>
      <c r="E985" s="17"/>
      <c r="F985" s="17"/>
      <c r="G985" s="2"/>
      <c r="H985" s="2"/>
      <c r="I985" s="2"/>
      <c r="J985" s="2"/>
      <c r="K985" s="2"/>
    </row>
    <row r="986">
      <c r="A986" s="17"/>
      <c r="B986" s="17"/>
      <c r="C986" s="17"/>
      <c r="D986" s="17"/>
      <c r="E986" s="17"/>
      <c r="F986" s="17"/>
      <c r="G986" s="2"/>
      <c r="H986" s="2"/>
      <c r="I986" s="2"/>
      <c r="J986" s="2"/>
      <c r="K986" s="2"/>
    </row>
    <row r="987">
      <c r="A987" s="17"/>
      <c r="B987" s="17"/>
      <c r="C987" s="17"/>
      <c r="D987" s="17"/>
      <c r="E987" s="17"/>
      <c r="F987" s="17"/>
      <c r="G987" s="2"/>
      <c r="H987" s="2"/>
      <c r="I987" s="2"/>
      <c r="J987" s="2"/>
      <c r="K987" s="2"/>
    </row>
    <row r="988">
      <c r="A988" s="17"/>
      <c r="B988" s="17"/>
      <c r="C988" s="17"/>
      <c r="D988" s="17"/>
      <c r="E988" s="17"/>
      <c r="F988" s="17"/>
      <c r="G988" s="2"/>
      <c r="H988" s="2"/>
      <c r="I988" s="2"/>
      <c r="J988" s="2"/>
      <c r="K988" s="2"/>
    </row>
    <row r="989">
      <c r="A989" s="17"/>
      <c r="B989" s="17"/>
      <c r="C989" s="17"/>
      <c r="D989" s="17"/>
      <c r="E989" s="17"/>
      <c r="F989" s="17"/>
      <c r="G989" s="2"/>
      <c r="H989" s="2"/>
      <c r="I989" s="2"/>
      <c r="J989" s="2"/>
      <c r="K989" s="2"/>
    </row>
    <row r="990">
      <c r="A990" s="17"/>
      <c r="B990" s="17"/>
      <c r="C990" s="17"/>
      <c r="D990" s="17"/>
      <c r="E990" s="17"/>
      <c r="F990" s="17"/>
      <c r="G990" s="2"/>
      <c r="H990" s="2"/>
      <c r="I990" s="2"/>
      <c r="J990" s="2"/>
      <c r="K990" s="2"/>
    </row>
    <row r="991">
      <c r="A991" s="17"/>
      <c r="B991" s="17"/>
      <c r="C991" s="17"/>
      <c r="D991" s="17"/>
      <c r="E991" s="17"/>
      <c r="F991" s="17"/>
      <c r="G991" s="2"/>
      <c r="H991" s="2"/>
      <c r="I991" s="2"/>
      <c r="J991" s="2"/>
      <c r="K991" s="2"/>
    </row>
    <row r="992">
      <c r="A992" s="17"/>
      <c r="B992" s="17"/>
      <c r="C992" s="17"/>
      <c r="D992" s="17"/>
      <c r="E992" s="17"/>
      <c r="F992" s="17"/>
      <c r="G992" s="2"/>
      <c r="H992" s="2"/>
      <c r="I992" s="2"/>
      <c r="J992" s="2"/>
      <c r="K992" s="2"/>
    </row>
    <row r="993">
      <c r="A993" s="17"/>
      <c r="B993" s="17"/>
      <c r="C993" s="17"/>
      <c r="D993" s="17"/>
      <c r="E993" s="17"/>
      <c r="F993" s="17"/>
      <c r="G993" s="2"/>
      <c r="H993" s="2"/>
      <c r="I993" s="2"/>
      <c r="J993" s="2"/>
      <c r="K993" s="2"/>
    </row>
    <row r="994">
      <c r="A994" s="17"/>
      <c r="B994" s="17"/>
      <c r="C994" s="17"/>
      <c r="D994" s="17"/>
      <c r="E994" s="17"/>
      <c r="F994" s="17"/>
      <c r="G994" s="2"/>
      <c r="H994" s="2"/>
      <c r="I994" s="2"/>
      <c r="J994" s="2"/>
      <c r="K994" s="2"/>
    </row>
    <row r="995">
      <c r="A995" s="17"/>
      <c r="B995" s="17"/>
      <c r="C995" s="17"/>
      <c r="D995" s="17"/>
      <c r="E995" s="17"/>
      <c r="F995" s="17"/>
      <c r="G995" s="2"/>
      <c r="H995" s="2"/>
      <c r="I995" s="2"/>
      <c r="J995" s="2"/>
      <c r="K995" s="2"/>
    </row>
    <row r="996">
      <c r="A996" s="17"/>
      <c r="B996" s="17"/>
      <c r="C996" s="17"/>
      <c r="D996" s="17"/>
      <c r="E996" s="17"/>
      <c r="F996" s="17"/>
      <c r="G996" s="2"/>
      <c r="H996" s="2"/>
      <c r="I996" s="2"/>
      <c r="J996" s="2"/>
      <c r="K996" s="2"/>
    </row>
    <row r="997">
      <c r="A997" s="17"/>
      <c r="B997" s="17"/>
      <c r="C997" s="17"/>
      <c r="D997" s="17"/>
      <c r="E997" s="17"/>
      <c r="F997" s="17"/>
      <c r="G997" s="2"/>
      <c r="H997" s="2"/>
      <c r="I997" s="2"/>
      <c r="J997" s="2"/>
      <c r="K997" s="2"/>
    </row>
    <row r="998">
      <c r="A998" s="17"/>
      <c r="B998" s="17"/>
      <c r="C998" s="17"/>
      <c r="D998" s="17"/>
      <c r="E998" s="17"/>
      <c r="F998" s="17"/>
      <c r="G998" s="2"/>
      <c r="H998" s="2"/>
      <c r="I998" s="2"/>
      <c r="J998" s="2"/>
      <c r="K998" s="2"/>
    </row>
    <row r="999">
      <c r="A999" s="17"/>
      <c r="B999" s="17"/>
      <c r="C999" s="17"/>
      <c r="D999" s="17"/>
      <c r="E999" s="17"/>
      <c r="F999" s="17"/>
      <c r="G999" s="2"/>
      <c r="H999" s="2"/>
      <c r="I999" s="2"/>
      <c r="J999" s="2"/>
      <c r="K999" s="2"/>
    </row>
    <row r="1000">
      <c r="A1000" s="17"/>
      <c r="B1000" s="17"/>
      <c r="C1000" s="17"/>
      <c r="D1000" s="17"/>
      <c r="E1000" s="17"/>
      <c r="F1000" s="17"/>
      <c r="G1000" s="2"/>
      <c r="H1000" s="2"/>
      <c r="I1000" s="2"/>
      <c r="J1000" s="2"/>
      <c r="K1000" s="2"/>
    </row>
  </sheetData>
  <mergeCells count="6">
    <mergeCell ref="A1:K1"/>
    <mergeCell ref="A3:F3"/>
    <mergeCell ref="A4:E4"/>
    <mergeCell ref="A6:F6"/>
    <mergeCell ref="A7:E7"/>
    <mergeCell ref="A8:E8"/>
  </mergeCells>
  <conditionalFormatting sqref="A11:F15">
    <cfRule type="expression" dxfId="0" priority="1">
      <formula>ISEVEN(ROW())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88"/>
    <col customWidth="1" min="5" max="5" width="18.75"/>
    <col customWidth="1" min="7" max="7" width="16.5"/>
    <col customWidth="1" min="8" max="8" width="20.75"/>
    <col customWidth="1" min="9" max="9" width="4.88"/>
    <col customWidth="1" min="12" max="12" width="4.0"/>
    <col customWidth="1" min="16" max="16" width="4.88"/>
    <col customWidth="1" min="17" max="17" width="14.38"/>
    <col customWidth="1" min="18" max="18" width="11.63"/>
  </cols>
  <sheetData>
    <row r="1">
      <c r="A1" s="18"/>
      <c r="B1" s="19" t="s">
        <v>6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21"/>
      <c r="B2" s="22"/>
      <c r="C2" s="23"/>
      <c r="D2" s="24"/>
      <c r="E2" s="24"/>
      <c r="F2" s="24"/>
      <c r="G2" s="24"/>
      <c r="H2" s="24"/>
      <c r="I2" s="25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>
      <c r="A3" s="26"/>
      <c r="B3" s="27"/>
      <c r="C3" s="28" t="s">
        <v>7</v>
      </c>
      <c r="E3" s="29" t="str">
        <f>CONCATENATE(
  TEXT(
    COUNTIF(
      'BASE OS'!A:A,
      "*-"&amp;TEXT(YEAR(TODAY()),"0000")
    )+1,
    "000"
  ),
  "-",
  TEXT(YEAR(TODAY()),"0000")
)</f>
        <v>001-2025</v>
      </c>
      <c r="F3" s="30"/>
      <c r="G3" s="31" t="s">
        <v>8</v>
      </c>
      <c r="H3" s="5"/>
      <c r="I3" s="32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26"/>
      <c r="B4" s="27"/>
      <c r="C4" s="33"/>
      <c r="D4" s="34"/>
      <c r="E4" s="35"/>
      <c r="F4" s="30"/>
      <c r="G4" s="36"/>
      <c r="H4" s="37"/>
      <c r="I4" s="32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>
      <c r="A5" s="26"/>
      <c r="B5" s="27"/>
      <c r="C5" s="28" t="s">
        <v>9</v>
      </c>
      <c r="E5" s="38" t="s">
        <v>10</v>
      </c>
      <c r="F5" s="39"/>
      <c r="G5" s="40" t="s">
        <v>11</v>
      </c>
      <c r="H5" s="41" t="str">
        <f>E3</f>
        <v>001-2025</v>
      </c>
      <c r="I5" s="32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>
      <c r="A6" s="21"/>
      <c r="B6" s="22"/>
      <c r="C6" s="33"/>
      <c r="D6" s="34"/>
      <c r="E6" s="35"/>
      <c r="F6" s="30"/>
      <c r="G6" s="42" t="s">
        <v>12</v>
      </c>
      <c r="H6" s="41" t="str">
        <f>E5</f>
        <v>TRANSTAINER</v>
      </c>
      <c r="I6" s="25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26"/>
      <c r="B7" s="27"/>
      <c r="C7" s="28" t="s">
        <v>13</v>
      </c>
      <c r="E7" s="43" t="s">
        <v>14</v>
      </c>
      <c r="F7" s="30"/>
      <c r="G7" s="42" t="s">
        <v>15</v>
      </c>
      <c r="H7" s="41" t="str">
        <f>E7</f>
        <v>N/A</v>
      </c>
      <c r="I7" s="32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>
      <c r="A8" s="26"/>
      <c r="B8" s="27"/>
      <c r="C8" s="44"/>
      <c r="D8" s="45"/>
      <c r="E8" s="35"/>
      <c r="F8" s="30"/>
      <c r="G8" s="42" t="s">
        <v>16</v>
      </c>
      <c r="H8" s="46" t="str">
        <f>E9</f>
        <v>4-16283</v>
      </c>
      <c r="I8" s="32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>
      <c r="A9" s="21"/>
      <c r="B9" s="22"/>
      <c r="C9" s="28" t="s">
        <v>17</v>
      </c>
      <c r="E9" s="47" t="s">
        <v>18</v>
      </c>
      <c r="F9" s="30"/>
      <c r="G9" s="42" t="s">
        <v>19</v>
      </c>
      <c r="H9" s="41" t="str">
        <f>E11</f>
        <v>GLENDA CAÑAS</v>
      </c>
      <c r="I9" s="25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>
      <c r="A10" s="26"/>
      <c r="B10" s="27"/>
      <c r="C10" s="34"/>
      <c r="D10" s="34"/>
      <c r="E10" s="48"/>
      <c r="F10" s="34"/>
      <c r="G10" s="42" t="s">
        <v>20</v>
      </c>
      <c r="H10" s="41" t="str">
        <f>E13</f>
        <v>146-25382</v>
      </c>
      <c r="I10" s="32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26"/>
      <c r="B11" s="27"/>
      <c r="C11" s="28" t="s">
        <v>21</v>
      </c>
      <c r="E11" s="38" t="s">
        <v>22</v>
      </c>
      <c r="F11" s="34"/>
      <c r="G11" s="42" t="s">
        <v>23</v>
      </c>
      <c r="H11" s="49">
        <f>E15</f>
        <v>45621</v>
      </c>
      <c r="I11" s="32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>
      <c r="A12" s="26"/>
      <c r="B12" s="27"/>
      <c r="C12" s="44"/>
      <c r="D12" s="45"/>
      <c r="E12" s="50"/>
      <c r="F12" s="34"/>
      <c r="G12" s="51"/>
      <c r="H12" s="41"/>
      <c r="I12" s="32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>
      <c r="A13" s="26"/>
      <c r="B13" s="27"/>
      <c r="C13" s="28" t="s">
        <v>24</v>
      </c>
      <c r="E13" s="52" t="s">
        <v>25</v>
      </c>
      <c r="F13" s="34"/>
      <c r="G13" s="53"/>
      <c r="H13" s="37"/>
      <c r="I13" s="32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>
      <c r="A14" s="26"/>
      <c r="B14" s="27"/>
      <c r="C14" s="44"/>
      <c r="D14" s="45"/>
      <c r="E14" s="48"/>
      <c r="F14" s="34"/>
      <c r="G14" s="53"/>
      <c r="H14" s="37"/>
      <c r="I14" s="32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26"/>
      <c r="B15" s="27"/>
      <c r="C15" s="28" t="s">
        <v>26</v>
      </c>
      <c r="E15" s="54">
        <v>45621.0</v>
      </c>
      <c r="F15" s="34"/>
      <c r="G15" s="55"/>
      <c r="H15" s="56"/>
      <c r="I15" s="32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26"/>
      <c r="B16" s="27"/>
      <c r="C16" s="34"/>
      <c r="D16" s="34"/>
      <c r="E16" s="34"/>
      <c r="F16" s="34"/>
      <c r="G16" s="34"/>
      <c r="H16" s="34"/>
      <c r="I16" s="32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26"/>
      <c r="B17" s="27"/>
      <c r="C17" s="34"/>
      <c r="D17" s="34"/>
      <c r="E17" s="34"/>
      <c r="F17" s="34"/>
      <c r="G17" s="34"/>
      <c r="H17" s="34"/>
      <c r="I17" s="32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26"/>
      <c r="B18" s="27"/>
      <c r="C18" s="34"/>
      <c r="D18" s="34"/>
      <c r="E18" s="34"/>
      <c r="F18" s="34"/>
      <c r="G18" s="34"/>
      <c r="H18" s="34"/>
      <c r="I18" s="32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>
      <c r="A19" s="26"/>
      <c r="B19" s="57"/>
      <c r="C19" s="58"/>
      <c r="D19" s="58"/>
      <c r="E19" s="58"/>
      <c r="F19" s="58"/>
      <c r="G19" s="58"/>
      <c r="H19" s="58"/>
      <c r="I19" s="5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>
      <c r="A20" s="26"/>
      <c r="B20" s="26"/>
      <c r="C20" s="26"/>
      <c r="D20" s="26"/>
      <c r="E20" s="26"/>
      <c r="F20" s="26"/>
      <c r="G20" s="26"/>
      <c r="H20" s="20"/>
      <c r="I20" s="26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26"/>
      <c r="B21" s="26"/>
      <c r="C21" s="26"/>
      <c r="D21" s="26"/>
      <c r="E21" s="26"/>
      <c r="F21" s="26"/>
      <c r="G21" s="26"/>
      <c r="H21" s="20"/>
      <c r="I21" s="26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</row>
  </sheetData>
  <mergeCells count="9">
    <mergeCell ref="C13:D13"/>
    <mergeCell ref="C15:D15"/>
    <mergeCell ref="B1:I1"/>
    <mergeCell ref="C3:D3"/>
    <mergeCell ref="G3:H3"/>
    <mergeCell ref="C5:D5"/>
    <mergeCell ref="C7:D7"/>
    <mergeCell ref="C9:D9"/>
    <mergeCell ref="C11:D11"/>
  </mergeCells>
  <dataValidations>
    <dataValidation type="list" allowBlank="1" showErrorMessage="1" sqref="E5">
      <formula1>ListaDatos[Clientes]</formula1>
    </dataValidation>
    <dataValidation type="list" allowBlank="1" showErrorMessage="1" sqref="E11">
      <formula1>ListaDatos[Aforadores]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5"/>
    <col customWidth="1" min="3" max="3" width="13.63"/>
    <col customWidth="1" min="4" max="4" width="17.5"/>
    <col customWidth="1" min="5" max="5" width="14.0"/>
    <col customWidth="1" min="6" max="6" width="16.88"/>
  </cols>
  <sheetData>
    <row r="1" ht="36.0" customHeight="1">
      <c r="A1" s="60" t="s">
        <v>27</v>
      </c>
      <c r="B1" s="60" t="s">
        <v>28</v>
      </c>
      <c r="C1" s="60" t="s">
        <v>29</v>
      </c>
      <c r="D1" s="61" t="s">
        <v>30</v>
      </c>
      <c r="E1" s="60" t="s">
        <v>31</v>
      </c>
      <c r="F1" s="60" t="s">
        <v>32</v>
      </c>
      <c r="G1" s="60" t="s">
        <v>33</v>
      </c>
      <c r="H1" s="60" t="s">
        <v>34</v>
      </c>
      <c r="I1" s="60" t="s">
        <v>35</v>
      </c>
    </row>
    <row r="2">
      <c r="A2" s="62" t="s">
        <v>36</v>
      </c>
      <c r="B2" s="62" t="s">
        <v>37</v>
      </c>
      <c r="C2" s="62" t="s">
        <v>14</v>
      </c>
      <c r="D2" s="63" t="s">
        <v>38</v>
      </c>
      <c r="E2" s="62" t="s">
        <v>39</v>
      </c>
      <c r="F2" s="62" t="s">
        <v>40</v>
      </c>
      <c r="G2" s="64">
        <v>45606.0</v>
      </c>
      <c r="H2" s="62" t="s">
        <v>41</v>
      </c>
      <c r="I2" s="62" t="s">
        <v>42</v>
      </c>
      <c r="J2" s="65"/>
      <c r="K2" s="65"/>
    </row>
    <row r="3">
      <c r="A3" s="62" t="s">
        <v>43</v>
      </c>
      <c r="B3" s="62" t="s">
        <v>44</v>
      </c>
      <c r="C3" s="62" t="s">
        <v>14</v>
      </c>
      <c r="D3" s="63" t="s">
        <v>45</v>
      </c>
      <c r="E3" s="62" t="s">
        <v>39</v>
      </c>
      <c r="F3" s="62" t="s">
        <v>40</v>
      </c>
      <c r="G3" s="64">
        <v>45606.0</v>
      </c>
      <c r="H3" s="62" t="s">
        <v>41</v>
      </c>
      <c r="I3" s="62" t="s">
        <v>42</v>
      </c>
      <c r="J3" s="65"/>
      <c r="K3" s="65"/>
    </row>
    <row r="4">
      <c r="A4" s="62" t="s">
        <v>46</v>
      </c>
      <c r="B4" s="62" t="s">
        <v>47</v>
      </c>
      <c r="C4" s="62" t="s">
        <v>14</v>
      </c>
      <c r="D4" s="63" t="s">
        <v>48</v>
      </c>
      <c r="E4" s="62" t="s">
        <v>22</v>
      </c>
      <c r="F4" s="62" t="s">
        <v>49</v>
      </c>
      <c r="G4" s="64">
        <v>45606.0</v>
      </c>
      <c r="H4" s="62" t="s">
        <v>41</v>
      </c>
      <c r="I4" s="62" t="s">
        <v>42</v>
      </c>
      <c r="J4" s="65"/>
      <c r="K4" s="65"/>
    </row>
    <row r="5">
      <c r="A5" s="62" t="s">
        <v>50</v>
      </c>
      <c r="B5" s="62" t="s">
        <v>51</v>
      </c>
      <c r="C5" s="62" t="s">
        <v>14</v>
      </c>
      <c r="D5" s="63" t="s">
        <v>52</v>
      </c>
      <c r="E5" s="62" t="s">
        <v>53</v>
      </c>
      <c r="F5" s="62" t="s">
        <v>54</v>
      </c>
      <c r="G5" s="64">
        <v>45606.0</v>
      </c>
      <c r="H5" s="62" t="s">
        <v>41</v>
      </c>
      <c r="I5" s="62" t="s">
        <v>55</v>
      </c>
      <c r="J5" s="65"/>
      <c r="K5" s="65"/>
    </row>
    <row r="6">
      <c r="A6" s="62" t="s">
        <v>56</v>
      </c>
      <c r="B6" s="62" t="s">
        <v>57</v>
      </c>
      <c r="C6" s="62" t="s">
        <v>14</v>
      </c>
      <c r="D6" s="63" t="s">
        <v>58</v>
      </c>
      <c r="E6" s="62" t="s">
        <v>59</v>
      </c>
      <c r="F6" s="62" t="s">
        <v>60</v>
      </c>
      <c r="G6" s="64">
        <v>45607.0</v>
      </c>
      <c r="H6" s="62" t="s">
        <v>41</v>
      </c>
      <c r="I6" s="62" t="s">
        <v>55</v>
      </c>
      <c r="J6" s="65"/>
      <c r="K6" s="65"/>
    </row>
    <row r="7">
      <c r="A7" s="62" t="s">
        <v>61</v>
      </c>
      <c r="B7" s="62" t="s">
        <v>62</v>
      </c>
      <c r="C7" s="62" t="s">
        <v>14</v>
      </c>
      <c r="D7" s="63" t="s">
        <v>63</v>
      </c>
      <c r="E7" s="62" t="s">
        <v>22</v>
      </c>
      <c r="F7" s="62" t="s">
        <v>64</v>
      </c>
      <c r="G7" s="64">
        <v>45607.0</v>
      </c>
      <c r="H7" s="62" t="s">
        <v>41</v>
      </c>
      <c r="I7" s="62" t="s">
        <v>55</v>
      </c>
      <c r="J7" s="65"/>
      <c r="K7" s="65"/>
    </row>
    <row r="8">
      <c r="A8" s="62" t="s">
        <v>65</v>
      </c>
      <c r="B8" s="62" t="s">
        <v>57</v>
      </c>
      <c r="C8" s="62" t="s">
        <v>14</v>
      </c>
      <c r="D8" s="63" t="s">
        <v>66</v>
      </c>
      <c r="E8" s="62" t="s">
        <v>59</v>
      </c>
      <c r="F8" s="62" t="s">
        <v>67</v>
      </c>
      <c r="G8" s="64">
        <v>45608.0</v>
      </c>
      <c r="H8" s="62" t="s">
        <v>41</v>
      </c>
      <c r="I8" s="62" t="s">
        <v>55</v>
      </c>
      <c r="J8" s="65"/>
      <c r="K8" s="65"/>
    </row>
    <row r="9">
      <c r="A9" s="62" t="s">
        <v>68</v>
      </c>
      <c r="B9" s="62" t="s">
        <v>69</v>
      </c>
      <c r="C9" s="62" t="s">
        <v>14</v>
      </c>
      <c r="D9" s="63" t="s">
        <v>70</v>
      </c>
      <c r="E9" s="62" t="s">
        <v>53</v>
      </c>
      <c r="F9" s="62" t="s">
        <v>40</v>
      </c>
      <c r="G9" s="64">
        <v>45609.0</v>
      </c>
      <c r="H9" s="62" t="s">
        <v>41</v>
      </c>
      <c r="I9" s="62" t="s">
        <v>55</v>
      </c>
      <c r="J9" s="65" t="b">
        <v>1</v>
      </c>
      <c r="K9" s="65" t="s">
        <v>71</v>
      </c>
    </row>
    <row r="10">
      <c r="A10" s="62"/>
      <c r="B10" s="62"/>
      <c r="C10" s="62"/>
      <c r="D10" s="63"/>
      <c r="E10" s="62"/>
      <c r="F10" s="62"/>
      <c r="G10" s="64"/>
      <c r="H10" s="62"/>
      <c r="I10" s="62"/>
    </row>
    <row r="11">
      <c r="A11" s="62"/>
      <c r="B11" s="62"/>
      <c r="C11" s="62"/>
      <c r="D11" s="63"/>
      <c r="E11" s="62"/>
      <c r="F11" s="62"/>
      <c r="G11" s="64"/>
      <c r="H11" s="62"/>
      <c r="I11" s="62"/>
    </row>
    <row r="12">
      <c r="A12" s="62"/>
      <c r="B12" s="62"/>
      <c r="C12" s="62"/>
      <c r="D12" s="63"/>
      <c r="E12" s="62"/>
      <c r="F12" s="62"/>
      <c r="G12" s="64"/>
      <c r="H12" s="62"/>
      <c r="I12" s="62"/>
    </row>
    <row r="13">
      <c r="A13" s="62"/>
      <c r="B13" s="62"/>
      <c r="C13" s="62"/>
      <c r="D13" s="63"/>
      <c r="E13" s="62"/>
      <c r="F13" s="62"/>
      <c r="G13" s="64"/>
      <c r="H13" s="62"/>
      <c r="I13" s="62"/>
    </row>
    <row r="14">
      <c r="A14" s="62"/>
      <c r="B14" s="62"/>
      <c r="C14" s="62"/>
      <c r="D14" s="63"/>
      <c r="E14" s="62"/>
      <c r="F14" s="62"/>
      <c r="G14" s="64"/>
      <c r="H14" s="62"/>
      <c r="I14" s="62"/>
    </row>
    <row r="15">
      <c r="A15" s="62"/>
      <c r="B15" s="62"/>
      <c r="C15" s="62"/>
      <c r="D15" s="63"/>
      <c r="E15" s="62"/>
      <c r="F15" s="62"/>
      <c r="G15" s="64"/>
      <c r="H15" s="62"/>
      <c r="I15" s="62"/>
    </row>
    <row r="16">
      <c r="A16" s="62"/>
      <c r="B16" s="62"/>
      <c r="C16" s="62"/>
      <c r="D16" s="63"/>
      <c r="E16" s="62"/>
      <c r="F16" s="62"/>
      <c r="G16" s="64"/>
      <c r="H16" s="62"/>
      <c r="I16" s="62"/>
    </row>
    <row r="17">
      <c r="A17" s="62"/>
      <c r="B17" s="62"/>
      <c r="C17" s="62"/>
      <c r="D17" s="63"/>
      <c r="E17" s="62"/>
      <c r="F17" s="62"/>
      <c r="G17" s="64"/>
      <c r="H17" s="62"/>
      <c r="I17" s="62"/>
    </row>
    <row r="18">
      <c r="A18" s="62"/>
      <c r="B18" s="62"/>
      <c r="C18" s="62"/>
      <c r="D18" s="63"/>
      <c r="E18" s="62"/>
      <c r="F18" s="62"/>
      <c r="G18" s="64"/>
      <c r="H18" s="62"/>
      <c r="I18" s="62"/>
    </row>
    <row r="19">
      <c r="A19" s="62"/>
      <c r="B19" s="62"/>
      <c r="C19" s="62"/>
      <c r="D19" s="63"/>
      <c r="E19" s="62"/>
      <c r="F19" s="62"/>
      <c r="G19" s="64"/>
      <c r="H19" s="62"/>
      <c r="I19" s="62"/>
    </row>
    <row r="20">
      <c r="A20" s="62"/>
      <c r="B20" s="62"/>
      <c r="C20" s="62"/>
      <c r="D20" s="63"/>
      <c r="E20" s="62"/>
      <c r="F20" s="62"/>
      <c r="G20" s="64"/>
      <c r="H20" s="62"/>
      <c r="I20" s="62"/>
      <c r="M20" s="65"/>
      <c r="N20" s="65"/>
    </row>
    <row r="21">
      <c r="A21" s="62"/>
      <c r="B21" s="62"/>
      <c r="C21" s="62"/>
      <c r="D21" s="63"/>
      <c r="E21" s="62"/>
      <c r="F21" s="62"/>
      <c r="G21" s="64"/>
      <c r="H21" s="62"/>
      <c r="I21" s="62"/>
    </row>
    <row r="22">
      <c r="A22" s="62"/>
      <c r="B22" s="62"/>
      <c r="C22" s="62"/>
      <c r="D22" s="63"/>
      <c r="E22" s="62"/>
      <c r="F22" s="62"/>
      <c r="G22" s="64"/>
      <c r="H22" s="62"/>
      <c r="I22" s="62"/>
    </row>
    <row r="23">
      <c r="A23" s="62"/>
      <c r="B23" s="62"/>
      <c r="C23" s="62"/>
      <c r="D23" s="63"/>
      <c r="E23" s="62"/>
      <c r="F23" s="62"/>
      <c r="G23" s="64"/>
      <c r="H23" s="62"/>
      <c r="I23" s="62"/>
      <c r="N23" s="66"/>
    </row>
    <row r="24">
      <c r="A24" s="62"/>
      <c r="B24" s="62"/>
      <c r="C24" s="62"/>
      <c r="D24" s="63"/>
      <c r="E24" s="62"/>
      <c r="F24" s="62"/>
      <c r="G24" s="64"/>
      <c r="H24" s="62"/>
      <c r="I24" s="62"/>
      <c r="N24" s="66"/>
    </row>
    <row r="25">
      <c r="A25" s="62"/>
      <c r="B25" s="62"/>
      <c r="C25" s="62"/>
      <c r="D25" s="63"/>
      <c r="E25" s="62"/>
      <c r="F25" s="62"/>
      <c r="G25" s="64"/>
      <c r="H25" s="62"/>
      <c r="I25" s="62"/>
    </row>
    <row r="26">
      <c r="A26" s="62"/>
      <c r="B26" s="62"/>
      <c r="C26" s="62"/>
      <c r="D26" s="63"/>
      <c r="E26" s="62"/>
      <c r="F26" s="62"/>
      <c r="G26" s="64"/>
      <c r="H26" s="62"/>
      <c r="I26" s="62"/>
    </row>
    <row r="27">
      <c r="A27" s="62"/>
      <c r="B27" s="62"/>
      <c r="C27" s="62"/>
      <c r="D27" s="63"/>
      <c r="E27" s="62"/>
      <c r="F27" s="62"/>
      <c r="G27" s="64"/>
      <c r="H27" s="62"/>
      <c r="I27" s="62"/>
    </row>
    <row r="28">
      <c r="A28" s="62"/>
      <c r="B28" s="62"/>
      <c r="C28" s="62"/>
      <c r="D28" s="63"/>
      <c r="E28" s="62"/>
      <c r="F28" s="62"/>
      <c r="G28" s="64"/>
      <c r="H28" s="62"/>
      <c r="I28" s="62"/>
      <c r="J28" s="65"/>
      <c r="K28" s="67"/>
    </row>
    <row r="29">
      <c r="A29" s="62"/>
      <c r="B29" s="62"/>
      <c r="C29" s="62"/>
      <c r="D29" s="63"/>
      <c r="E29" s="62"/>
      <c r="F29" s="62"/>
      <c r="G29" s="64"/>
      <c r="H29" s="62"/>
      <c r="I29" s="62"/>
      <c r="J29" s="65"/>
      <c r="K29" s="67"/>
    </row>
    <row r="30">
      <c r="A30" s="62"/>
      <c r="B30" s="62"/>
      <c r="C30" s="62"/>
      <c r="D30" s="63"/>
      <c r="E30" s="62"/>
      <c r="F30" s="62"/>
      <c r="G30" s="64"/>
      <c r="H30" s="62"/>
      <c r="I30" s="62"/>
      <c r="J30" s="65"/>
      <c r="K30" s="67"/>
    </row>
    <row r="31">
      <c r="A31" s="62"/>
      <c r="B31" s="62"/>
      <c r="C31" s="62"/>
      <c r="D31" s="63"/>
      <c r="E31" s="62"/>
      <c r="F31" s="62"/>
      <c r="G31" s="64"/>
      <c r="H31" s="62"/>
      <c r="I31" s="62"/>
      <c r="K31" s="67"/>
    </row>
    <row r="32">
      <c r="A32" s="62"/>
      <c r="B32" s="62"/>
      <c r="C32" s="62"/>
      <c r="D32" s="63"/>
      <c r="E32" s="62"/>
      <c r="F32" s="62"/>
      <c r="G32" s="64"/>
      <c r="H32" s="62"/>
      <c r="I32" s="62"/>
      <c r="K32" s="67"/>
    </row>
    <row r="33">
      <c r="A33" s="62"/>
      <c r="B33" s="62"/>
      <c r="C33" s="62"/>
      <c r="D33" s="63"/>
      <c r="E33" s="62"/>
      <c r="F33" s="62"/>
      <c r="G33" s="64"/>
      <c r="H33" s="62"/>
      <c r="I33" s="62"/>
      <c r="K33" s="67"/>
    </row>
    <row r="34">
      <c r="A34" s="62"/>
      <c r="B34" s="62"/>
      <c r="C34" s="62"/>
      <c r="D34" s="63"/>
      <c r="E34" s="62"/>
      <c r="F34" s="62"/>
      <c r="G34" s="64"/>
      <c r="H34" s="62"/>
      <c r="I34" s="62"/>
      <c r="K34" s="67"/>
    </row>
    <row r="35">
      <c r="A35" s="62"/>
      <c r="B35" s="62"/>
      <c r="C35" s="62"/>
      <c r="D35" s="63"/>
      <c r="E35" s="62"/>
      <c r="F35" s="62"/>
      <c r="G35" s="64"/>
      <c r="H35" s="62"/>
      <c r="I35" s="62"/>
      <c r="K35" s="67"/>
    </row>
    <row r="36">
      <c r="A36" s="62"/>
      <c r="B36" s="62"/>
      <c r="C36" s="62"/>
      <c r="D36" s="63"/>
      <c r="E36" s="62"/>
      <c r="F36" s="62"/>
      <c r="G36" s="64"/>
      <c r="H36" s="62"/>
      <c r="I36" s="62"/>
      <c r="K36" s="67"/>
    </row>
    <row r="37">
      <c r="A37" s="62"/>
      <c r="B37" s="62"/>
      <c r="C37" s="62"/>
      <c r="D37" s="63"/>
      <c r="E37" s="62"/>
      <c r="F37" s="62"/>
      <c r="G37" s="64"/>
      <c r="H37" s="62"/>
      <c r="I37" s="62"/>
      <c r="K37" s="67"/>
    </row>
    <row r="38">
      <c r="A38" s="62"/>
      <c r="B38" s="62"/>
      <c r="C38" s="62"/>
      <c r="D38" s="63"/>
      <c r="E38" s="62"/>
      <c r="F38" s="62"/>
      <c r="G38" s="64"/>
      <c r="H38" s="62"/>
      <c r="I38" s="62"/>
    </row>
    <row r="39">
      <c r="A39" s="62"/>
      <c r="B39" s="62"/>
      <c r="C39" s="62"/>
      <c r="D39" s="63"/>
      <c r="E39" s="62"/>
      <c r="F39" s="62"/>
      <c r="G39" s="64"/>
      <c r="H39" s="62"/>
      <c r="I39" s="62"/>
    </row>
    <row r="40">
      <c r="A40" s="62"/>
      <c r="B40" s="62"/>
      <c r="C40" s="62"/>
      <c r="D40" s="63"/>
      <c r="E40" s="62"/>
      <c r="F40" s="62"/>
      <c r="G40" s="64"/>
      <c r="H40" s="62"/>
      <c r="I40" s="62"/>
      <c r="K40" s="67"/>
    </row>
    <row r="41">
      <c r="A41" s="62"/>
      <c r="B41" s="62"/>
      <c r="C41" s="62"/>
      <c r="D41" s="63"/>
      <c r="E41" s="62"/>
      <c r="F41" s="62"/>
      <c r="G41" s="64"/>
      <c r="H41" s="62"/>
      <c r="I41" s="62"/>
    </row>
    <row r="42">
      <c r="A42" s="62"/>
      <c r="B42" s="62"/>
      <c r="C42" s="62"/>
      <c r="D42" s="63"/>
      <c r="E42" s="62"/>
      <c r="F42" s="62"/>
      <c r="G42" s="64"/>
      <c r="H42" s="62"/>
      <c r="I42" s="62"/>
    </row>
    <row r="43">
      <c r="A43" s="62"/>
      <c r="B43" s="62"/>
      <c r="C43" s="62"/>
      <c r="D43" s="63"/>
      <c r="E43" s="62"/>
      <c r="F43" s="62"/>
      <c r="G43" s="64"/>
      <c r="H43" s="62"/>
      <c r="I43" s="62"/>
    </row>
    <row r="44">
      <c r="A44" s="62"/>
      <c r="B44" s="62"/>
      <c r="C44" s="62"/>
      <c r="D44" s="63"/>
      <c r="E44" s="62"/>
      <c r="F44" s="62"/>
      <c r="G44" s="64"/>
      <c r="H44" s="62"/>
      <c r="I44" s="62"/>
    </row>
    <row r="45">
      <c r="A45" s="62"/>
      <c r="B45" s="62"/>
      <c r="C45" s="62"/>
      <c r="D45" s="63"/>
      <c r="E45" s="62"/>
      <c r="F45" s="62"/>
      <c r="G45" s="64"/>
      <c r="H45" s="62"/>
      <c r="I45" s="62"/>
    </row>
    <row r="46">
      <c r="A46" s="62"/>
      <c r="B46" s="62"/>
      <c r="C46" s="62"/>
      <c r="D46" s="63"/>
      <c r="E46" s="62"/>
      <c r="F46" s="62"/>
      <c r="G46" s="64"/>
      <c r="H46" s="62"/>
      <c r="I46" s="62"/>
    </row>
    <row r="47">
      <c r="A47" s="62"/>
      <c r="B47" s="62"/>
      <c r="C47" s="62"/>
      <c r="D47" s="63"/>
      <c r="E47" s="62"/>
      <c r="F47" s="62"/>
      <c r="G47" s="64"/>
      <c r="H47" s="62"/>
      <c r="I47" s="62"/>
    </row>
    <row r="48">
      <c r="A48" s="62"/>
      <c r="B48" s="62"/>
      <c r="C48" s="62"/>
      <c r="D48" s="63"/>
      <c r="E48" s="62"/>
      <c r="F48" s="62"/>
      <c r="G48" s="64"/>
      <c r="H48" s="62"/>
      <c r="I48" s="62"/>
    </row>
    <row r="49">
      <c r="A49" s="62"/>
      <c r="B49" s="62"/>
      <c r="C49" s="62"/>
      <c r="D49" s="63"/>
      <c r="E49" s="62"/>
      <c r="F49" s="62"/>
      <c r="G49" s="64"/>
      <c r="H49" s="62"/>
      <c r="I49" s="62"/>
      <c r="J49" s="65"/>
      <c r="K49" s="65"/>
    </row>
    <row r="50">
      <c r="A50" s="62"/>
      <c r="B50" s="62"/>
      <c r="C50" s="62"/>
      <c r="D50" s="63"/>
      <c r="E50" s="62"/>
      <c r="F50" s="62"/>
      <c r="G50" s="64"/>
      <c r="H50" s="62"/>
      <c r="I50" s="62"/>
      <c r="J50" s="65"/>
      <c r="K50" s="65"/>
    </row>
    <row r="51">
      <c r="A51" s="62"/>
      <c r="B51" s="62"/>
      <c r="C51" s="62"/>
      <c r="D51" s="63"/>
      <c r="E51" s="62"/>
      <c r="F51" s="62"/>
      <c r="G51" s="64"/>
      <c r="H51" s="62"/>
      <c r="I51" s="62"/>
      <c r="J51" s="65"/>
      <c r="K51" s="65"/>
    </row>
    <row r="52">
      <c r="A52" s="62"/>
      <c r="B52" s="62"/>
      <c r="C52" s="62"/>
      <c r="D52" s="63"/>
      <c r="E52" s="62"/>
      <c r="F52" s="62"/>
      <c r="G52" s="64"/>
      <c r="H52" s="62"/>
      <c r="I52" s="62"/>
      <c r="J52" s="65"/>
      <c r="K52" s="65"/>
    </row>
    <row r="53">
      <c r="A53" s="62"/>
      <c r="B53" s="62"/>
      <c r="C53" s="62"/>
      <c r="D53" s="63"/>
      <c r="E53" s="62"/>
      <c r="F53" s="62"/>
      <c r="G53" s="64"/>
      <c r="H53" s="62"/>
      <c r="I53" s="62"/>
      <c r="J53" s="65"/>
      <c r="K53" s="65"/>
    </row>
    <row r="54">
      <c r="A54" s="62"/>
      <c r="B54" s="62"/>
      <c r="C54" s="62"/>
      <c r="D54" s="63"/>
      <c r="E54" s="62"/>
      <c r="F54" s="62"/>
      <c r="G54" s="64"/>
      <c r="H54" s="62"/>
      <c r="I54" s="62"/>
      <c r="J54" s="65"/>
      <c r="K54" s="65"/>
    </row>
    <row r="55">
      <c r="A55" s="62"/>
      <c r="B55" s="62"/>
      <c r="C55" s="62"/>
      <c r="D55" s="63"/>
      <c r="E55" s="62"/>
      <c r="F55" s="62"/>
      <c r="G55" s="64"/>
      <c r="H55" s="62"/>
      <c r="I55" s="62"/>
      <c r="J55" s="65"/>
      <c r="K55" s="65"/>
    </row>
    <row r="56">
      <c r="A56" s="62"/>
      <c r="B56" s="62"/>
      <c r="C56" s="62"/>
      <c r="D56" s="63"/>
      <c r="E56" s="62"/>
      <c r="F56" s="62"/>
      <c r="G56" s="64"/>
      <c r="H56" s="62"/>
      <c r="I56" s="62"/>
      <c r="J56" s="65"/>
      <c r="K56" s="65"/>
    </row>
    <row r="57">
      <c r="A57" s="62"/>
      <c r="B57" s="62"/>
      <c r="C57" s="62"/>
      <c r="D57" s="63"/>
      <c r="E57" s="62"/>
      <c r="F57" s="62"/>
      <c r="G57" s="64"/>
      <c r="H57" s="62"/>
      <c r="I57" s="62"/>
    </row>
    <row r="58">
      <c r="A58" s="62"/>
      <c r="B58" s="62"/>
      <c r="C58" s="62"/>
      <c r="D58" s="63"/>
      <c r="E58" s="62"/>
      <c r="F58" s="62"/>
      <c r="G58" s="64"/>
      <c r="H58" s="62"/>
      <c r="I58" s="62"/>
    </row>
    <row r="59">
      <c r="A59" s="15"/>
      <c r="B59" s="15"/>
      <c r="C59" s="15"/>
      <c r="D59" s="63"/>
      <c r="E59" s="15"/>
      <c r="F59" s="15"/>
      <c r="G59" s="16"/>
      <c r="H59" s="15"/>
      <c r="I59" s="15"/>
    </row>
    <row r="60">
      <c r="A60" s="15"/>
      <c r="B60" s="15"/>
      <c r="C60" s="15"/>
      <c r="D60" s="63"/>
      <c r="E60" s="15"/>
      <c r="F60" s="15"/>
      <c r="G60" s="16"/>
      <c r="H60" s="15"/>
      <c r="I60" s="15"/>
    </row>
    <row r="61">
      <c r="A61" s="15"/>
      <c r="B61" s="15"/>
      <c r="C61" s="15"/>
      <c r="D61" s="63"/>
      <c r="E61" s="15"/>
      <c r="F61" s="15"/>
      <c r="G61" s="16"/>
      <c r="H61" s="15"/>
      <c r="I61" s="15"/>
    </row>
    <row r="62">
      <c r="A62" s="15"/>
      <c r="B62" s="15"/>
      <c r="C62" s="15"/>
      <c r="D62" s="63"/>
      <c r="E62" s="15"/>
      <c r="F62" s="15"/>
      <c r="G62" s="16"/>
      <c r="H62" s="15"/>
      <c r="I62" s="15"/>
    </row>
    <row r="63">
      <c r="A63" s="15"/>
      <c r="B63" s="15"/>
      <c r="C63" s="15"/>
      <c r="D63" s="63"/>
      <c r="E63" s="15"/>
      <c r="F63" s="15"/>
      <c r="G63" s="16"/>
      <c r="H63" s="15"/>
      <c r="I63" s="15"/>
    </row>
    <row r="64">
      <c r="A64" s="15"/>
      <c r="B64" s="15"/>
      <c r="C64" s="15"/>
      <c r="D64" s="63"/>
      <c r="E64" s="15"/>
      <c r="F64" s="15"/>
      <c r="G64" s="16"/>
      <c r="H64" s="15"/>
      <c r="I64" s="15"/>
    </row>
    <row r="65">
      <c r="A65" s="15"/>
      <c r="B65" s="15"/>
      <c r="C65" s="15"/>
      <c r="D65" s="63"/>
      <c r="E65" s="15"/>
      <c r="F65" s="15"/>
      <c r="G65" s="16"/>
      <c r="H65" s="15"/>
      <c r="I65" s="15"/>
    </row>
    <row r="66">
      <c r="A66" s="15"/>
      <c r="B66" s="15"/>
      <c r="C66" s="15"/>
      <c r="D66" s="63"/>
      <c r="E66" s="15"/>
      <c r="F66" s="15"/>
      <c r="G66" s="16"/>
      <c r="H66" s="15"/>
      <c r="I66" s="15"/>
    </row>
    <row r="67">
      <c r="A67" s="15"/>
      <c r="B67" s="15"/>
      <c r="C67" s="15"/>
      <c r="D67" s="63"/>
      <c r="E67" s="15"/>
      <c r="F67" s="15"/>
      <c r="G67" s="16"/>
      <c r="H67" s="15"/>
      <c r="I67" s="15"/>
    </row>
    <row r="68">
      <c r="A68" s="15"/>
      <c r="B68" s="15"/>
      <c r="C68" s="15"/>
      <c r="D68" s="63"/>
      <c r="E68" s="15"/>
      <c r="F68" s="15"/>
      <c r="G68" s="16"/>
      <c r="H68" s="15"/>
      <c r="I68" s="15"/>
    </row>
    <row r="69">
      <c r="A69" s="15"/>
      <c r="B69" s="15"/>
      <c r="C69" s="15"/>
      <c r="D69" s="63"/>
      <c r="E69" s="15"/>
      <c r="F69" s="15"/>
      <c r="G69" s="16"/>
      <c r="H69" s="15"/>
      <c r="I69" s="15"/>
    </row>
    <row r="70">
      <c r="A70" s="15"/>
      <c r="B70" s="15"/>
      <c r="C70" s="15"/>
      <c r="D70" s="63"/>
      <c r="E70" s="15"/>
      <c r="F70" s="15"/>
      <c r="G70" s="16"/>
      <c r="H70" s="15"/>
      <c r="I70" s="15"/>
    </row>
    <row r="71">
      <c r="A71" s="15"/>
      <c r="B71" s="15"/>
      <c r="C71" s="15"/>
      <c r="D71" s="63"/>
      <c r="E71" s="15"/>
      <c r="F71" s="15"/>
      <c r="G71" s="16"/>
      <c r="H71" s="15"/>
      <c r="I71" s="15"/>
    </row>
    <row r="72">
      <c r="A72" s="15"/>
      <c r="B72" s="15"/>
      <c r="C72" s="15"/>
      <c r="D72" s="63"/>
      <c r="E72" s="15"/>
      <c r="F72" s="15"/>
      <c r="G72" s="16"/>
      <c r="H72" s="15"/>
      <c r="I72" s="15"/>
    </row>
    <row r="73">
      <c r="A73" s="15"/>
      <c r="B73" s="15"/>
      <c r="C73" s="15"/>
      <c r="D73" s="63"/>
      <c r="E73" s="15"/>
      <c r="F73" s="15"/>
      <c r="G73" s="16"/>
      <c r="H73" s="15"/>
      <c r="I73" s="15"/>
    </row>
    <row r="74">
      <c r="A74" s="15"/>
      <c r="B74" s="15"/>
      <c r="C74" s="15"/>
      <c r="D74" s="63"/>
      <c r="E74" s="15"/>
      <c r="F74" s="15"/>
      <c r="G74" s="16"/>
      <c r="H74" s="15"/>
      <c r="I74" s="15"/>
    </row>
    <row r="75">
      <c r="A75" s="15"/>
      <c r="B75" s="15"/>
      <c r="C75" s="15"/>
      <c r="D75" s="63"/>
      <c r="E75" s="15"/>
      <c r="F75" s="15"/>
      <c r="G75" s="16"/>
      <c r="H75" s="15"/>
      <c r="I75" s="15"/>
    </row>
    <row r="76">
      <c r="A76" s="15"/>
      <c r="B76" s="15"/>
      <c r="C76" s="15"/>
      <c r="D76" s="63"/>
      <c r="E76" s="15"/>
      <c r="F76" s="15"/>
      <c r="G76" s="16"/>
      <c r="H76" s="15"/>
      <c r="I76" s="15"/>
    </row>
    <row r="77">
      <c r="A77" s="15"/>
      <c r="B77" s="15"/>
      <c r="C77" s="15"/>
      <c r="D77" s="63"/>
      <c r="E77" s="15"/>
      <c r="F77" s="15"/>
      <c r="G77" s="16"/>
      <c r="H77" s="15"/>
      <c r="I77" s="15"/>
    </row>
    <row r="78">
      <c r="A78" s="15"/>
      <c r="B78" s="15"/>
      <c r="C78" s="15"/>
      <c r="D78" s="63"/>
      <c r="E78" s="15"/>
      <c r="F78" s="15"/>
      <c r="G78" s="16"/>
      <c r="H78" s="15"/>
      <c r="I78" s="15"/>
    </row>
    <row r="79">
      <c r="A79" s="15"/>
      <c r="B79" s="15"/>
      <c r="C79" s="15"/>
      <c r="D79" s="63"/>
      <c r="E79" s="15"/>
      <c r="F79" s="15"/>
      <c r="G79" s="16"/>
      <c r="H79" s="15"/>
      <c r="I79" s="15"/>
    </row>
    <row r="80">
      <c r="A80" s="15"/>
      <c r="B80" s="15"/>
      <c r="C80" s="15"/>
      <c r="D80" s="63"/>
      <c r="E80" s="15"/>
      <c r="F80" s="15"/>
      <c r="G80" s="16"/>
      <c r="H80" s="15"/>
      <c r="I80" s="15"/>
    </row>
    <row r="81">
      <c r="A81" s="15"/>
      <c r="B81" s="15"/>
      <c r="C81" s="15"/>
      <c r="D81" s="63"/>
      <c r="E81" s="15"/>
      <c r="F81" s="15"/>
      <c r="G81" s="16"/>
      <c r="H81" s="15"/>
      <c r="I81" s="15"/>
    </row>
    <row r="82">
      <c r="A82" s="15"/>
      <c r="B82" s="15"/>
      <c r="C82" s="15"/>
      <c r="D82" s="63"/>
      <c r="E82" s="15"/>
      <c r="F82" s="15"/>
      <c r="G82" s="16"/>
      <c r="H82" s="15"/>
      <c r="I82" s="15"/>
    </row>
    <row r="83">
      <c r="A83" s="15"/>
      <c r="B83" s="15"/>
      <c r="C83" s="15"/>
      <c r="D83" s="63"/>
      <c r="E83" s="15"/>
      <c r="F83" s="15"/>
      <c r="G83" s="16"/>
      <c r="H83" s="15"/>
      <c r="I83" s="15"/>
    </row>
    <row r="84">
      <c r="A84" s="15"/>
      <c r="B84" s="15"/>
      <c r="C84" s="15"/>
      <c r="D84" s="63"/>
      <c r="E84" s="15"/>
      <c r="F84" s="15"/>
      <c r="G84" s="16"/>
      <c r="H84" s="15"/>
      <c r="I84" s="15"/>
    </row>
    <row r="85">
      <c r="A85" s="15"/>
      <c r="B85" s="15"/>
      <c r="C85" s="15"/>
      <c r="D85" s="63"/>
      <c r="E85" s="15"/>
      <c r="F85" s="15"/>
      <c r="G85" s="16"/>
      <c r="H85" s="15"/>
      <c r="I85" s="15"/>
    </row>
    <row r="86">
      <c r="A86" s="15"/>
      <c r="B86" s="15"/>
      <c r="C86" s="15"/>
      <c r="D86" s="63"/>
      <c r="E86" s="15"/>
      <c r="F86" s="15"/>
      <c r="G86" s="16"/>
      <c r="H86" s="15"/>
      <c r="I86" s="15"/>
    </row>
    <row r="87">
      <c r="A87" s="15"/>
      <c r="B87" s="15"/>
      <c r="C87" s="15"/>
      <c r="D87" s="63"/>
      <c r="E87" s="15"/>
      <c r="F87" s="15"/>
      <c r="G87" s="16"/>
      <c r="H87" s="15"/>
      <c r="I87" s="15"/>
    </row>
    <row r="88">
      <c r="A88" s="15"/>
      <c r="B88" s="15"/>
      <c r="C88" s="15"/>
      <c r="D88" s="63"/>
      <c r="E88" s="15"/>
      <c r="F88" s="15"/>
      <c r="G88" s="16"/>
      <c r="H88" s="15"/>
      <c r="I88" s="15"/>
    </row>
    <row r="89">
      <c r="A89" s="15"/>
      <c r="B89" s="15"/>
      <c r="C89" s="15"/>
      <c r="D89" s="63"/>
      <c r="E89" s="15"/>
      <c r="F89" s="15"/>
      <c r="G89" s="16"/>
      <c r="H89" s="15"/>
      <c r="I89" s="15"/>
    </row>
    <row r="90">
      <c r="A90" s="15"/>
      <c r="B90" s="15"/>
      <c r="C90" s="15"/>
      <c r="D90" s="63"/>
      <c r="E90" s="15"/>
      <c r="F90" s="15"/>
      <c r="G90" s="16"/>
      <c r="H90" s="15"/>
      <c r="I90" s="15"/>
    </row>
    <row r="91">
      <c r="A91" s="15"/>
      <c r="B91" s="15"/>
      <c r="C91" s="15"/>
      <c r="D91" s="63"/>
      <c r="E91" s="15"/>
      <c r="F91" s="15"/>
      <c r="G91" s="16"/>
      <c r="H91" s="15"/>
      <c r="I91" s="15"/>
    </row>
    <row r="92">
      <c r="A92" s="15"/>
      <c r="B92" s="15"/>
      <c r="C92" s="15"/>
      <c r="D92" s="63"/>
      <c r="E92" s="15"/>
      <c r="F92" s="15"/>
      <c r="G92" s="16"/>
      <c r="H92" s="15"/>
      <c r="I92" s="15"/>
    </row>
    <row r="93">
      <c r="A93" s="15"/>
      <c r="B93" s="15"/>
      <c r="C93" s="15"/>
      <c r="D93" s="63"/>
      <c r="E93" s="15"/>
      <c r="F93" s="15"/>
      <c r="G93" s="16"/>
      <c r="H93" s="15"/>
      <c r="I93" s="15"/>
    </row>
    <row r="94">
      <c r="A94" s="15"/>
      <c r="B94" s="15"/>
      <c r="C94" s="15"/>
      <c r="D94" s="63"/>
      <c r="E94" s="15"/>
      <c r="F94" s="15"/>
      <c r="G94" s="16"/>
      <c r="H94" s="15"/>
      <c r="I94" s="15"/>
    </row>
    <row r="95">
      <c r="A95" s="15"/>
      <c r="B95" s="15"/>
      <c r="C95" s="15"/>
      <c r="D95" s="63"/>
      <c r="E95" s="15"/>
      <c r="F95" s="15"/>
      <c r="G95" s="16"/>
      <c r="H95" s="15"/>
      <c r="I95" s="15"/>
    </row>
    <row r="96">
      <c r="A96" s="15"/>
      <c r="B96" s="15"/>
      <c r="C96" s="15"/>
      <c r="D96" s="63"/>
      <c r="E96" s="15"/>
      <c r="F96" s="15"/>
      <c r="G96" s="16"/>
      <c r="H96" s="15"/>
      <c r="I96" s="15"/>
    </row>
    <row r="97">
      <c r="A97" s="15"/>
      <c r="B97" s="15"/>
      <c r="C97" s="15"/>
      <c r="D97" s="63"/>
      <c r="E97" s="15"/>
      <c r="F97" s="15"/>
      <c r="G97" s="16"/>
      <c r="H97" s="15"/>
      <c r="I97" s="15"/>
    </row>
    <row r="98">
      <c r="A98" s="15"/>
      <c r="B98" s="15"/>
      <c r="C98" s="15"/>
      <c r="D98" s="63"/>
      <c r="E98" s="15"/>
      <c r="F98" s="15"/>
      <c r="G98" s="16"/>
      <c r="H98" s="15"/>
      <c r="I98" s="15"/>
    </row>
    <row r="99">
      <c r="A99" s="15"/>
      <c r="B99" s="15"/>
      <c r="C99" s="15"/>
      <c r="D99" s="63"/>
      <c r="E99" s="15"/>
      <c r="F99" s="15"/>
      <c r="G99" s="16"/>
      <c r="H99" s="15"/>
      <c r="I99" s="15"/>
    </row>
    <row r="100">
      <c r="A100" s="15"/>
      <c r="B100" s="15"/>
      <c r="C100" s="15"/>
      <c r="D100" s="63"/>
      <c r="E100" s="15"/>
      <c r="F100" s="15"/>
      <c r="G100" s="16"/>
      <c r="H100" s="15"/>
      <c r="I100" s="15"/>
    </row>
    <row r="101">
      <c r="A101" s="15"/>
      <c r="B101" s="15"/>
      <c r="C101" s="15"/>
      <c r="D101" s="63"/>
      <c r="E101" s="15"/>
      <c r="F101" s="15"/>
      <c r="G101" s="16"/>
      <c r="H101" s="15"/>
      <c r="I101" s="15"/>
    </row>
    <row r="102">
      <c r="A102" s="15"/>
      <c r="B102" s="15"/>
      <c r="C102" s="15"/>
      <c r="D102" s="63"/>
      <c r="E102" s="15"/>
      <c r="F102" s="15"/>
      <c r="G102" s="16"/>
      <c r="H102" s="15"/>
      <c r="I102" s="15"/>
    </row>
    <row r="103">
      <c r="A103" s="15"/>
      <c r="B103" s="15"/>
      <c r="C103" s="15"/>
      <c r="D103" s="63"/>
      <c r="E103" s="15"/>
      <c r="F103" s="15"/>
      <c r="G103" s="16"/>
      <c r="H103" s="15"/>
      <c r="I103" s="15"/>
    </row>
    <row r="104">
      <c r="A104" s="15"/>
      <c r="B104" s="15"/>
      <c r="C104" s="15"/>
      <c r="D104" s="63"/>
      <c r="E104" s="15"/>
      <c r="F104" s="15"/>
      <c r="G104" s="16"/>
      <c r="H104" s="15"/>
      <c r="I104" s="15"/>
    </row>
    <row r="105">
      <c r="A105" s="15"/>
      <c r="B105" s="15"/>
      <c r="C105" s="15"/>
      <c r="D105" s="63"/>
      <c r="E105" s="15"/>
      <c r="F105" s="15"/>
      <c r="G105" s="16"/>
      <c r="H105" s="15"/>
      <c r="I105" s="15"/>
    </row>
    <row r="106">
      <c r="A106" s="15"/>
      <c r="B106" s="15"/>
      <c r="C106" s="15"/>
      <c r="D106" s="63"/>
      <c r="E106" s="15"/>
      <c r="F106" s="15"/>
      <c r="G106" s="16"/>
      <c r="H106" s="15"/>
      <c r="I106" s="15"/>
    </row>
    <row r="107">
      <c r="A107" s="15"/>
      <c r="B107" s="15"/>
      <c r="C107" s="15"/>
      <c r="D107" s="63"/>
      <c r="E107" s="15"/>
      <c r="F107" s="15"/>
      <c r="G107" s="16"/>
      <c r="H107" s="15"/>
      <c r="I107" s="15"/>
    </row>
    <row r="108">
      <c r="A108" s="15"/>
      <c r="B108" s="15"/>
      <c r="C108" s="15"/>
      <c r="D108" s="63"/>
      <c r="E108" s="15"/>
      <c r="F108" s="15"/>
      <c r="G108" s="16"/>
      <c r="H108" s="15"/>
      <c r="I108" s="15"/>
    </row>
    <row r="109">
      <c r="A109" s="15"/>
      <c r="B109" s="15"/>
      <c r="C109" s="15"/>
      <c r="D109" s="63"/>
      <c r="E109" s="15"/>
      <c r="F109" s="15"/>
      <c r="G109" s="16"/>
      <c r="H109" s="15"/>
      <c r="I109" s="15"/>
    </row>
    <row r="110">
      <c r="A110" s="15"/>
      <c r="B110" s="15"/>
      <c r="C110" s="15"/>
      <c r="D110" s="63"/>
      <c r="E110" s="15"/>
      <c r="F110" s="15"/>
      <c r="G110" s="16"/>
      <c r="H110" s="15"/>
      <c r="I110" s="15"/>
    </row>
    <row r="111">
      <c r="A111" s="15"/>
      <c r="B111" s="15"/>
      <c r="C111" s="15"/>
      <c r="D111" s="63"/>
      <c r="E111" s="15"/>
      <c r="F111" s="15"/>
      <c r="G111" s="16"/>
      <c r="H111" s="15"/>
      <c r="I111" s="15"/>
    </row>
    <row r="112">
      <c r="A112" s="15"/>
      <c r="B112" s="15"/>
      <c r="C112" s="15"/>
      <c r="D112" s="63"/>
      <c r="E112" s="15"/>
      <c r="F112" s="15"/>
      <c r="G112" s="16"/>
      <c r="H112" s="15"/>
      <c r="I112" s="15"/>
    </row>
    <row r="113">
      <c r="A113" s="15"/>
      <c r="B113" s="15"/>
      <c r="C113" s="15"/>
      <c r="D113" s="63"/>
      <c r="E113" s="15"/>
      <c r="F113" s="15"/>
      <c r="G113" s="16"/>
      <c r="H113" s="15"/>
      <c r="I113" s="15"/>
    </row>
    <row r="114">
      <c r="A114" s="15"/>
      <c r="B114" s="15"/>
      <c r="C114" s="15"/>
      <c r="D114" s="63"/>
      <c r="E114" s="15"/>
      <c r="F114" s="15"/>
      <c r="G114" s="16"/>
      <c r="H114" s="15"/>
      <c r="I114" s="15"/>
    </row>
    <row r="115">
      <c r="A115" s="15"/>
      <c r="B115" s="15"/>
      <c r="C115" s="15"/>
      <c r="D115" s="63"/>
      <c r="E115" s="15"/>
      <c r="F115" s="15"/>
      <c r="G115" s="16"/>
      <c r="H115" s="15"/>
      <c r="I115" s="15"/>
    </row>
    <row r="116">
      <c r="A116" s="15"/>
      <c r="B116" s="15"/>
      <c r="C116" s="15"/>
      <c r="D116" s="63"/>
      <c r="E116" s="15"/>
      <c r="F116" s="15"/>
      <c r="G116" s="16"/>
      <c r="H116" s="15"/>
      <c r="I116" s="15"/>
    </row>
    <row r="117">
      <c r="A117" s="15"/>
      <c r="B117" s="15"/>
      <c r="C117" s="15"/>
      <c r="D117" s="63"/>
      <c r="E117" s="15"/>
      <c r="F117" s="15"/>
      <c r="G117" s="16"/>
      <c r="H117" s="15"/>
      <c r="I117" s="15"/>
    </row>
    <row r="118">
      <c r="A118" s="15"/>
      <c r="B118" s="15"/>
      <c r="C118" s="15"/>
      <c r="D118" s="63"/>
      <c r="E118" s="15"/>
      <c r="F118" s="15"/>
      <c r="G118" s="16"/>
      <c r="H118" s="15"/>
      <c r="I118" s="15"/>
    </row>
    <row r="119">
      <c r="A119" s="15"/>
      <c r="B119" s="15"/>
      <c r="C119" s="15"/>
      <c r="D119" s="63"/>
      <c r="E119" s="15"/>
      <c r="F119" s="15"/>
      <c r="G119" s="16"/>
      <c r="H119" s="15"/>
      <c r="I119" s="15"/>
    </row>
    <row r="120">
      <c r="A120" s="15"/>
      <c r="B120" s="15"/>
      <c r="C120" s="15"/>
      <c r="D120" s="63"/>
      <c r="E120" s="15"/>
      <c r="F120" s="15"/>
      <c r="G120" s="16"/>
      <c r="H120" s="15"/>
      <c r="I120" s="15"/>
    </row>
    <row r="121">
      <c r="A121" s="15"/>
      <c r="B121" s="15"/>
      <c r="C121" s="15"/>
      <c r="D121" s="63"/>
      <c r="E121" s="15"/>
      <c r="F121" s="15"/>
      <c r="G121" s="16"/>
      <c r="H121" s="15"/>
      <c r="I121" s="15"/>
    </row>
    <row r="122">
      <c r="A122" s="15"/>
      <c r="B122" s="15"/>
      <c r="C122" s="15"/>
      <c r="D122" s="63"/>
      <c r="E122" s="15"/>
      <c r="F122" s="15"/>
      <c r="G122" s="16"/>
      <c r="H122" s="15"/>
      <c r="I122" s="15"/>
    </row>
    <row r="123">
      <c r="A123" s="15"/>
      <c r="B123" s="15"/>
      <c r="C123" s="15"/>
      <c r="D123" s="63"/>
      <c r="E123" s="15"/>
      <c r="F123" s="15"/>
      <c r="G123" s="16"/>
      <c r="H123" s="15"/>
      <c r="I123" s="15"/>
    </row>
    <row r="124">
      <c r="A124" s="15"/>
      <c r="B124" s="15"/>
      <c r="C124" s="15"/>
      <c r="D124" s="63"/>
      <c r="E124" s="15"/>
      <c r="F124" s="15"/>
      <c r="G124" s="16"/>
      <c r="H124" s="15"/>
      <c r="I124" s="15"/>
    </row>
    <row r="125">
      <c r="A125" s="15"/>
      <c r="B125" s="15"/>
      <c r="C125" s="15"/>
      <c r="D125" s="63"/>
      <c r="E125" s="15"/>
      <c r="F125" s="15"/>
      <c r="G125" s="16"/>
      <c r="H125" s="15"/>
      <c r="I125" s="15"/>
    </row>
    <row r="126">
      <c r="A126" s="15"/>
      <c r="B126" s="15"/>
      <c r="C126" s="15"/>
      <c r="D126" s="63"/>
      <c r="E126" s="15"/>
      <c r="F126" s="15"/>
      <c r="G126" s="16"/>
      <c r="H126" s="15"/>
      <c r="I126" s="15"/>
    </row>
    <row r="127">
      <c r="A127" s="15"/>
      <c r="B127" s="15"/>
      <c r="C127" s="15"/>
      <c r="D127" s="63"/>
      <c r="E127" s="15"/>
      <c r="F127" s="15"/>
      <c r="G127" s="16"/>
      <c r="H127" s="15"/>
      <c r="I127" s="15"/>
    </row>
    <row r="128">
      <c r="A128" s="15"/>
      <c r="B128" s="15"/>
      <c r="C128" s="15"/>
      <c r="D128" s="63"/>
      <c r="E128" s="15"/>
      <c r="F128" s="15"/>
      <c r="G128" s="16"/>
      <c r="H128" s="15"/>
      <c r="I128" s="15"/>
    </row>
    <row r="129">
      <c r="A129" s="15"/>
      <c r="B129" s="15"/>
      <c r="C129" s="15"/>
      <c r="D129" s="63"/>
      <c r="E129" s="15"/>
      <c r="F129" s="15"/>
      <c r="G129" s="16"/>
      <c r="H129" s="15"/>
      <c r="I129" s="15"/>
    </row>
    <row r="130">
      <c r="A130" s="15"/>
      <c r="B130" s="15"/>
      <c r="C130" s="15"/>
      <c r="D130" s="63"/>
      <c r="E130" s="15"/>
      <c r="F130" s="15"/>
      <c r="G130" s="16"/>
      <c r="H130" s="15"/>
      <c r="I130" s="15"/>
    </row>
    <row r="131">
      <c r="A131" s="15"/>
      <c r="B131" s="15"/>
      <c r="C131" s="15"/>
      <c r="D131" s="63"/>
      <c r="E131" s="15"/>
      <c r="F131" s="15"/>
      <c r="G131" s="16"/>
      <c r="H131" s="15"/>
      <c r="I131" s="15"/>
    </row>
    <row r="132">
      <c r="A132" s="15"/>
      <c r="B132" s="15"/>
      <c r="C132" s="15"/>
      <c r="D132" s="63"/>
      <c r="E132" s="15"/>
      <c r="F132" s="15"/>
      <c r="G132" s="16"/>
      <c r="H132" s="15"/>
      <c r="I132" s="15"/>
    </row>
    <row r="133">
      <c r="A133" s="15"/>
      <c r="B133" s="15"/>
      <c r="C133" s="15"/>
      <c r="D133" s="63"/>
      <c r="E133" s="15"/>
      <c r="F133" s="15"/>
      <c r="G133" s="16"/>
      <c r="H133" s="15"/>
      <c r="I133" s="15"/>
    </row>
    <row r="134">
      <c r="A134" s="15"/>
      <c r="B134" s="15"/>
      <c r="C134" s="15"/>
      <c r="D134" s="63"/>
      <c r="E134" s="15"/>
      <c r="F134" s="15"/>
      <c r="G134" s="16"/>
      <c r="H134" s="15"/>
      <c r="I134" s="15"/>
    </row>
    <row r="135">
      <c r="A135" s="15"/>
      <c r="B135" s="15"/>
      <c r="C135" s="15"/>
      <c r="D135" s="63"/>
      <c r="E135" s="15"/>
      <c r="F135" s="15"/>
      <c r="G135" s="16"/>
      <c r="H135" s="15"/>
      <c r="I135" s="15"/>
    </row>
    <row r="136">
      <c r="A136" s="15"/>
      <c r="B136" s="15"/>
      <c r="C136" s="15"/>
      <c r="D136" s="63"/>
      <c r="E136" s="15"/>
      <c r="F136" s="15"/>
      <c r="G136" s="16"/>
      <c r="H136" s="15"/>
      <c r="I136" s="15"/>
    </row>
    <row r="137">
      <c r="A137" s="15"/>
      <c r="B137" s="15"/>
      <c r="C137" s="15"/>
      <c r="D137" s="63"/>
      <c r="E137" s="15"/>
      <c r="F137" s="15"/>
      <c r="G137" s="16"/>
      <c r="H137" s="15"/>
      <c r="I137" s="15"/>
    </row>
    <row r="138">
      <c r="A138" s="15"/>
      <c r="B138" s="15"/>
      <c r="C138" s="15"/>
      <c r="D138" s="63"/>
      <c r="E138" s="15"/>
      <c r="F138" s="15"/>
      <c r="G138" s="16"/>
      <c r="H138" s="15"/>
      <c r="I138" s="15"/>
    </row>
    <row r="139">
      <c r="A139" s="15"/>
      <c r="B139" s="15"/>
      <c r="C139" s="15"/>
      <c r="D139" s="63"/>
      <c r="E139" s="15"/>
      <c r="F139" s="15"/>
      <c r="G139" s="16"/>
      <c r="H139" s="15"/>
      <c r="I139" s="15"/>
    </row>
    <row r="140">
      <c r="A140" s="15"/>
      <c r="B140" s="15"/>
      <c r="C140" s="15"/>
      <c r="D140" s="63"/>
      <c r="E140" s="15"/>
      <c r="F140" s="15"/>
      <c r="G140" s="16"/>
      <c r="H140" s="15"/>
      <c r="I140" s="15"/>
    </row>
    <row r="141">
      <c r="A141" s="15"/>
      <c r="B141" s="15"/>
      <c r="C141" s="15"/>
      <c r="D141" s="63"/>
      <c r="E141" s="15"/>
      <c r="F141" s="15"/>
      <c r="G141" s="16"/>
      <c r="H141" s="15"/>
      <c r="I141" s="15"/>
    </row>
    <row r="142">
      <c r="A142" s="15"/>
      <c r="B142" s="15"/>
      <c r="C142" s="15"/>
      <c r="D142" s="63"/>
      <c r="E142" s="15"/>
      <c r="F142" s="15"/>
      <c r="G142" s="16"/>
      <c r="H142" s="15"/>
      <c r="I142" s="15"/>
    </row>
    <row r="143">
      <c r="A143" s="15"/>
      <c r="B143" s="15"/>
      <c r="C143" s="15"/>
      <c r="D143" s="63"/>
      <c r="E143" s="15"/>
      <c r="F143" s="15"/>
      <c r="G143" s="16"/>
      <c r="H143" s="15"/>
      <c r="I143" s="15"/>
    </row>
    <row r="144">
      <c r="A144" s="15"/>
      <c r="B144" s="15"/>
      <c r="C144" s="15"/>
      <c r="D144" s="63"/>
      <c r="E144" s="15"/>
      <c r="F144" s="15"/>
      <c r="G144" s="16"/>
      <c r="H144" s="15"/>
      <c r="I144" s="15"/>
    </row>
    <row r="145">
      <c r="A145" s="15"/>
      <c r="B145" s="15"/>
      <c r="C145" s="15"/>
      <c r="D145" s="63"/>
      <c r="E145" s="15"/>
      <c r="F145" s="15"/>
      <c r="G145" s="16"/>
      <c r="H145" s="15"/>
      <c r="I145" s="15"/>
    </row>
    <row r="146">
      <c r="A146" s="15"/>
      <c r="B146" s="15"/>
      <c r="C146" s="15"/>
      <c r="D146" s="63"/>
      <c r="E146" s="15"/>
      <c r="F146" s="15"/>
      <c r="G146" s="16"/>
      <c r="H146" s="15"/>
      <c r="I146" s="15"/>
    </row>
    <row r="147">
      <c r="A147" s="15"/>
      <c r="B147" s="15"/>
      <c r="C147" s="15"/>
      <c r="D147" s="63"/>
      <c r="E147" s="15"/>
      <c r="F147" s="15"/>
      <c r="G147" s="16"/>
      <c r="H147" s="15"/>
      <c r="I147" s="15"/>
    </row>
    <row r="148">
      <c r="A148" s="15"/>
      <c r="B148" s="15"/>
      <c r="C148" s="15"/>
      <c r="D148" s="63"/>
      <c r="E148" s="15"/>
      <c r="F148" s="15"/>
      <c r="G148" s="16"/>
      <c r="H148" s="15"/>
      <c r="I148" s="15"/>
    </row>
    <row r="149">
      <c r="A149" s="15"/>
      <c r="B149" s="15"/>
      <c r="C149" s="15"/>
      <c r="D149" s="63"/>
      <c r="E149" s="15"/>
      <c r="F149" s="15"/>
      <c r="G149" s="16"/>
      <c r="H149" s="15"/>
      <c r="I149" s="15"/>
    </row>
    <row r="150">
      <c r="A150" s="15"/>
      <c r="B150" s="15"/>
      <c r="C150" s="15"/>
      <c r="D150" s="63"/>
      <c r="E150" s="15"/>
      <c r="F150" s="15"/>
      <c r="G150" s="16"/>
      <c r="H150" s="15"/>
      <c r="I150" s="15"/>
    </row>
    <row r="151">
      <c r="A151" s="15"/>
      <c r="B151" s="15"/>
      <c r="C151" s="15"/>
      <c r="D151" s="63"/>
      <c r="E151" s="15"/>
      <c r="F151" s="15"/>
      <c r="G151" s="16"/>
      <c r="H151" s="15"/>
      <c r="I151" s="15"/>
    </row>
    <row r="152">
      <c r="A152" s="15"/>
      <c r="B152" s="15"/>
      <c r="C152" s="15"/>
      <c r="D152" s="63"/>
      <c r="E152" s="15"/>
      <c r="F152" s="15"/>
      <c r="G152" s="16"/>
      <c r="H152" s="15"/>
      <c r="I152" s="15"/>
    </row>
    <row r="153">
      <c r="A153" s="15"/>
      <c r="B153" s="15"/>
      <c r="C153" s="15"/>
      <c r="D153" s="63"/>
      <c r="E153" s="15"/>
      <c r="F153" s="15"/>
      <c r="G153" s="16"/>
      <c r="H153" s="15"/>
      <c r="I153" s="15"/>
    </row>
    <row r="154">
      <c r="A154" s="15"/>
      <c r="B154" s="15"/>
      <c r="C154" s="15"/>
      <c r="D154" s="63"/>
      <c r="E154" s="15"/>
      <c r="F154" s="15"/>
      <c r="G154" s="16"/>
      <c r="H154" s="15"/>
      <c r="I154" s="15"/>
    </row>
    <row r="155">
      <c r="A155" s="15"/>
      <c r="B155" s="15"/>
      <c r="C155" s="15"/>
      <c r="D155" s="63"/>
      <c r="E155" s="15"/>
      <c r="F155" s="15"/>
      <c r="G155" s="16"/>
      <c r="H155" s="15"/>
      <c r="I155" s="15"/>
    </row>
    <row r="156">
      <c r="A156" s="15"/>
      <c r="B156" s="15"/>
      <c r="C156" s="15"/>
      <c r="D156" s="63"/>
      <c r="E156" s="15"/>
      <c r="F156" s="15"/>
      <c r="G156" s="16"/>
      <c r="H156" s="15"/>
      <c r="I156" s="15"/>
    </row>
    <row r="157">
      <c r="A157" s="15"/>
      <c r="B157" s="15"/>
      <c r="C157" s="15"/>
      <c r="D157" s="63"/>
      <c r="E157" s="15"/>
      <c r="F157" s="15"/>
      <c r="G157" s="16"/>
      <c r="H157" s="15"/>
      <c r="I157" s="15"/>
    </row>
    <row r="158">
      <c r="A158" s="15"/>
      <c r="B158" s="15"/>
      <c r="C158" s="15"/>
      <c r="D158" s="63"/>
      <c r="E158" s="15"/>
      <c r="F158" s="15"/>
      <c r="G158" s="16"/>
      <c r="H158" s="15"/>
      <c r="I158" s="15"/>
    </row>
    <row r="159">
      <c r="A159" s="15"/>
      <c r="B159" s="15"/>
      <c r="C159" s="15"/>
      <c r="D159" s="63"/>
      <c r="E159" s="15"/>
      <c r="F159" s="15"/>
      <c r="G159" s="16"/>
      <c r="H159" s="15"/>
      <c r="I159" s="15"/>
    </row>
    <row r="160">
      <c r="A160" s="15"/>
      <c r="B160" s="15"/>
      <c r="C160" s="15"/>
      <c r="D160" s="63"/>
      <c r="E160" s="15"/>
      <c r="F160" s="15"/>
      <c r="G160" s="16"/>
      <c r="H160" s="15"/>
      <c r="I160" s="15"/>
    </row>
    <row r="161">
      <c r="A161" s="15"/>
      <c r="B161" s="15"/>
      <c r="C161" s="15"/>
      <c r="D161" s="63"/>
      <c r="E161" s="15"/>
      <c r="F161" s="15"/>
      <c r="G161" s="16"/>
      <c r="H161" s="15"/>
      <c r="I161" s="15"/>
    </row>
    <row r="162">
      <c r="A162" s="15"/>
      <c r="B162" s="15"/>
      <c r="C162" s="15"/>
      <c r="D162" s="63"/>
      <c r="E162" s="15"/>
      <c r="F162" s="15"/>
      <c r="G162" s="16"/>
      <c r="H162" s="15"/>
      <c r="I162" s="15"/>
    </row>
    <row r="163">
      <c r="A163" s="15"/>
      <c r="B163" s="15"/>
      <c r="C163" s="15"/>
      <c r="D163" s="63"/>
      <c r="E163" s="15"/>
      <c r="F163" s="15"/>
      <c r="G163" s="16"/>
      <c r="H163" s="15"/>
      <c r="I163" s="15"/>
    </row>
    <row r="164">
      <c r="A164" s="15"/>
      <c r="B164" s="15"/>
      <c r="C164" s="15"/>
      <c r="D164" s="63"/>
      <c r="E164" s="15"/>
      <c r="F164" s="15"/>
      <c r="G164" s="16"/>
      <c r="H164" s="15"/>
      <c r="I164" s="15"/>
    </row>
    <row r="165">
      <c r="A165" s="15"/>
      <c r="B165" s="15"/>
      <c r="C165" s="15"/>
      <c r="D165" s="63"/>
      <c r="E165" s="15"/>
      <c r="F165" s="15"/>
      <c r="G165" s="16"/>
      <c r="H165" s="15"/>
      <c r="I165" s="15"/>
    </row>
    <row r="166">
      <c r="A166" s="15"/>
      <c r="B166" s="15"/>
      <c r="C166" s="15"/>
      <c r="D166" s="63"/>
      <c r="E166" s="15"/>
      <c r="F166" s="15"/>
      <c r="G166" s="16"/>
      <c r="H166" s="15"/>
      <c r="I166" s="15"/>
    </row>
    <row r="167">
      <c r="A167" s="15"/>
      <c r="B167" s="15"/>
      <c r="C167" s="15"/>
      <c r="D167" s="63"/>
      <c r="E167" s="15"/>
      <c r="F167" s="15"/>
      <c r="G167" s="16"/>
      <c r="H167" s="15"/>
      <c r="I167" s="15"/>
    </row>
    <row r="168">
      <c r="A168" s="15"/>
      <c r="B168" s="15"/>
      <c r="C168" s="15"/>
      <c r="D168" s="63"/>
      <c r="E168" s="15"/>
      <c r="F168" s="15"/>
      <c r="G168" s="16"/>
      <c r="H168" s="15"/>
      <c r="I168" s="15"/>
    </row>
    <row r="169">
      <c r="A169" s="15"/>
      <c r="B169" s="15"/>
      <c r="C169" s="15"/>
      <c r="D169" s="63"/>
      <c r="E169" s="15"/>
      <c r="F169" s="15"/>
      <c r="G169" s="16"/>
      <c r="H169" s="15"/>
      <c r="I169" s="15"/>
    </row>
    <row r="170">
      <c r="A170" s="15"/>
      <c r="B170" s="15"/>
      <c r="C170" s="15"/>
      <c r="D170" s="63"/>
      <c r="E170" s="15"/>
      <c r="F170" s="15"/>
      <c r="G170" s="16"/>
      <c r="H170" s="15"/>
      <c r="I170" s="15"/>
    </row>
    <row r="171">
      <c r="A171" s="15"/>
      <c r="B171" s="15"/>
      <c r="C171" s="15"/>
      <c r="D171" s="63"/>
      <c r="E171" s="15"/>
      <c r="F171" s="15"/>
      <c r="G171" s="16"/>
      <c r="H171" s="15"/>
      <c r="I171" s="15"/>
    </row>
    <row r="172">
      <c r="A172" s="15"/>
      <c r="B172" s="15"/>
      <c r="C172" s="15"/>
      <c r="D172" s="63"/>
      <c r="E172" s="15"/>
      <c r="F172" s="15"/>
      <c r="G172" s="16"/>
      <c r="H172" s="15"/>
      <c r="I172" s="15"/>
    </row>
    <row r="173">
      <c r="A173" s="15"/>
      <c r="B173" s="15"/>
      <c r="C173" s="15"/>
      <c r="D173" s="63"/>
      <c r="E173" s="15"/>
      <c r="F173" s="15"/>
      <c r="G173" s="16"/>
      <c r="H173" s="15"/>
      <c r="I173" s="15"/>
    </row>
    <row r="174">
      <c r="A174" s="15"/>
      <c r="B174" s="15"/>
      <c r="C174" s="15"/>
      <c r="D174" s="63"/>
      <c r="E174" s="15"/>
      <c r="F174" s="15"/>
      <c r="G174" s="16"/>
      <c r="H174" s="15"/>
      <c r="I174" s="15"/>
    </row>
    <row r="175">
      <c r="A175" s="15"/>
      <c r="B175" s="15"/>
      <c r="C175" s="15"/>
      <c r="D175" s="63"/>
      <c r="E175" s="15"/>
      <c r="F175" s="15"/>
      <c r="G175" s="16"/>
      <c r="H175" s="15"/>
      <c r="I175" s="15"/>
    </row>
    <row r="176">
      <c r="A176" s="15"/>
      <c r="B176" s="15"/>
      <c r="C176" s="15"/>
      <c r="D176" s="63"/>
      <c r="E176" s="15"/>
      <c r="F176" s="15"/>
      <c r="G176" s="16"/>
      <c r="H176" s="15"/>
      <c r="I176" s="15"/>
    </row>
    <row r="177">
      <c r="A177" s="15"/>
      <c r="B177" s="15"/>
      <c r="C177" s="15"/>
      <c r="D177" s="63"/>
      <c r="E177" s="15"/>
      <c r="F177" s="15"/>
      <c r="G177" s="16"/>
      <c r="H177" s="15"/>
      <c r="I177" s="15"/>
    </row>
    <row r="178">
      <c r="A178" s="15"/>
      <c r="B178" s="15"/>
      <c r="C178" s="15"/>
      <c r="D178" s="63"/>
      <c r="E178" s="15"/>
      <c r="F178" s="15"/>
      <c r="G178" s="16"/>
      <c r="H178" s="15"/>
      <c r="I178" s="15"/>
    </row>
    <row r="179">
      <c r="A179" s="15"/>
      <c r="B179" s="15"/>
      <c r="C179" s="15"/>
      <c r="D179" s="63"/>
      <c r="E179" s="15"/>
      <c r="F179" s="15"/>
      <c r="G179" s="16"/>
      <c r="H179" s="15"/>
      <c r="I179" s="15"/>
    </row>
    <row r="180">
      <c r="A180" s="15"/>
      <c r="B180" s="15"/>
      <c r="C180" s="15"/>
      <c r="D180" s="63"/>
      <c r="E180" s="15"/>
      <c r="F180" s="15"/>
      <c r="G180" s="16"/>
      <c r="H180" s="15"/>
      <c r="I180" s="15"/>
    </row>
    <row r="181">
      <c r="A181" s="15"/>
      <c r="B181" s="15"/>
      <c r="C181" s="15"/>
      <c r="D181" s="63"/>
      <c r="E181" s="15"/>
      <c r="F181" s="15"/>
      <c r="G181" s="16"/>
      <c r="H181" s="15"/>
      <c r="I181" s="15"/>
    </row>
    <row r="182">
      <c r="A182" s="15"/>
      <c r="B182" s="15"/>
      <c r="C182" s="15"/>
      <c r="D182" s="63"/>
      <c r="E182" s="15"/>
      <c r="F182" s="15"/>
      <c r="G182" s="16"/>
      <c r="H182" s="15"/>
      <c r="I182" s="15"/>
    </row>
    <row r="183">
      <c r="A183" s="15"/>
      <c r="B183" s="15"/>
      <c r="C183" s="15"/>
      <c r="D183" s="63"/>
      <c r="E183" s="15"/>
      <c r="F183" s="15"/>
      <c r="G183" s="16"/>
      <c r="H183" s="15"/>
      <c r="I183" s="15"/>
    </row>
    <row r="184">
      <c r="A184" s="15"/>
      <c r="B184" s="15"/>
      <c r="C184" s="15"/>
      <c r="D184" s="63"/>
      <c r="E184" s="15"/>
      <c r="F184" s="15"/>
      <c r="G184" s="16"/>
      <c r="H184" s="15"/>
      <c r="I184" s="15"/>
    </row>
    <row r="185">
      <c r="A185" s="15"/>
      <c r="B185" s="15"/>
      <c r="C185" s="15"/>
      <c r="D185" s="63"/>
      <c r="E185" s="15"/>
      <c r="F185" s="15"/>
      <c r="G185" s="16"/>
      <c r="H185" s="15"/>
      <c r="I185" s="15"/>
    </row>
    <row r="186">
      <c r="A186" s="15"/>
      <c r="B186" s="15"/>
      <c r="C186" s="15"/>
      <c r="D186" s="63"/>
      <c r="E186" s="15"/>
      <c r="F186" s="15"/>
      <c r="G186" s="16"/>
      <c r="H186" s="15"/>
      <c r="I186" s="15"/>
    </row>
    <row r="187">
      <c r="A187" s="15"/>
      <c r="B187" s="15"/>
      <c r="C187" s="15"/>
      <c r="D187" s="63"/>
      <c r="E187" s="15"/>
      <c r="F187" s="15"/>
      <c r="G187" s="16"/>
      <c r="H187" s="15"/>
      <c r="I187" s="15"/>
    </row>
    <row r="188">
      <c r="A188" s="15"/>
      <c r="B188" s="15"/>
      <c r="C188" s="15"/>
      <c r="D188" s="63"/>
      <c r="E188" s="15"/>
      <c r="F188" s="15"/>
      <c r="G188" s="16"/>
      <c r="H188" s="15"/>
      <c r="I188" s="15"/>
    </row>
    <row r="189">
      <c r="A189" s="15"/>
      <c r="B189" s="15"/>
      <c r="C189" s="15"/>
      <c r="D189" s="63"/>
      <c r="E189" s="15"/>
      <c r="F189" s="15"/>
      <c r="G189" s="16"/>
      <c r="H189" s="15"/>
      <c r="I189" s="15"/>
    </row>
    <row r="190">
      <c r="A190" s="15"/>
      <c r="B190" s="15"/>
      <c r="C190" s="15"/>
      <c r="D190" s="63"/>
      <c r="E190" s="15"/>
      <c r="F190" s="15"/>
      <c r="G190" s="16"/>
      <c r="H190" s="15"/>
      <c r="I190" s="15"/>
    </row>
    <row r="191">
      <c r="A191" s="15"/>
      <c r="B191" s="15"/>
      <c r="C191" s="15"/>
      <c r="D191" s="63"/>
      <c r="E191" s="15"/>
      <c r="F191" s="15"/>
      <c r="G191" s="16"/>
      <c r="H191" s="15"/>
      <c r="I191" s="15"/>
    </row>
    <row r="192">
      <c r="A192" s="15"/>
      <c r="B192" s="15"/>
      <c r="C192" s="15"/>
      <c r="D192" s="63"/>
      <c r="E192" s="15"/>
      <c r="F192" s="15"/>
      <c r="G192" s="16"/>
      <c r="H192" s="15"/>
      <c r="I192" s="15"/>
    </row>
    <row r="193">
      <c r="A193" s="15"/>
      <c r="B193" s="15"/>
      <c r="C193" s="15"/>
      <c r="D193" s="63"/>
      <c r="E193" s="15"/>
      <c r="F193" s="15"/>
      <c r="G193" s="16"/>
      <c r="H193" s="15"/>
      <c r="I193" s="15"/>
    </row>
    <row r="194">
      <c r="A194" s="15"/>
      <c r="B194" s="15"/>
      <c r="C194" s="15"/>
      <c r="D194" s="63"/>
      <c r="E194" s="15"/>
      <c r="F194" s="15"/>
      <c r="G194" s="16"/>
      <c r="H194" s="15"/>
      <c r="I194" s="15"/>
    </row>
    <row r="195">
      <c r="A195" s="15"/>
      <c r="B195" s="15"/>
      <c r="C195" s="15"/>
      <c r="D195" s="63"/>
      <c r="E195" s="15"/>
      <c r="F195" s="15"/>
      <c r="G195" s="16"/>
      <c r="H195" s="15"/>
      <c r="I195" s="15"/>
    </row>
    <row r="196">
      <c r="A196" s="15"/>
      <c r="B196" s="15"/>
      <c r="C196" s="15"/>
      <c r="D196" s="63"/>
      <c r="E196" s="15"/>
      <c r="F196" s="15"/>
      <c r="G196" s="16"/>
      <c r="H196" s="15"/>
      <c r="I196" s="15"/>
    </row>
    <row r="197">
      <c r="A197" s="15"/>
      <c r="B197" s="15"/>
      <c r="C197" s="15"/>
      <c r="D197" s="63"/>
      <c r="E197" s="15"/>
      <c r="F197" s="15"/>
      <c r="G197" s="16"/>
      <c r="H197" s="15"/>
      <c r="I197" s="15"/>
    </row>
    <row r="198">
      <c r="A198" s="15"/>
      <c r="B198" s="15"/>
      <c r="C198" s="15"/>
      <c r="D198" s="63"/>
      <c r="E198" s="15"/>
      <c r="F198" s="15"/>
      <c r="G198" s="16"/>
      <c r="H198" s="15"/>
      <c r="I198" s="15"/>
    </row>
    <row r="199">
      <c r="A199" s="15"/>
      <c r="B199" s="15"/>
      <c r="C199" s="15"/>
      <c r="D199" s="63"/>
      <c r="E199" s="15"/>
      <c r="F199" s="15"/>
      <c r="G199" s="16"/>
      <c r="H199" s="15"/>
      <c r="I199" s="15"/>
    </row>
    <row r="200">
      <c r="A200" s="15"/>
      <c r="B200" s="15"/>
      <c r="C200" s="15"/>
      <c r="D200" s="63"/>
      <c r="E200" s="15"/>
      <c r="F200" s="15"/>
      <c r="G200" s="16"/>
      <c r="H200" s="15"/>
      <c r="I200" s="15"/>
    </row>
    <row r="201">
      <c r="A201" s="15"/>
      <c r="B201" s="15"/>
      <c r="C201" s="15"/>
      <c r="D201" s="63"/>
      <c r="E201" s="15"/>
      <c r="F201" s="15"/>
      <c r="G201" s="16"/>
      <c r="H201" s="15"/>
      <c r="I201" s="15"/>
    </row>
    <row r="202">
      <c r="A202" s="15"/>
      <c r="B202" s="15"/>
      <c r="C202" s="15"/>
      <c r="D202" s="63"/>
      <c r="E202" s="15"/>
      <c r="F202" s="15"/>
      <c r="G202" s="16"/>
      <c r="H202" s="15"/>
      <c r="I202" s="15"/>
    </row>
    <row r="203">
      <c r="A203" s="15"/>
      <c r="B203" s="15"/>
      <c r="C203" s="15"/>
      <c r="D203" s="63"/>
      <c r="E203" s="15"/>
      <c r="F203" s="15"/>
      <c r="G203" s="16"/>
      <c r="H203" s="15"/>
      <c r="I203" s="15"/>
    </row>
    <row r="204">
      <c r="A204" s="15"/>
      <c r="B204" s="15"/>
      <c r="C204" s="15"/>
      <c r="D204" s="63"/>
      <c r="E204" s="15"/>
      <c r="F204" s="15"/>
      <c r="G204" s="16"/>
      <c r="H204" s="15"/>
      <c r="I204" s="15"/>
    </row>
    <row r="205">
      <c r="A205" s="15"/>
      <c r="B205" s="15"/>
      <c r="C205" s="15"/>
      <c r="D205" s="63"/>
      <c r="E205" s="15"/>
      <c r="F205" s="15"/>
      <c r="G205" s="16"/>
      <c r="H205" s="15"/>
      <c r="I205" s="15"/>
    </row>
    <row r="206">
      <c r="A206" s="15"/>
      <c r="B206" s="15"/>
      <c r="C206" s="15"/>
      <c r="D206" s="63"/>
      <c r="E206" s="15"/>
      <c r="F206" s="15"/>
      <c r="G206" s="16"/>
      <c r="H206" s="15"/>
      <c r="I206" s="15"/>
    </row>
    <row r="207">
      <c r="A207" s="15"/>
      <c r="B207" s="15"/>
      <c r="C207" s="15"/>
      <c r="D207" s="63"/>
      <c r="E207" s="15"/>
      <c r="F207" s="15"/>
      <c r="G207" s="16"/>
      <c r="H207" s="15"/>
      <c r="I207" s="15"/>
    </row>
    <row r="208">
      <c r="A208" s="15"/>
      <c r="B208" s="15"/>
      <c r="C208" s="15"/>
      <c r="D208" s="63"/>
      <c r="E208" s="15"/>
      <c r="F208" s="15"/>
      <c r="G208" s="16"/>
      <c r="H208" s="15"/>
      <c r="I208" s="15"/>
    </row>
    <row r="209">
      <c r="A209" s="15"/>
      <c r="B209" s="15"/>
      <c r="C209" s="15"/>
      <c r="D209" s="63"/>
      <c r="E209" s="15"/>
      <c r="F209" s="15"/>
      <c r="G209" s="16"/>
      <c r="H209" s="15"/>
      <c r="I209" s="15"/>
    </row>
    <row r="210">
      <c r="A210" s="15"/>
      <c r="B210" s="15"/>
      <c r="C210" s="15"/>
      <c r="D210" s="63"/>
      <c r="E210" s="15"/>
      <c r="F210" s="15"/>
      <c r="G210" s="16"/>
      <c r="H210" s="15"/>
      <c r="I210" s="15"/>
    </row>
    <row r="211">
      <c r="A211" s="15"/>
      <c r="B211" s="15"/>
      <c r="C211" s="15"/>
      <c r="D211" s="63"/>
      <c r="E211" s="15"/>
      <c r="F211" s="15"/>
      <c r="G211" s="16"/>
      <c r="H211" s="15"/>
      <c r="I211" s="15"/>
    </row>
    <row r="212">
      <c r="A212" s="15"/>
      <c r="B212" s="15"/>
      <c r="C212" s="15"/>
      <c r="D212" s="63"/>
      <c r="E212" s="15"/>
      <c r="F212" s="15"/>
      <c r="G212" s="16"/>
      <c r="H212" s="15"/>
      <c r="I212" s="15"/>
    </row>
    <row r="213">
      <c r="A213" s="15"/>
      <c r="B213" s="15"/>
      <c r="C213" s="15"/>
      <c r="D213" s="63"/>
      <c r="E213" s="15"/>
      <c r="F213" s="15"/>
      <c r="G213" s="16"/>
      <c r="H213" s="15"/>
      <c r="I213" s="15"/>
    </row>
    <row r="214">
      <c r="A214" s="15"/>
      <c r="B214" s="15"/>
      <c r="C214" s="15"/>
      <c r="D214" s="63"/>
      <c r="E214" s="15"/>
      <c r="F214" s="15"/>
      <c r="G214" s="16"/>
      <c r="H214" s="15"/>
      <c r="I214" s="15"/>
    </row>
    <row r="215">
      <c r="A215" s="15"/>
      <c r="B215" s="15"/>
      <c r="C215" s="15"/>
      <c r="D215" s="63"/>
      <c r="E215" s="15"/>
      <c r="F215" s="15"/>
      <c r="G215" s="16"/>
      <c r="H215" s="15"/>
      <c r="I215" s="15"/>
    </row>
    <row r="216">
      <c r="A216" s="15"/>
      <c r="B216" s="15"/>
      <c r="C216" s="15"/>
      <c r="D216" s="63"/>
      <c r="E216" s="15"/>
      <c r="F216" s="15"/>
      <c r="G216" s="16"/>
      <c r="H216" s="15"/>
      <c r="I216" s="15"/>
    </row>
    <row r="217">
      <c r="A217" s="15"/>
      <c r="B217" s="15"/>
      <c r="C217" s="15"/>
      <c r="D217" s="63"/>
      <c r="E217" s="15"/>
      <c r="F217" s="15"/>
      <c r="G217" s="16"/>
      <c r="H217" s="15"/>
      <c r="I217" s="15"/>
    </row>
    <row r="218">
      <c r="A218" s="15"/>
      <c r="B218" s="15"/>
      <c r="C218" s="15"/>
      <c r="D218" s="63"/>
      <c r="E218" s="15"/>
      <c r="F218" s="15"/>
      <c r="G218" s="16"/>
      <c r="H218" s="15"/>
      <c r="I218" s="15"/>
    </row>
    <row r="219">
      <c r="A219" s="15"/>
      <c r="B219" s="15"/>
      <c r="C219" s="15"/>
      <c r="D219" s="63"/>
      <c r="E219" s="15"/>
      <c r="F219" s="15"/>
      <c r="G219" s="16"/>
      <c r="H219" s="15"/>
      <c r="I219" s="15"/>
    </row>
    <row r="220">
      <c r="A220" s="15"/>
      <c r="B220" s="15"/>
      <c r="C220" s="15"/>
      <c r="D220" s="63"/>
      <c r="E220" s="15"/>
      <c r="F220" s="15"/>
      <c r="G220" s="16"/>
      <c r="H220" s="15"/>
      <c r="I220" s="15"/>
    </row>
    <row r="221">
      <c r="A221" s="15"/>
      <c r="B221" s="15"/>
      <c r="C221" s="15"/>
      <c r="D221" s="63"/>
      <c r="E221" s="15"/>
      <c r="F221" s="15"/>
      <c r="G221" s="16"/>
      <c r="H221" s="15"/>
      <c r="I221" s="15"/>
    </row>
    <row r="222">
      <c r="A222" s="15"/>
      <c r="B222" s="15"/>
      <c r="C222" s="15"/>
      <c r="D222" s="63"/>
      <c r="E222" s="15"/>
      <c r="F222" s="15"/>
      <c r="G222" s="16"/>
      <c r="H222" s="15"/>
      <c r="I222" s="15"/>
    </row>
    <row r="223">
      <c r="A223" s="15"/>
      <c r="B223" s="15"/>
      <c r="C223" s="15"/>
      <c r="D223" s="63"/>
      <c r="E223" s="15"/>
      <c r="F223" s="15"/>
      <c r="G223" s="16"/>
      <c r="H223" s="15"/>
      <c r="I223" s="15"/>
    </row>
    <row r="224">
      <c r="A224" s="15"/>
      <c r="B224" s="15"/>
      <c r="C224" s="15"/>
      <c r="D224" s="63"/>
      <c r="E224" s="15"/>
      <c r="F224" s="15"/>
      <c r="G224" s="16"/>
      <c r="H224" s="15"/>
      <c r="I224" s="15"/>
    </row>
    <row r="225">
      <c r="A225" s="15"/>
      <c r="B225" s="15"/>
      <c r="C225" s="15"/>
      <c r="D225" s="63"/>
      <c r="E225" s="15"/>
      <c r="F225" s="15"/>
      <c r="G225" s="16"/>
      <c r="H225" s="15"/>
      <c r="I225" s="15"/>
    </row>
    <row r="226">
      <c r="A226" s="15"/>
      <c r="B226" s="15"/>
      <c r="C226" s="15"/>
      <c r="D226" s="63"/>
      <c r="E226" s="15"/>
      <c r="F226" s="15"/>
      <c r="G226" s="16"/>
      <c r="H226" s="15"/>
      <c r="I226" s="15"/>
    </row>
    <row r="227">
      <c r="A227" s="15"/>
      <c r="B227" s="15"/>
      <c r="C227" s="15"/>
      <c r="D227" s="63"/>
      <c r="E227" s="15"/>
      <c r="F227" s="15"/>
      <c r="G227" s="16"/>
      <c r="H227" s="15"/>
      <c r="I227" s="15"/>
    </row>
    <row r="228">
      <c r="A228" s="15"/>
      <c r="B228" s="15"/>
      <c r="C228" s="15"/>
      <c r="D228" s="63"/>
      <c r="E228" s="15"/>
      <c r="F228" s="15"/>
      <c r="G228" s="16"/>
      <c r="H228" s="15"/>
      <c r="I228" s="15"/>
    </row>
    <row r="229">
      <c r="A229" s="15"/>
      <c r="B229" s="15"/>
      <c r="C229" s="15"/>
      <c r="D229" s="63"/>
      <c r="E229" s="15"/>
      <c r="F229" s="15"/>
      <c r="G229" s="16"/>
      <c r="H229" s="15"/>
      <c r="I229" s="15"/>
    </row>
    <row r="230">
      <c r="A230" s="15"/>
      <c r="B230" s="15"/>
      <c r="C230" s="15"/>
      <c r="D230" s="63"/>
      <c r="E230" s="15"/>
      <c r="F230" s="15"/>
      <c r="G230" s="16"/>
      <c r="H230" s="15"/>
      <c r="I230" s="15"/>
    </row>
    <row r="231">
      <c r="A231" s="15"/>
      <c r="B231" s="15"/>
      <c r="C231" s="15"/>
      <c r="D231" s="63"/>
      <c r="E231" s="15"/>
      <c r="F231" s="15"/>
      <c r="G231" s="16"/>
      <c r="H231" s="15"/>
      <c r="I231" s="15"/>
    </row>
    <row r="232">
      <c r="A232" s="15"/>
      <c r="B232" s="15"/>
      <c r="C232" s="15"/>
      <c r="D232" s="63"/>
      <c r="E232" s="15"/>
      <c r="F232" s="15"/>
      <c r="G232" s="16"/>
      <c r="H232" s="15"/>
      <c r="I232" s="15"/>
    </row>
    <row r="233">
      <c r="A233" s="15"/>
      <c r="B233" s="15"/>
      <c r="C233" s="15"/>
      <c r="D233" s="63"/>
      <c r="E233" s="15"/>
      <c r="F233" s="15"/>
      <c r="G233" s="16"/>
      <c r="H233" s="15"/>
      <c r="I233" s="15"/>
    </row>
    <row r="234">
      <c r="A234" s="15"/>
      <c r="B234" s="15"/>
      <c r="C234" s="15"/>
      <c r="D234" s="63"/>
      <c r="E234" s="15"/>
      <c r="F234" s="15"/>
      <c r="G234" s="16"/>
      <c r="H234" s="15"/>
      <c r="I234" s="15"/>
    </row>
    <row r="235">
      <c r="A235" s="15"/>
      <c r="B235" s="15"/>
      <c r="C235" s="15"/>
      <c r="D235" s="63"/>
      <c r="E235" s="15"/>
      <c r="F235" s="15"/>
      <c r="G235" s="16"/>
      <c r="H235" s="15"/>
      <c r="I235" s="15"/>
    </row>
    <row r="236">
      <c r="A236" s="15"/>
      <c r="B236" s="15"/>
      <c r="C236" s="15"/>
      <c r="D236" s="63"/>
      <c r="E236" s="15"/>
      <c r="F236" s="15"/>
      <c r="G236" s="16"/>
      <c r="H236" s="15"/>
      <c r="I236" s="15"/>
    </row>
    <row r="237">
      <c r="A237" s="15"/>
      <c r="B237" s="15"/>
      <c r="C237" s="15"/>
      <c r="D237" s="63"/>
      <c r="E237" s="15"/>
      <c r="F237" s="15"/>
      <c r="G237" s="16"/>
      <c r="H237" s="15"/>
      <c r="I237" s="15"/>
    </row>
    <row r="238">
      <c r="A238" s="15"/>
      <c r="B238" s="15"/>
      <c r="C238" s="15"/>
      <c r="D238" s="63"/>
      <c r="E238" s="15"/>
      <c r="F238" s="15"/>
      <c r="G238" s="16"/>
      <c r="H238" s="15"/>
      <c r="I238" s="15"/>
    </row>
    <row r="239">
      <c r="A239" s="15"/>
      <c r="B239" s="15"/>
      <c r="C239" s="15"/>
      <c r="D239" s="63"/>
      <c r="E239" s="15"/>
      <c r="F239" s="15"/>
      <c r="G239" s="16"/>
      <c r="H239" s="15"/>
      <c r="I239" s="15"/>
    </row>
    <row r="240">
      <c r="A240" s="15"/>
      <c r="B240" s="15"/>
      <c r="C240" s="15"/>
      <c r="D240" s="63"/>
      <c r="E240" s="15"/>
      <c r="F240" s="15"/>
      <c r="G240" s="16"/>
      <c r="H240" s="15"/>
      <c r="I240" s="15"/>
    </row>
    <row r="241">
      <c r="A241" s="15"/>
      <c r="B241" s="15"/>
      <c r="C241" s="15"/>
      <c r="D241" s="63"/>
      <c r="E241" s="15"/>
      <c r="F241" s="15"/>
      <c r="G241" s="16"/>
      <c r="H241" s="15"/>
      <c r="I241" s="15"/>
    </row>
    <row r="242">
      <c r="A242" s="15"/>
      <c r="B242" s="15"/>
      <c r="C242" s="15"/>
      <c r="D242" s="63"/>
      <c r="E242" s="15"/>
      <c r="F242" s="15"/>
      <c r="G242" s="16"/>
      <c r="H242" s="15"/>
      <c r="I242" s="15"/>
    </row>
    <row r="243">
      <c r="A243" s="15"/>
      <c r="B243" s="15"/>
      <c r="C243" s="15"/>
      <c r="D243" s="63"/>
      <c r="E243" s="15"/>
      <c r="F243" s="15"/>
      <c r="G243" s="16"/>
      <c r="H243" s="15"/>
      <c r="I243" s="15"/>
    </row>
    <row r="244">
      <c r="A244" s="15"/>
      <c r="B244" s="15"/>
      <c r="C244" s="15"/>
      <c r="D244" s="63"/>
      <c r="E244" s="15"/>
      <c r="F244" s="15"/>
      <c r="G244" s="16"/>
      <c r="H244" s="15"/>
      <c r="I244" s="15"/>
    </row>
    <row r="245">
      <c r="A245" s="15"/>
      <c r="B245" s="15"/>
      <c r="C245" s="15"/>
      <c r="D245" s="63"/>
      <c r="E245" s="15"/>
      <c r="F245" s="15"/>
      <c r="G245" s="16"/>
      <c r="H245" s="15"/>
      <c r="I245" s="15"/>
    </row>
    <row r="246">
      <c r="A246" s="15"/>
      <c r="B246" s="15"/>
      <c r="C246" s="15"/>
      <c r="D246" s="63"/>
      <c r="E246" s="15"/>
      <c r="F246" s="15"/>
      <c r="G246" s="16"/>
      <c r="H246" s="15"/>
      <c r="I246" s="15"/>
    </row>
    <row r="247">
      <c r="A247" s="15"/>
      <c r="B247" s="15"/>
      <c r="C247" s="15"/>
      <c r="D247" s="63"/>
      <c r="E247" s="15"/>
      <c r="F247" s="15"/>
      <c r="G247" s="16"/>
      <c r="H247" s="15"/>
      <c r="I247" s="15"/>
    </row>
    <row r="248">
      <c r="A248" s="15"/>
      <c r="B248" s="15"/>
      <c r="C248" s="15"/>
      <c r="D248" s="63"/>
      <c r="E248" s="15"/>
      <c r="F248" s="15"/>
      <c r="G248" s="16"/>
      <c r="H248" s="15"/>
      <c r="I248" s="15"/>
    </row>
    <row r="249">
      <c r="A249" s="15"/>
      <c r="B249" s="15"/>
      <c r="C249" s="15"/>
      <c r="D249" s="63"/>
      <c r="E249" s="15"/>
      <c r="F249" s="15"/>
      <c r="G249" s="16"/>
      <c r="H249" s="15"/>
      <c r="I249" s="15"/>
    </row>
    <row r="250">
      <c r="A250" s="15"/>
      <c r="B250" s="15"/>
      <c r="C250" s="15"/>
      <c r="D250" s="63"/>
      <c r="E250" s="15"/>
      <c r="F250" s="15"/>
      <c r="G250" s="16"/>
      <c r="H250" s="15"/>
      <c r="I250" s="15"/>
    </row>
    <row r="251">
      <c r="A251" s="15"/>
      <c r="B251" s="15"/>
      <c r="C251" s="15"/>
      <c r="D251" s="63"/>
      <c r="E251" s="15"/>
      <c r="F251" s="15"/>
      <c r="G251" s="16"/>
      <c r="H251" s="15"/>
      <c r="I251" s="15"/>
    </row>
    <row r="252">
      <c r="A252" s="15"/>
      <c r="B252" s="15"/>
      <c r="C252" s="15"/>
      <c r="D252" s="63"/>
      <c r="E252" s="15"/>
      <c r="F252" s="15"/>
      <c r="G252" s="16"/>
      <c r="H252" s="15"/>
      <c r="I252" s="15"/>
    </row>
    <row r="253">
      <c r="A253" s="15"/>
      <c r="B253" s="15"/>
      <c r="C253" s="15"/>
      <c r="D253" s="63"/>
      <c r="E253" s="15"/>
      <c r="F253" s="15"/>
      <c r="G253" s="16"/>
      <c r="H253" s="15"/>
      <c r="I253" s="15"/>
    </row>
    <row r="254">
      <c r="A254" s="15"/>
      <c r="B254" s="15"/>
      <c r="C254" s="15"/>
      <c r="D254" s="63"/>
      <c r="E254" s="15"/>
      <c r="F254" s="15"/>
      <c r="G254" s="16"/>
      <c r="H254" s="15"/>
      <c r="I254" s="15"/>
    </row>
    <row r="255">
      <c r="A255" s="15"/>
      <c r="B255" s="15"/>
      <c r="C255" s="15"/>
      <c r="D255" s="63"/>
      <c r="E255" s="15"/>
      <c r="F255" s="15"/>
      <c r="G255" s="16"/>
      <c r="H255" s="15"/>
      <c r="I255" s="15"/>
    </row>
    <row r="256">
      <c r="A256" s="15"/>
      <c r="B256" s="15"/>
      <c r="C256" s="15"/>
      <c r="D256" s="63"/>
      <c r="E256" s="15"/>
      <c r="F256" s="15"/>
      <c r="G256" s="16"/>
      <c r="H256" s="15"/>
      <c r="I256" s="15"/>
    </row>
    <row r="257">
      <c r="A257" s="15"/>
      <c r="B257" s="15"/>
      <c r="C257" s="15"/>
      <c r="D257" s="63"/>
      <c r="E257" s="15"/>
      <c r="F257" s="15"/>
      <c r="G257" s="16"/>
      <c r="H257" s="15"/>
      <c r="I257" s="15"/>
    </row>
    <row r="258">
      <c r="A258" s="15"/>
      <c r="B258" s="15"/>
      <c r="C258" s="15"/>
      <c r="D258" s="63"/>
      <c r="E258" s="15"/>
      <c r="F258" s="15"/>
      <c r="G258" s="16"/>
      <c r="H258" s="15"/>
      <c r="I258" s="15"/>
    </row>
    <row r="259">
      <c r="A259" s="15"/>
      <c r="B259" s="15"/>
      <c r="C259" s="15"/>
      <c r="D259" s="63"/>
      <c r="E259" s="15"/>
      <c r="F259" s="15"/>
      <c r="G259" s="16"/>
      <c r="H259" s="15"/>
      <c r="I259" s="15"/>
    </row>
    <row r="260">
      <c r="A260" s="15"/>
      <c r="B260" s="15"/>
      <c r="C260" s="15"/>
      <c r="D260" s="63"/>
      <c r="E260" s="15"/>
      <c r="F260" s="15"/>
      <c r="G260" s="16"/>
      <c r="H260" s="15"/>
      <c r="I260" s="15"/>
    </row>
    <row r="261">
      <c r="A261" s="15"/>
      <c r="B261" s="15"/>
      <c r="C261" s="15"/>
      <c r="D261" s="63"/>
      <c r="E261" s="15"/>
      <c r="F261" s="15"/>
      <c r="G261" s="16"/>
      <c r="H261" s="15"/>
      <c r="I261" s="15"/>
    </row>
    <row r="262">
      <c r="A262" s="15"/>
      <c r="B262" s="15"/>
      <c r="C262" s="15"/>
      <c r="D262" s="63"/>
      <c r="E262" s="15"/>
      <c r="F262" s="15"/>
      <c r="G262" s="16"/>
      <c r="H262" s="15"/>
      <c r="I262" s="15"/>
    </row>
    <row r="263">
      <c r="A263" s="15"/>
      <c r="B263" s="15"/>
      <c r="C263" s="15"/>
      <c r="D263" s="63"/>
      <c r="E263" s="15"/>
      <c r="F263" s="15"/>
      <c r="G263" s="16"/>
      <c r="H263" s="15"/>
      <c r="I263" s="15"/>
    </row>
    <row r="264">
      <c r="A264" s="15"/>
      <c r="B264" s="15"/>
      <c r="C264" s="15"/>
      <c r="D264" s="63"/>
      <c r="E264" s="15"/>
      <c r="F264" s="15"/>
      <c r="G264" s="16"/>
      <c r="H264" s="15"/>
      <c r="I264" s="15"/>
    </row>
    <row r="265">
      <c r="A265" s="15"/>
      <c r="B265" s="15"/>
      <c r="C265" s="15"/>
      <c r="D265" s="63"/>
      <c r="E265" s="15"/>
      <c r="F265" s="15"/>
      <c r="G265" s="16"/>
      <c r="H265" s="15"/>
      <c r="I265" s="15"/>
    </row>
    <row r="266">
      <c r="A266" s="15"/>
      <c r="B266" s="15"/>
      <c r="C266" s="15"/>
      <c r="D266" s="63"/>
      <c r="E266" s="15"/>
      <c r="F266" s="15"/>
      <c r="G266" s="16"/>
      <c r="H266" s="15"/>
      <c r="I266" s="15"/>
    </row>
    <row r="267">
      <c r="A267" s="15"/>
      <c r="B267" s="15"/>
      <c r="C267" s="15"/>
      <c r="D267" s="63"/>
      <c r="E267" s="15"/>
      <c r="F267" s="15"/>
      <c r="G267" s="16"/>
      <c r="H267" s="15"/>
      <c r="I267" s="15"/>
    </row>
    <row r="268">
      <c r="A268" s="15"/>
      <c r="B268" s="15"/>
      <c r="C268" s="15"/>
      <c r="D268" s="63"/>
      <c r="E268" s="15"/>
      <c r="F268" s="15"/>
      <c r="G268" s="16"/>
      <c r="H268" s="15"/>
      <c r="I268" s="15"/>
    </row>
    <row r="269">
      <c r="A269" s="15"/>
      <c r="B269" s="15"/>
      <c r="C269" s="15"/>
      <c r="D269" s="63"/>
      <c r="E269" s="15"/>
      <c r="F269" s="15"/>
      <c r="G269" s="16"/>
      <c r="H269" s="15"/>
      <c r="I269" s="15"/>
    </row>
    <row r="270">
      <c r="A270" s="15"/>
      <c r="B270" s="15"/>
      <c r="C270" s="15"/>
      <c r="D270" s="63"/>
      <c r="E270" s="15"/>
      <c r="F270" s="15"/>
      <c r="G270" s="16"/>
      <c r="H270" s="15"/>
      <c r="I270" s="15"/>
    </row>
    <row r="271">
      <c r="A271" s="15"/>
      <c r="B271" s="15"/>
      <c r="C271" s="15"/>
      <c r="D271" s="63"/>
      <c r="E271" s="15"/>
      <c r="F271" s="15"/>
      <c r="G271" s="16"/>
      <c r="H271" s="15"/>
      <c r="I271" s="15"/>
    </row>
    <row r="272">
      <c r="A272" s="15"/>
      <c r="B272" s="15"/>
      <c r="C272" s="15"/>
      <c r="D272" s="63"/>
      <c r="E272" s="15"/>
      <c r="F272" s="15"/>
      <c r="G272" s="16"/>
      <c r="H272" s="15"/>
      <c r="I272" s="15"/>
    </row>
    <row r="273">
      <c r="A273" s="15"/>
      <c r="B273" s="15"/>
      <c r="C273" s="15"/>
      <c r="D273" s="63"/>
      <c r="E273" s="15"/>
      <c r="F273" s="15"/>
      <c r="G273" s="16"/>
      <c r="H273" s="15"/>
      <c r="I273" s="15"/>
    </row>
    <row r="274">
      <c r="A274" s="15"/>
      <c r="B274" s="15"/>
      <c r="C274" s="15"/>
      <c r="D274" s="63"/>
      <c r="E274" s="15"/>
      <c r="F274" s="15"/>
      <c r="G274" s="16"/>
      <c r="H274" s="15"/>
      <c r="I274" s="15"/>
    </row>
    <row r="275">
      <c r="A275" s="15"/>
      <c r="B275" s="15"/>
      <c r="C275" s="15"/>
      <c r="D275" s="63"/>
      <c r="E275" s="15"/>
      <c r="F275" s="15"/>
      <c r="G275" s="16"/>
      <c r="H275" s="15"/>
      <c r="I275" s="15"/>
    </row>
    <row r="276">
      <c r="A276" s="15"/>
      <c r="B276" s="15"/>
      <c r="C276" s="15"/>
      <c r="D276" s="63"/>
      <c r="E276" s="15"/>
      <c r="F276" s="15"/>
      <c r="G276" s="16"/>
      <c r="H276" s="15"/>
      <c r="I276" s="15"/>
    </row>
    <row r="277">
      <c r="A277" s="15"/>
      <c r="B277" s="15"/>
      <c r="C277" s="15"/>
      <c r="D277" s="63"/>
      <c r="E277" s="15"/>
      <c r="F277" s="15"/>
      <c r="G277" s="16"/>
      <c r="H277" s="15"/>
      <c r="I277" s="15"/>
    </row>
    <row r="278">
      <c r="A278" s="15"/>
      <c r="B278" s="15"/>
      <c r="C278" s="15"/>
      <c r="D278" s="63"/>
      <c r="E278" s="15"/>
      <c r="F278" s="15"/>
      <c r="G278" s="16"/>
      <c r="H278" s="15"/>
      <c r="I278" s="15"/>
    </row>
    <row r="279">
      <c r="A279" s="15"/>
      <c r="B279" s="15"/>
      <c r="C279" s="15"/>
      <c r="D279" s="63"/>
      <c r="E279" s="15"/>
      <c r="F279" s="15"/>
      <c r="G279" s="16"/>
      <c r="H279" s="15"/>
      <c r="I279" s="15"/>
    </row>
    <row r="280">
      <c r="A280" s="15"/>
      <c r="B280" s="15"/>
      <c r="C280" s="15"/>
      <c r="D280" s="63"/>
      <c r="E280" s="15"/>
      <c r="F280" s="15"/>
      <c r="G280" s="16"/>
      <c r="H280" s="15"/>
      <c r="I280" s="15"/>
    </row>
    <row r="281">
      <c r="A281" s="15"/>
      <c r="B281" s="15"/>
      <c r="C281" s="15"/>
      <c r="D281" s="63"/>
      <c r="E281" s="15"/>
      <c r="F281" s="15"/>
      <c r="G281" s="16"/>
      <c r="H281" s="15"/>
      <c r="I281" s="15"/>
    </row>
    <row r="282">
      <c r="A282" s="15"/>
      <c r="B282" s="15"/>
      <c r="C282" s="15"/>
      <c r="D282" s="63"/>
      <c r="E282" s="15"/>
      <c r="F282" s="15"/>
      <c r="G282" s="16"/>
      <c r="H282" s="15"/>
      <c r="I282" s="15"/>
    </row>
    <row r="283">
      <c r="A283" s="15"/>
      <c r="B283" s="15"/>
      <c r="C283" s="15"/>
      <c r="D283" s="63"/>
      <c r="E283" s="15"/>
      <c r="F283" s="15"/>
      <c r="G283" s="16"/>
      <c r="H283" s="15"/>
      <c r="I283" s="15"/>
    </row>
    <row r="284">
      <c r="A284" s="15"/>
      <c r="B284" s="15"/>
      <c r="C284" s="15"/>
      <c r="D284" s="63"/>
      <c r="E284" s="15"/>
      <c r="F284" s="15"/>
      <c r="G284" s="16"/>
      <c r="H284" s="15"/>
      <c r="I284" s="15"/>
    </row>
    <row r="285">
      <c r="A285" s="15"/>
      <c r="B285" s="15"/>
      <c r="C285" s="15"/>
      <c r="D285" s="63"/>
      <c r="E285" s="15"/>
      <c r="F285" s="15"/>
      <c r="G285" s="16"/>
      <c r="H285" s="15"/>
      <c r="I285" s="15"/>
    </row>
    <row r="286">
      <c r="A286" s="15"/>
      <c r="B286" s="15"/>
      <c r="C286" s="15"/>
      <c r="D286" s="63"/>
      <c r="E286" s="15"/>
      <c r="F286" s="15"/>
      <c r="G286" s="16"/>
      <c r="H286" s="15"/>
      <c r="I286" s="15"/>
    </row>
    <row r="287">
      <c r="A287" s="15"/>
      <c r="B287" s="15"/>
      <c r="C287" s="15"/>
      <c r="D287" s="63"/>
      <c r="E287" s="15"/>
      <c r="F287" s="15"/>
      <c r="G287" s="16"/>
      <c r="H287" s="15"/>
      <c r="I287" s="15"/>
    </row>
    <row r="288">
      <c r="A288" s="15"/>
      <c r="B288" s="15"/>
      <c r="C288" s="15"/>
      <c r="D288" s="63"/>
      <c r="E288" s="15"/>
      <c r="F288" s="15"/>
      <c r="G288" s="16"/>
      <c r="H288" s="15"/>
      <c r="I288" s="15"/>
    </row>
    <row r="289">
      <c r="A289" s="15"/>
      <c r="B289" s="15"/>
      <c r="C289" s="15"/>
      <c r="D289" s="63"/>
      <c r="E289" s="15"/>
      <c r="F289" s="15"/>
      <c r="G289" s="16"/>
      <c r="H289" s="15"/>
      <c r="I289" s="15"/>
    </row>
    <row r="290">
      <c r="A290" s="15"/>
      <c r="B290" s="15"/>
      <c r="C290" s="15"/>
      <c r="D290" s="63"/>
      <c r="E290" s="15"/>
      <c r="F290" s="15"/>
      <c r="G290" s="16"/>
      <c r="H290" s="15"/>
      <c r="I290" s="15"/>
    </row>
    <row r="291">
      <c r="A291" s="15"/>
      <c r="B291" s="15"/>
      <c r="C291" s="15"/>
      <c r="D291" s="63"/>
      <c r="E291" s="15"/>
      <c r="F291" s="15"/>
      <c r="G291" s="16"/>
      <c r="H291" s="15"/>
      <c r="I291" s="15"/>
    </row>
    <row r="292">
      <c r="A292" s="15"/>
      <c r="B292" s="15"/>
      <c r="C292" s="15"/>
      <c r="D292" s="63"/>
      <c r="E292" s="15"/>
      <c r="F292" s="15"/>
      <c r="G292" s="16"/>
      <c r="H292" s="15"/>
      <c r="I292" s="15"/>
    </row>
    <row r="293">
      <c r="A293" s="15"/>
      <c r="B293" s="15"/>
      <c r="C293" s="15"/>
      <c r="D293" s="63"/>
      <c r="E293" s="15"/>
      <c r="F293" s="15"/>
      <c r="G293" s="16"/>
      <c r="H293" s="15"/>
      <c r="I293" s="15"/>
    </row>
    <row r="294">
      <c r="A294" s="15"/>
      <c r="B294" s="15"/>
      <c r="C294" s="15"/>
      <c r="D294" s="63"/>
      <c r="E294" s="15"/>
      <c r="F294" s="15"/>
      <c r="G294" s="16"/>
      <c r="H294" s="15"/>
      <c r="I294" s="15"/>
    </row>
    <row r="295">
      <c r="A295" s="15"/>
      <c r="B295" s="15"/>
      <c r="C295" s="15"/>
      <c r="D295" s="63"/>
      <c r="E295" s="15"/>
      <c r="F295" s="15"/>
      <c r="G295" s="16"/>
      <c r="H295" s="15"/>
      <c r="I295" s="15"/>
    </row>
    <row r="296">
      <c r="A296" s="15"/>
      <c r="B296" s="15"/>
      <c r="C296" s="15"/>
      <c r="D296" s="63"/>
      <c r="E296" s="15"/>
      <c r="F296" s="15"/>
      <c r="G296" s="16"/>
      <c r="H296" s="15"/>
      <c r="I296" s="15"/>
    </row>
    <row r="297">
      <c r="A297" s="15"/>
      <c r="B297" s="15"/>
      <c r="C297" s="15"/>
      <c r="D297" s="63"/>
      <c r="E297" s="15"/>
      <c r="F297" s="15"/>
      <c r="G297" s="16"/>
      <c r="H297" s="15"/>
      <c r="I297" s="15"/>
    </row>
    <row r="298">
      <c r="A298" s="15"/>
      <c r="B298" s="15"/>
      <c r="C298" s="15"/>
      <c r="D298" s="63"/>
      <c r="E298" s="15"/>
      <c r="F298" s="15"/>
      <c r="G298" s="16"/>
      <c r="H298" s="15"/>
      <c r="I298" s="15"/>
    </row>
    <row r="299">
      <c r="A299" s="15"/>
      <c r="B299" s="15"/>
      <c r="C299" s="15"/>
      <c r="D299" s="63"/>
      <c r="E299" s="15"/>
      <c r="F299" s="15"/>
      <c r="G299" s="16"/>
      <c r="H299" s="15"/>
      <c r="I299" s="15"/>
    </row>
    <row r="300">
      <c r="A300" s="15"/>
      <c r="B300" s="15"/>
      <c r="C300" s="15"/>
      <c r="D300" s="63"/>
      <c r="E300" s="15"/>
      <c r="F300" s="15"/>
      <c r="G300" s="16"/>
      <c r="H300" s="15"/>
      <c r="I300" s="15"/>
    </row>
    <row r="301">
      <c r="A301" s="15"/>
      <c r="B301" s="15"/>
      <c r="C301" s="15"/>
      <c r="D301" s="63"/>
      <c r="E301" s="15"/>
      <c r="F301" s="15"/>
      <c r="G301" s="16"/>
      <c r="H301" s="15"/>
      <c r="I301" s="15"/>
    </row>
    <row r="302">
      <c r="A302" s="15"/>
      <c r="B302" s="15"/>
      <c r="C302" s="15"/>
      <c r="D302" s="63"/>
      <c r="E302" s="15"/>
      <c r="F302" s="15"/>
      <c r="G302" s="16"/>
      <c r="H302" s="15"/>
      <c r="I302" s="15"/>
    </row>
    <row r="303">
      <c r="A303" s="15"/>
      <c r="B303" s="15"/>
      <c r="C303" s="15"/>
      <c r="D303" s="63"/>
      <c r="E303" s="15"/>
      <c r="F303" s="15"/>
      <c r="G303" s="16"/>
      <c r="H303" s="15"/>
      <c r="I303" s="15"/>
    </row>
    <row r="304">
      <c r="A304" s="15"/>
      <c r="B304" s="15"/>
      <c r="C304" s="15"/>
      <c r="D304" s="63"/>
      <c r="E304" s="15"/>
      <c r="F304" s="15"/>
      <c r="G304" s="16"/>
      <c r="H304" s="15"/>
      <c r="I304" s="15"/>
    </row>
    <row r="305">
      <c r="A305" s="15"/>
      <c r="B305" s="15"/>
      <c r="C305" s="15"/>
      <c r="D305" s="63"/>
      <c r="E305" s="15"/>
      <c r="F305" s="15"/>
      <c r="G305" s="16"/>
      <c r="H305" s="15"/>
      <c r="I305" s="15"/>
    </row>
    <row r="306">
      <c r="A306" s="15"/>
      <c r="B306" s="15"/>
      <c r="C306" s="15"/>
      <c r="D306" s="63"/>
      <c r="E306" s="15"/>
      <c r="F306" s="15"/>
      <c r="G306" s="16"/>
      <c r="H306" s="15"/>
      <c r="I306" s="15"/>
    </row>
    <row r="307">
      <c r="A307" s="15"/>
      <c r="B307" s="15"/>
      <c r="C307" s="15"/>
      <c r="D307" s="63"/>
      <c r="E307" s="15"/>
      <c r="F307" s="15"/>
      <c r="G307" s="16"/>
      <c r="H307" s="15"/>
      <c r="I307" s="15"/>
    </row>
    <row r="308">
      <c r="A308" s="15"/>
      <c r="B308" s="15"/>
      <c r="C308" s="15"/>
      <c r="D308" s="63"/>
      <c r="E308" s="15"/>
      <c r="F308" s="15"/>
      <c r="G308" s="16"/>
      <c r="H308" s="15"/>
      <c r="I308" s="15"/>
    </row>
    <row r="309">
      <c r="A309" s="15"/>
      <c r="B309" s="15"/>
      <c r="C309" s="15"/>
      <c r="D309" s="63"/>
      <c r="E309" s="15"/>
      <c r="F309" s="15"/>
      <c r="G309" s="16"/>
      <c r="H309" s="15"/>
      <c r="I309" s="15"/>
    </row>
    <row r="310">
      <c r="A310" s="15"/>
      <c r="B310" s="15"/>
      <c r="C310" s="15"/>
      <c r="D310" s="63"/>
      <c r="E310" s="15"/>
      <c r="F310" s="15"/>
      <c r="G310" s="16"/>
      <c r="H310" s="15"/>
      <c r="I310" s="15"/>
    </row>
    <row r="311">
      <c r="A311" s="15"/>
      <c r="B311" s="15"/>
      <c r="C311" s="15"/>
      <c r="D311" s="63"/>
      <c r="E311" s="15"/>
      <c r="F311" s="15"/>
      <c r="G311" s="16"/>
      <c r="H311" s="15"/>
      <c r="I311" s="15"/>
    </row>
    <row r="312">
      <c r="A312" s="15"/>
      <c r="B312" s="15"/>
      <c r="C312" s="15"/>
      <c r="D312" s="63"/>
      <c r="E312" s="15"/>
      <c r="F312" s="15"/>
      <c r="G312" s="16"/>
      <c r="H312" s="15"/>
      <c r="I312" s="15"/>
    </row>
    <row r="313">
      <c r="A313" s="15"/>
      <c r="B313" s="15"/>
      <c r="C313" s="15"/>
      <c r="D313" s="63"/>
      <c r="E313" s="15"/>
      <c r="F313" s="15"/>
      <c r="G313" s="16"/>
      <c r="H313" s="15"/>
      <c r="I313" s="15"/>
    </row>
    <row r="314">
      <c r="A314" s="15"/>
      <c r="B314" s="15"/>
      <c r="C314" s="15"/>
      <c r="D314" s="63"/>
      <c r="E314" s="15"/>
      <c r="F314" s="15"/>
      <c r="G314" s="16"/>
      <c r="H314" s="15"/>
      <c r="I314" s="15"/>
    </row>
    <row r="315">
      <c r="A315" s="15"/>
      <c r="B315" s="15"/>
      <c r="C315" s="15"/>
      <c r="D315" s="63"/>
      <c r="E315" s="15"/>
      <c r="F315" s="15"/>
      <c r="G315" s="16"/>
      <c r="H315" s="15"/>
      <c r="I315" s="15"/>
    </row>
    <row r="316">
      <c r="A316" s="15"/>
      <c r="B316" s="15"/>
      <c r="C316" s="15"/>
      <c r="D316" s="63"/>
      <c r="E316" s="15"/>
      <c r="F316" s="15"/>
      <c r="G316" s="16"/>
      <c r="H316" s="15"/>
      <c r="I316" s="15"/>
    </row>
    <row r="317">
      <c r="A317" s="15"/>
      <c r="B317" s="15"/>
      <c r="C317" s="15"/>
      <c r="D317" s="63"/>
      <c r="E317" s="15"/>
      <c r="F317" s="15"/>
      <c r="G317" s="16"/>
      <c r="H317" s="15"/>
      <c r="I317" s="15"/>
    </row>
    <row r="318">
      <c r="A318" s="15"/>
      <c r="B318" s="15"/>
      <c r="C318" s="15"/>
      <c r="D318" s="63"/>
      <c r="E318" s="15"/>
      <c r="F318" s="15"/>
      <c r="G318" s="16"/>
      <c r="H318" s="15"/>
      <c r="I318" s="15"/>
    </row>
    <row r="319">
      <c r="A319" s="15"/>
      <c r="B319" s="15"/>
      <c r="C319" s="15"/>
      <c r="D319" s="63"/>
      <c r="E319" s="15"/>
      <c r="F319" s="15"/>
      <c r="G319" s="16"/>
      <c r="H319" s="15"/>
      <c r="I319" s="15"/>
    </row>
    <row r="320">
      <c r="A320" s="15"/>
      <c r="B320" s="15"/>
      <c r="C320" s="15"/>
      <c r="D320" s="63"/>
      <c r="E320" s="15"/>
      <c r="F320" s="15"/>
      <c r="G320" s="16"/>
      <c r="H320" s="15"/>
      <c r="I320" s="15"/>
    </row>
    <row r="321">
      <c r="A321" s="15"/>
      <c r="B321" s="15"/>
      <c r="C321" s="15"/>
      <c r="D321" s="63"/>
      <c r="E321" s="15"/>
      <c r="F321" s="15"/>
      <c r="G321" s="16"/>
      <c r="H321" s="15"/>
      <c r="I321" s="15"/>
    </row>
    <row r="322">
      <c r="A322" s="15"/>
      <c r="B322" s="15"/>
      <c r="C322" s="15"/>
      <c r="D322" s="63"/>
      <c r="E322" s="15"/>
      <c r="F322" s="15"/>
      <c r="G322" s="16"/>
      <c r="H322" s="15"/>
      <c r="I322" s="15"/>
    </row>
    <row r="323">
      <c r="A323" s="15"/>
      <c r="B323" s="15"/>
      <c r="C323" s="15"/>
      <c r="D323" s="63"/>
      <c r="E323" s="15"/>
      <c r="F323" s="15"/>
      <c r="G323" s="16"/>
      <c r="H323" s="15"/>
      <c r="I323" s="15"/>
    </row>
    <row r="324">
      <c r="A324" s="15"/>
      <c r="B324" s="15"/>
      <c r="C324" s="15"/>
      <c r="D324" s="63"/>
      <c r="E324" s="15"/>
      <c r="F324" s="15"/>
      <c r="G324" s="16"/>
      <c r="H324" s="15"/>
      <c r="I324" s="15"/>
    </row>
    <row r="325">
      <c r="A325" s="15"/>
      <c r="B325" s="15"/>
      <c r="C325" s="15"/>
      <c r="D325" s="63"/>
      <c r="E325" s="15"/>
      <c r="F325" s="15"/>
      <c r="G325" s="16"/>
      <c r="H325" s="15"/>
      <c r="I325" s="15"/>
    </row>
    <row r="326">
      <c r="A326" s="15"/>
      <c r="B326" s="15"/>
      <c r="C326" s="15"/>
      <c r="D326" s="63"/>
      <c r="E326" s="15"/>
      <c r="F326" s="15"/>
      <c r="G326" s="16"/>
      <c r="H326" s="15"/>
      <c r="I326" s="15"/>
    </row>
    <row r="327">
      <c r="A327" s="15"/>
      <c r="B327" s="15"/>
      <c r="C327" s="15"/>
      <c r="D327" s="63"/>
      <c r="E327" s="15"/>
      <c r="F327" s="15"/>
      <c r="G327" s="16"/>
      <c r="H327" s="15"/>
      <c r="I327" s="15"/>
    </row>
    <row r="328">
      <c r="A328" s="15"/>
      <c r="B328" s="15"/>
      <c r="C328" s="15"/>
      <c r="D328" s="63"/>
      <c r="E328" s="15"/>
      <c r="F328" s="15"/>
      <c r="G328" s="16"/>
      <c r="H328" s="15"/>
      <c r="I328" s="15"/>
    </row>
    <row r="329">
      <c r="A329" s="15"/>
      <c r="B329" s="15"/>
      <c r="C329" s="15"/>
      <c r="D329" s="63"/>
      <c r="E329" s="15"/>
      <c r="F329" s="15"/>
      <c r="G329" s="16"/>
      <c r="H329" s="15"/>
      <c r="I329" s="15"/>
    </row>
    <row r="330">
      <c r="A330" s="15"/>
      <c r="B330" s="15"/>
      <c r="C330" s="15"/>
      <c r="D330" s="63"/>
      <c r="E330" s="15"/>
      <c r="F330" s="15"/>
      <c r="G330" s="16"/>
      <c r="H330" s="15"/>
      <c r="I330" s="15"/>
    </row>
    <row r="331">
      <c r="A331" s="15"/>
      <c r="B331" s="15"/>
      <c r="C331" s="15"/>
      <c r="D331" s="63"/>
      <c r="E331" s="15"/>
      <c r="F331" s="15"/>
      <c r="G331" s="16"/>
      <c r="H331" s="15"/>
      <c r="I331" s="15"/>
    </row>
    <row r="332">
      <c r="A332" s="15"/>
      <c r="B332" s="15"/>
      <c r="C332" s="15"/>
      <c r="D332" s="63"/>
      <c r="E332" s="15"/>
      <c r="F332" s="15"/>
      <c r="G332" s="16"/>
      <c r="H332" s="15"/>
      <c r="I332" s="15"/>
    </row>
    <row r="333">
      <c r="A333" s="15"/>
      <c r="B333" s="15"/>
      <c r="C333" s="15"/>
      <c r="D333" s="63"/>
      <c r="E333" s="15"/>
      <c r="F333" s="15"/>
      <c r="G333" s="16"/>
      <c r="H333" s="15"/>
      <c r="I333" s="15"/>
    </row>
    <row r="334">
      <c r="A334" s="15"/>
      <c r="B334" s="15"/>
      <c r="C334" s="15"/>
      <c r="D334" s="63"/>
      <c r="E334" s="15"/>
      <c r="F334" s="15"/>
      <c r="G334" s="16"/>
      <c r="H334" s="15"/>
      <c r="I334" s="15"/>
    </row>
    <row r="335">
      <c r="A335" s="15"/>
      <c r="B335" s="15"/>
      <c r="C335" s="15"/>
      <c r="D335" s="63"/>
      <c r="E335" s="15"/>
      <c r="F335" s="15"/>
      <c r="G335" s="16"/>
      <c r="H335" s="15"/>
      <c r="I335" s="15"/>
    </row>
    <row r="336">
      <c r="A336" s="15"/>
      <c r="B336" s="15"/>
      <c r="C336" s="15"/>
      <c r="D336" s="63"/>
      <c r="E336" s="15"/>
      <c r="F336" s="15"/>
      <c r="G336" s="16"/>
      <c r="H336" s="15"/>
      <c r="I336" s="15"/>
    </row>
    <row r="337">
      <c r="A337" s="15"/>
      <c r="B337" s="15"/>
      <c r="C337" s="15"/>
      <c r="D337" s="63"/>
      <c r="E337" s="15"/>
      <c r="F337" s="15"/>
      <c r="G337" s="16"/>
      <c r="H337" s="15"/>
      <c r="I337" s="15"/>
    </row>
    <row r="338">
      <c r="A338" s="15"/>
      <c r="B338" s="15"/>
      <c r="C338" s="15"/>
      <c r="D338" s="63"/>
      <c r="E338" s="15"/>
      <c r="F338" s="15"/>
      <c r="G338" s="16"/>
      <c r="H338" s="15"/>
      <c r="I338" s="15"/>
    </row>
    <row r="339">
      <c r="A339" s="15"/>
      <c r="B339" s="15"/>
      <c r="C339" s="15"/>
      <c r="D339" s="63"/>
      <c r="E339" s="15"/>
      <c r="F339" s="15"/>
      <c r="G339" s="16"/>
      <c r="H339" s="15"/>
      <c r="I339" s="15"/>
    </row>
    <row r="340">
      <c r="A340" s="15"/>
      <c r="B340" s="15"/>
      <c r="C340" s="15"/>
      <c r="D340" s="63"/>
      <c r="E340" s="15"/>
      <c r="F340" s="15"/>
      <c r="G340" s="16"/>
      <c r="H340" s="15"/>
      <c r="I340" s="15"/>
    </row>
    <row r="341">
      <c r="A341" s="15"/>
      <c r="B341" s="15"/>
      <c r="C341" s="15"/>
      <c r="D341" s="63"/>
      <c r="E341" s="15"/>
      <c r="F341" s="15"/>
      <c r="G341" s="16"/>
      <c r="H341" s="15"/>
      <c r="I341" s="15"/>
    </row>
    <row r="342">
      <c r="A342" s="15"/>
      <c r="B342" s="15"/>
      <c r="C342" s="15"/>
      <c r="D342" s="63"/>
      <c r="E342" s="15"/>
      <c r="F342" s="15"/>
      <c r="G342" s="16"/>
      <c r="H342" s="15"/>
      <c r="I342" s="15"/>
    </row>
    <row r="343">
      <c r="A343" s="15"/>
      <c r="B343" s="15"/>
      <c r="C343" s="15"/>
      <c r="D343" s="63"/>
      <c r="E343" s="15"/>
      <c r="F343" s="15"/>
      <c r="G343" s="16"/>
      <c r="H343" s="15"/>
      <c r="I343" s="15"/>
    </row>
    <row r="344">
      <c r="A344" s="15"/>
      <c r="B344" s="15"/>
      <c r="C344" s="15"/>
      <c r="D344" s="63"/>
      <c r="E344" s="15"/>
      <c r="F344" s="15"/>
      <c r="G344" s="16"/>
      <c r="H344" s="15"/>
      <c r="I344" s="15"/>
    </row>
    <row r="345">
      <c r="A345" s="15"/>
      <c r="B345" s="15"/>
      <c r="C345" s="15"/>
      <c r="D345" s="63"/>
      <c r="E345" s="15"/>
      <c r="F345" s="15"/>
      <c r="G345" s="16"/>
      <c r="H345" s="15"/>
      <c r="I345" s="15"/>
    </row>
    <row r="346">
      <c r="A346" s="15"/>
      <c r="B346" s="15"/>
      <c r="C346" s="15"/>
      <c r="D346" s="63"/>
      <c r="E346" s="15"/>
      <c r="F346" s="15"/>
      <c r="G346" s="16"/>
      <c r="H346" s="15"/>
      <c r="I346" s="15"/>
    </row>
    <row r="347">
      <c r="A347" s="15"/>
      <c r="B347" s="15"/>
      <c r="C347" s="15"/>
      <c r="D347" s="63"/>
      <c r="E347" s="15"/>
      <c r="F347" s="15"/>
      <c r="G347" s="16"/>
      <c r="H347" s="15"/>
      <c r="I347" s="15"/>
    </row>
    <row r="348">
      <c r="A348" s="15"/>
      <c r="B348" s="15"/>
      <c r="C348" s="15"/>
      <c r="D348" s="63"/>
      <c r="E348" s="15"/>
      <c r="F348" s="15"/>
      <c r="G348" s="16"/>
      <c r="H348" s="15"/>
      <c r="I348" s="15"/>
    </row>
    <row r="349">
      <c r="A349" s="15"/>
      <c r="B349" s="15"/>
      <c r="C349" s="15"/>
      <c r="D349" s="63"/>
      <c r="E349" s="15"/>
      <c r="F349" s="15"/>
      <c r="G349" s="16"/>
      <c r="H349" s="15"/>
      <c r="I349" s="15"/>
    </row>
    <row r="350">
      <c r="A350" s="15"/>
      <c r="B350" s="15"/>
      <c r="C350" s="15"/>
      <c r="D350" s="63"/>
      <c r="E350" s="15"/>
      <c r="F350" s="15"/>
      <c r="G350" s="16"/>
      <c r="H350" s="15"/>
      <c r="I350" s="15"/>
    </row>
    <row r="351">
      <c r="A351" s="15"/>
      <c r="B351" s="15"/>
      <c r="C351" s="15"/>
      <c r="D351" s="63"/>
      <c r="E351" s="15"/>
      <c r="F351" s="15"/>
      <c r="G351" s="16"/>
      <c r="H351" s="15"/>
      <c r="I351" s="15"/>
    </row>
    <row r="352">
      <c r="A352" s="15"/>
      <c r="B352" s="15"/>
      <c r="C352" s="15"/>
      <c r="D352" s="63"/>
      <c r="E352" s="15"/>
      <c r="F352" s="15"/>
      <c r="G352" s="16"/>
      <c r="H352" s="15"/>
      <c r="I352" s="15"/>
    </row>
    <row r="353">
      <c r="A353" s="15"/>
      <c r="B353" s="15"/>
      <c r="C353" s="15"/>
      <c r="D353" s="63"/>
      <c r="E353" s="15"/>
      <c r="F353" s="15"/>
      <c r="G353" s="16"/>
      <c r="H353" s="15"/>
      <c r="I353" s="15"/>
    </row>
    <row r="354">
      <c r="A354" s="15"/>
      <c r="B354" s="15"/>
      <c r="C354" s="15"/>
      <c r="D354" s="63"/>
      <c r="E354" s="15"/>
      <c r="F354" s="15"/>
      <c r="G354" s="16"/>
      <c r="H354" s="15"/>
      <c r="I354" s="15"/>
    </row>
    <row r="355">
      <c r="A355" s="15"/>
      <c r="B355" s="15"/>
      <c r="C355" s="15"/>
      <c r="D355" s="63"/>
      <c r="E355" s="15"/>
      <c r="F355" s="15"/>
      <c r="G355" s="16"/>
      <c r="H355" s="15"/>
      <c r="I355" s="15"/>
    </row>
    <row r="356">
      <c r="A356" s="15"/>
      <c r="B356" s="15"/>
      <c r="C356" s="15"/>
      <c r="D356" s="63"/>
      <c r="E356" s="15"/>
      <c r="F356" s="15"/>
      <c r="G356" s="16"/>
      <c r="H356" s="15"/>
      <c r="I356" s="15"/>
    </row>
    <row r="357">
      <c r="A357" s="15"/>
      <c r="B357" s="15"/>
      <c r="C357" s="15"/>
      <c r="D357" s="63"/>
      <c r="E357" s="15"/>
      <c r="F357" s="15"/>
      <c r="G357" s="16"/>
      <c r="H357" s="15"/>
      <c r="I357" s="15"/>
    </row>
    <row r="358">
      <c r="A358" s="15"/>
      <c r="B358" s="15"/>
      <c r="C358" s="15"/>
      <c r="D358" s="63"/>
      <c r="E358" s="15"/>
      <c r="F358" s="15"/>
      <c r="G358" s="16"/>
      <c r="H358" s="15"/>
      <c r="I358" s="15"/>
    </row>
    <row r="359">
      <c r="A359" s="15"/>
      <c r="B359" s="15"/>
      <c r="C359" s="15"/>
      <c r="D359" s="63"/>
      <c r="E359" s="15"/>
      <c r="F359" s="15"/>
      <c r="G359" s="16"/>
      <c r="H359" s="15"/>
      <c r="I359" s="15"/>
    </row>
    <row r="360">
      <c r="A360" s="15"/>
      <c r="B360" s="15"/>
      <c r="C360" s="15"/>
      <c r="D360" s="63"/>
      <c r="E360" s="15"/>
      <c r="F360" s="15"/>
      <c r="G360" s="16"/>
      <c r="H360" s="15"/>
      <c r="I360" s="15"/>
    </row>
    <row r="361">
      <c r="A361" s="15"/>
      <c r="B361" s="15"/>
      <c r="C361" s="15"/>
      <c r="D361" s="63"/>
      <c r="E361" s="15"/>
      <c r="F361" s="15"/>
      <c r="G361" s="16"/>
      <c r="H361" s="15"/>
      <c r="I361" s="15"/>
    </row>
    <row r="362">
      <c r="A362" s="15"/>
      <c r="B362" s="15"/>
      <c r="C362" s="15"/>
      <c r="D362" s="63"/>
      <c r="E362" s="15"/>
      <c r="F362" s="15"/>
      <c r="G362" s="16"/>
      <c r="H362" s="15"/>
      <c r="I362" s="15"/>
    </row>
    <row r="363">
      <c r="A363" s="15"/>
      <c r="B363" s="15"/>
      <c r="C363" s="15"/>
      <c r="D363" s="63"/>
      <c r="E363" s="15"/>
      <c r="F363" s="15"/>
      <c r="G363" s="16"/>
      <c r="H363" s="15"/>
      <c r="I363" s="15"/>
    </row>
    <row r="364">
      <c r="A364" s="15"/>
      <c r="B364" s="15"/>
      <c r="C364" s="15"/>
      <c r="D364" s="63"/>
      <c r="E364" s="15"/>
      <c r="F364" s="15"/>
      <c r="G364" s="16"/>
      <c r="H364" s="15"/>
      <c r="I364" s="15"/>
    </row>
    <row r="365">
      <c r="A365" s="15"/>
      <c r="B365" s="15"/>
      <c r="C365" s="15"/>
      <c r="D365" s="63"/>
      <c r="E365" s="15"/>
      <c r="F365" s="15"/>
      <c r="G365" s="16"/>
      <c r="H365" s="15"/>
      <c r="I365" s="15"/>
    </row>
    <row r="366">
      <c r="A366" s="15"/>
      <c r="B366" s="15"/>
      <c r="C366" s="15"/>
      <c r="D366" s="63"/>
      <c r="E366" s="15"/>
      <c r="F366" s="15"/>
      <c r="G366" s="16"/>
      <c r="H366" s="15"/>
      <c r="I366" s="15"/>
    </row>
    <row r="367">
      <c r="A367" s="15"/>
      <c r="B367" s="15"/>
      <c r="C367" s="15"/>
      <c r="D367" s="63"/>
      <c r="E367" s="15"/>
      <c r="F367" s="15"/>
      <c r="G367" s="16"/>
      <c r="H367" s="15"/>
      <c r="I367" s="15"/>
    </row>
    <row r="368">
      <c r="A368" s="15"/>
      <c r="B368" s="15"/>
      <c r="C368" s="15"/>
      <c r="D368" s="63"/>
      <c r="E368" s="15"/>
      <c r="F368" s="15"/>
      <c r="G368" s="16"/>
      <c r="H368" s="15"/>
      <c r="I368" s="15"/>
    </row>
    <row r="369">
      <c r="A369" s="15"/>
      <c r="B369" s="15"/>
      <c r="C369" s="15"/>
      <c r="D369" s="63"/>
      <c r="E369" s="15"/>
      <c r="F369" s="15"/>
      <c r="G369" s="16"/>
      <c r="H369" s="15"/>
      <c r="I369" s="15"/>
    </row>
    <row r="370">
      <c r="A370" s="15"/>
      <c r="B370" s="15"/>
      <c r="C370" s="15"/>
      <c r="D370" s="63"/>
      <c r="E370" s="15"/>
      <c r="F370" s="15"/>
      <c r="G370" s="16"/>
      <c r="H370" s="15"/>
      <c r="I370" s="15"/>
    </row>
    <row r="371">
      <c r="A371" s="15"/>
      <c r="B371" s="15"/>
      <c r="C371" s="15"/>
      <c r="D371" s="63"/>
      <c r="E371" s="15"/>
      <c r="F371" s="15"/>
      <c r="G371" s="16"/>
      <c r="H371" s="15"/>
      <c r="I371" s="15"/>
    </row>
    <row r="372">
      <c r="A372" s="15"/>
      <c r="B372" s="15"/>
      <c r="C372" s="15"/>
      <c r="D372" s="63"/>
      <c r="E372" s="15"/>
      <c r="F372" s="15"/>
      <c r="G372" s="16"/>
      <c r="H372" s="15"/>
      <c r="I372" s="15"/>
    </row>
    <row r="373">
      <c r="A373" s="15"/>
      <c r="B373" s="15"/>
      <c r="C373" s="15"/>
      <c r="D373" s="63"/>
      <c r="E373" s="15"/>
      <c r="F373" s="15"/>
      <c r="G373" s="16"/>
      <c r="H373" s="15"/>
      <c r="I373" s="15"/>
    </row>
    <row r="374">
      <c r="A374" s="15"/>
      <c r="B374" s="15"/>
      <c r="C374" s="15"/>
      <c r="D374" s="63"/>
      <c r="E374" s="15"/>
      <c r="F374" s="15"/>
      <c r="G374" s="16"/>
      <c r="H374" s="15"/>
      <c r="I374" s="15"/>
    </row>
    <row r="375">
      <c r="A375" s="15"/>
      <c r="B375" s="15"/>
      <c r="C375" s="15"/>
      <c r="D375" s="63"/>
      <c r="E375" s="15"/>
      <c r="F375" s="15"/>
      <c r="G375" s="16"/>
      <c r="H375" s="15"/>
      <c r="I375" s="15"/>
    </row>
    <row r="376">
      <c r="A376" s="15"/>
      <c r="B376" s="15"/>
      <c r="C376" s="15"/>
      <c r="D376" s="63"/>
      <c r="E376" s="15"/>
      <c r="F376" s="15"/>
      <c r="G376" s="16"/>
      <c r="H376" s="15"/>
      <c r="I376" s="15"/>
    </row>
    <row r="377">
      <c r="A377" s="15"/>
      <c r="B377" s="15"/>
      <c r="C377" s="15"/>
      <c r="D377" s="63"/>
      <c r="E377" s="15"/>
      <c r="F377" s="15"/>
      <c r="G377" s="16"/>
      <c r="H377" s="15"/>
      <c r="I377" s="15"/>
    </row>
    <row r="378">
      <c r="A378" s="15"/>
      <c r="B378" s="15"/>
      <c r="C378" s="15"/>
      <c r="D378" s="63"/>
      <c r="E378" s="15"/>
      <c r="F378" s="15"/>
      <c r="G378" s="16"/>
      <c r="H378" s="15"/>
      <c r="I378" s="15"/>
    </row>
    <row r="379">
      <c r="A379" s="15"/>
      <c r="B379" s="15"/>
      <c r="C379" s="15"/>
      <c r="D379" s="63"/>
      <c r="E379" s="15"/>
      <c r="F379" s="15"/>
      <c r="G379" s="16"/>
      <c r="H379" s="15"/>
      <c r="I379" s="15"/>
    </row>
    <row r="380">
      <c r="A380" s="15"/>
      <c r="B380" s="15"/>
      <c r="C380" s="15"/>
      <c r="D380" s="63"/>
      <c r="E380" s="15"/>
      <c r="F380" s="15"/>
      <c r="G380" s="16"/>
      <c r="H380" s="15"/>
      <c r="I380" s="15"/>
    </row>
    <row r="381">
      <c r="A381" s="15"/>
      <c r="B381" s="15"/>
      <c r="C381" s="15"/>
      <c r="D381" s="63"/>
      <c r="E381" s="15"/>
      <c r="F381" s="15"/>
      <c r="G381" s="16"/>
      <c r="H381" s="15"/>
      <c r="I381" s="15"/>
    </row>
    <row r="382">
      <c r="A382" s="15"/>
      <c r="B382" s="15"/>
      <c r="C382" s="15"/>
      <c r="D382" s="63"/>
      <c r="E382" s="15"/>
      <c r="F382" s="15"/>
      <c r="G382" s="16"/>
      <c r="H382" s="15"/>
      <c r="I382" s="15"/>
    </row>
    <row r="383">
      <c r="A383" s="15"/>
      <c r="B383" s="15"/>
      <c r="C383" s="15"/>
      <c r="D383" s="63"/>
      <c r="E383" s="15"/>
      <c r="F383" s="15"/>
      <c r="G383" s="16"/>
      <c r="H383" s="15"/>
      <c r="I383" s="15"/>
    </row>
    <row r="384">
      <c r="A384" s="15"/>
      <c r="B384" s="15"/>
      <c r="C384" s="15"/>
      <c r="D384" s="63"/>
      <c r="E384" s="15"/>
      <c r="F384" s="15"/>
      <c r="G384" s="16"/>
      <c r="H384" s="15"/>
      <c r="I384" s="15"/>
    </row>
    <row r="385">
      <c r="A385" s="15"/>
      <c r="B385" s="15"/>
      <c r="C385" s="15"/>
      <c r="D385" s="63"/>
      <c r="E385" s="15"/>
      <c r="F385" s="15"/>
      <c r="G385" s="16"/>
      <c r="H385" s="15"/>
      <c r="I385" s="15"/>
    </row>
    <row r="386">
      <c r="A386" s="15"/>
      <c r="B386" s="15"/>
      <c r="C386" s="15"/>
      <c r="D386" s="63"/>
      <c r="E386" s="15"/>
      <c r="F386" s="15"/>
      <c r="G386" s="16"/>
      <c r="H386" s="15"/>
      <c r="I386" s="15"/>
    </row>
    <row r="387">
      <c r="A387" s="15"/>
      <c r="B387" s="15"/>
      <c r="C387" s="15"/>
      <c r="D387" s="63"/>
      <c r="E387" s="15"/>
      <c r="F387" s="15"/>
      <c r="G387" s="16"/>
      <c r="H387" s="15"/>
      <c r="I387" s="15"/>
    </row>
    <row r="388">
      <c r="A388" s="15"/>
      <c r="B388" s="15"/>
      <c r="C388" s="15"/>
      <c r="D388" s="63"/>
      <c r="E388" s="15"/>
      <c r="F388" s="15"/>
      <c r="G388" s="16"/>
      <c r="H388" s="15"/>
      <c r="I388" s="15"/>
    </row>
    <row r="389">
      <c r="A389" s="15"/>
      <c r="B389" s="15"/>
      <c r="C389" s="15"/>
      <c r="D389" s="63"/>
      <c r="E389" s="15"/>
      <c r="F389" s="15"/>
      <c r="G389" s="16"/>
      <c r="H389" s="15"/>
      <c r="I389" s="15"/>
    </row>
    <row r="390">
      <c r="A390" s="15"/>
      <c r="B390" s="15"/>
      <c r="C390" s="15"/>
      <c r="D390" s="63"/>
      <c r="E390" s="15"/>
      <c r="F390" s="15"/>
      <c r="G390" s="16"/>
      <c r="H390" s="15"/>
      <c r="I390" s="15"/>
    </row>
    <row r="391">
      <c r="A391" s="15"/>
      <c r="B391" s="15"/>
      <c r="C391" s="15"/>
      <c r="D391" s="63"/>
      <c r="E391" s="15"/>
      <c r="F391" s="15"/>
      <c r="G391" s="16"/>
      <c r="H391" s="15"/>
      <c r="I391" s="15"/>
    </row>
    <row r="392">
      <c r="A392" s="15"/>
      <c r="B392" s="15"/>
      <c r="C392" s="15"/>
      <c r="D392" s="63"/>
      <c r="E392" s="15"/>
      <c r="F392" s="15"/>
      <c r="G392" s="16"/>
      <c r="H392" s="15"/>
      <c r="I392" s="15"/>
    </row>
    <row r="393">
      <c r="A393" s="15"/>
      <c r="B393" s="15"/>
      <c r="C393" s="15"/>
      <c r="D393" s="63"/>
      <c r="E393" s="15"/>
      <c r="F393" s="15"/>
      <c r="G393" s="16"/>
      <c r="H393" s="15"/>
      <c r="I393" s="15"/>
    </row>
    <row r="394">
      <c r="A394" s="15"/>
      <c r="B394" s="15"/>
      <c r="C394" s="15"/>
      <c r="D394" s="63"/>
      <c r="E394" s="15"/>
      <c r="F394" s="15"/>
      <c r="G394" s="16"/>
      <c r="H394" s="15"/>
      <c r="I394" s="15"/>
    </row>
    <row r="395">
      <c r="A395" s="15"/>
      <c r="B395" s="15"/>
      <c r="C395" s="15"/>
      <c r="D395" s="63"/>
      <c r="E395" s="15"/>
      <c r="F395" s="15"/>
      <c r="G395" s="16"/>
      <c r="H395" s="15"/>
      <c r="I395" s="15"/>
    </row>
    <row r="396">
      <c r="A396" s="15"/>
      <c r="B396" s="15"/>
      <c r="C396" s="15"/>
      <c r="D396" s="63"/>
      <c r="E396" s="15"/>
      <c r="F396" s="15"/>
      <c r="G396" s="16"/>
      <c r="H396" s="15"/>
      <c r="I396" s="15"/>
    </row>
    <row r="397">
      <c r="A397" s="15"/>
      <c r="B397" s="15"/>
      <c r="C397" s="15"/>
      <c r="D397" s="63"/>
      <c r="E397" s="15"/>
      <c r="F397" s="15"/>
      <c r="G397" s="16"/>
      <c r="H397" s="15"/>
      <c r="I397" s="15"/>
    </row>
    <row r="398">
      <c r="A398" s="15"/>
      <c r="B398" s="15"/>
      <c r="C398" s="15"/>
      <c r="D398" s="63"/>
      <c r="E398" s="15"/>
      <c r="F398" s="15"/>
      <c r="G398" s="16"/>
      <c r="H398" s="15"/>
      <c r="I398" s="15"/>
    </row>
    <row r="399">
      <c r="A399" s="15"/>
      <c r="B399" s="15"/>
      <c r="C399" s="15"/>
      <c r="D399" s="63"/>
      <c r="E399" s="15"/>
      <c r="F399" s="15"/>
      <c r="G399" s="16"/>
      <c r="H399" s="15"/>
      <c r="I399" s="15"/>
    </row>
    <row r="400">
      <c r="A400" s="15"/>
      <c r="B400" s="15"/>
      <c r="C400" s="15"/>
      <c r="D400" s="63"/>
      <c r="E400" s="15"/>
      <c r="F400" s="15"/>
      <c r="G400" s="16"/>
      <c r="H400" s="15"/>
      <c r="I400" s="15"/>
    </row>
    <row r="401">
      <c r="A401" s="15"/>
      <c r="B401" s="15"/>
      <c r="C401" s="15"/>
      <c r="D401" s="63"/>
      <c r="E401" s="15"/>
      <c r="F401" s="15"/>
      <c r="G401" s="16"/>
      <c r="H401" s="15"/>
      <c r="I401" s="15"/>
    </row>
    <row r="402">
      <c r="A402" s="15"/>
      <c r="B402" s="15"/>
      <c r="C402" s="15"/>
      <c r="D402" s="63"/>
      <c r="E402" s="15"/>
      <c r="F402" s="15"/>
      <c r="G402" s="16"/>
      <c r="H402" s="15"/>
      <c r="I402" s="15"/>
    </row>
    <row r="403">
      <c r="A403" s="15"/>
      <c r="B403" s="15"/>
      <c r="C403" s="15"/>
      <c r="D403" s="63"/>
      <c r="E403" s="15"/>
      <c r="F403" s="15"/>
      <c r="G403" s="16"/>
      <c r="H403" s="15"/>
      <c r="I403" s="15"/>
    </row>
    <row r="404">
      <c r="A404" s="15"/>
      <c r="B404" s="15"/>
      <c r="C404" s="15"/>
      <c r="D404" s="63"/>
      <c r="E404" s="15"/>
      <c r="F404" s="15"/>
      <c r="G404" s="16"/>
      <c r="H404" s="15"/>
      <c r="I404" s="15"/>
    </row>
    <row r="405">
      <c r="A405" s="15"/>
      <c r="B405" s="15"/>
      <c r="C405" s="15"/>
      <c r="D405" s="63"/>
      <c r="E405" s="15"/>
      <c r="F405" s="15"/>
      <c r="G405" s="16"/>
      <c r="H405" s="15"/>
      <c r="I405" s="15"/>
    </row>
    <row r="406">
      <c r="A406" s="15"/>
      <c r="B406" s="15"/>
      <c r="C406" s="15"/>
      <c r="D406" s="63"/>
      <c r="E406" s="15"/>
      <c r="F406" s="15"/>
      <c r="G406" s="16"/>
      <c r="H406" s="15"/>
      <c r="I406" s="15"/>
    </row>
    <row r="407">
      <c r="A407" s="15"/>
      <c r="B407" s="15"/>
      <c r="C407" s="15"/>
      <c r="D407" s="63"/>
      <c r="E407" s="15"/>
      <c r="F407" s="15"/>
      <c r="G407" s="16"/>
      <c r="H407" s="15"/>
      <c r="I407" s="15"/>
    </row>
    <row r="408">
      <c r="A408" s="15"/>
      <c r="B408" s="15"/>
      <c r="C408" s="15"/>
      <c r="D408" s="63"/>
      <c r="E408" s="15"/>
      <c r="F408" s="15"/>
      <c r="G408" s="16"/>
      <c r="H408" s="15"/>
      <c r="I408" s="15"/>
    </row>
    <row r="409">
      <c r="A409" s="15"/>
      <c r="B409" s="15"/>
      <c r="C409" s="15"/>
      <c r="D409" s="63"/>
      <c r="E409" s="15"/>
      <c r="F409" s="15"/>
      <c r="G409" s="16"/>
      <c r="H409" s="15"/>
      <c r="I409" s="15"/>
    </row>
    <row r="410">
      <c r="A410" s="15"/>
      <c r="B410" s="15"/>
      <c r="C410" s="15"/>
      <c r="D410" s="63"/>
      <c r="E410" s="15"/>
      <c r="F410" s="15"/>
      <c r="G410" s="16"/>
      <c r="H410" s="15"/>
      <c r="I410" s="15"/>
    </row>
    <row r="411">
      <c r="A411" s="15"/>
      <c r="B411" s="15"/>
      <c r="C411" s="15"/>
      <c r="D411" s="63"/>
      <c r="E411" s="15"/>
      <c r="F411" s="15"/>
      <c r="G411" s="16"/>
      <c r="H411" s="15"/>
      <c r="I411" s="15"/>
    </row>
    <row r="412">
      <c r="A412" s="15"/>
      <c r="B412" s="15"/>
      <c r="C412" s="15"/>
      <c r="D412" s="63"/>
      <c r="E412" s="15"/>
      <c r="F412" s="15"/>
      <c r="G412" s="16"/>
      <c r="H412" s="15"/>
      <c r="I412" s="15"/>
    </row>
    <row r="413">
      <c r="A413" s="15"/>
      <c r="B413" s="15"/>
      <c r="C413" s="15"/>
      <c r="D413" s="63"/>
      <c r="E413" s="15"/>
      <c r="F413" s="15"/>
      <c r="G413" s="16"/>
      <c r="H413" s="15"/>
      <c r="I413" s="15"/>
    </row>
    <row r="414">
      <c r="A414" s="15"/>
      <c r="B414" s="15"/>
      <c r="C414" s="15"/>
      <c r="D414" s="63"/>
      <c r="E414" s="15"/>
      <c r="F414" s="15"/>
      <c r="G414" s="16"/>
      <c r="H414" s="15"/>
      <c r="I414" s="15"/>
    </row>
    <row r="415">
      <c r="A415" s="15"/>
      <c r="B415" s="15"/>
      <c r="C415" s="15"/>
      <c r="D415" s="63"/>
      <c r="E415" s="15"/>
      <c r="F415" s="15"/>
      <c r="G415" s="16"/>
      <c r="H415" s="15"/>
      <c r="I415" s="15"/>
    </row>
    <row r="416">
      <c r="A416" s="15"/>
      <c r="B416" s="15"/>
      <c r="C416" s="15"/>
      <c r="D416" s="63"/>
      <c r="E416" s="15"/>
      <c r="F416" s="15"/>
      <c r="G416" s="16"/>
      <c r="H416" s="15"/>
      <c r="I416" s="15"/>
    </row>
    <row r="417">
      <c r="A417" s="15"/>
      <c r="B417" s="15"/>
      <c r="C417" s="15"/>
      <c r="D417" s="63"/>
      <c r="E417" s="15"/>
      <c r="F417" s="15"/>
      <c r="G417" s="16"/>
      <c r="H417" s="15"/>
      <c r="I417" s="15"/>
    </row>
    <row r="418">
      <c r="A418" s="15"/>
      <c r="B418" s="15"/>
      <c r="C418" s="15"/>
      <c r="D418" s="63"/>
      <c r="E418" s="15"/>
      <c r="F418" s="15"/>
      <c r="G418" s="16"/>
      <c r="H418" s="15"/>
      <c r="I418" s="15"/>
    </row>
    <row r="419">
      <c r="A419" s="15"/>
      <c r="B419" s="15"/>
      <c r="C419" s="15"/>
      <c r="D419" s="63"/>
      <c r="E419" s="15"/>
      <c r="F419" s="15"/>
      <c r="G419" s="16"/>
      <c r="H419" s="15"/>
      <c r="I419" s="15"/>
    </row>
    <row r="420">
      <c r="A420" s="15"/>
      <c r="B420" s="15"/>
      <c r="C420" s="15"/>
      <c r="D420" s="63"/>
      <c r="E420" s="15"/>
      <c r="F420" s="15"/>
      <c r="G420" s="16"/>
      <c r="H420" s="15"/>
      <c r="I420" s="15"/>
    </row>
    <row r="421">
      <c r="A421" s="15"/>
      <c r="B421" s="15"/>
      <c r="C421" s="15"/>
      <c r="D421" s="63"/>
      <c r="E421" s="15"/>
      <c r="F421" s="15"/>
      <c r="G421" s="16"/>
      <c r="H421" s="15"/>
      <c r="I421" s="15"/>
    </row>
    <row r="422">
      <c r="A422" s="15"/>
      <c r="B422" s="15"/>
      <c r="C422" s="15"/>
      <c r="D422" s="63"/>
      <c r="E422" s="15"/>
      <c r="F422" s="15"/>
      <c r="G422" s="16"/>
      <c r="H422" s="15"/>
      <c r="I422" s="15"/>
    </row>
    <row r="423">
      <c r="A423" s="15"/>
      <c r="B423" s="15"/>
      <c r="C423" s="15"/>
      <c r="D423" s="63"/>
      <c r="E423" s="15"/>
      <c r="F423" s="15"/>
      <c r="G423" s="16"/>
      <c r="H423" s="15"/>
      <c r="I423" s="15"/>
    </row>
    <row r="424">
      <c r="A424" s="15"/>
      <c r="B424" s="15"/>
      <c r="C424" s="15"/>
      <c r="D424" s="63"/>
      <c r="E424" s="15"/>
      <c r="F424" s="15"/>
      <c r="G424" s="16"/>
      <c r="H424" s="15"/>
      <c r="I424" s="15"/>
    </row>
    <row r="425">
      <c r="A425" s="15"/>
      <c r="B425" s="15"/>
      <c r="C425" s="15"/>
      <c r="D425" s="63"/>
      <c r="E425" s="15"/>
      <c r="F425" s="15"/>
      <c r="G425" s="16"/>
      <c r="H425" s="15"/>
      <c r="I425" s="15"/>
    </row>
    <row r="426">
      <c r="A426" s="15"/>
      <c r="B426" s="15"/>
      <c r="C426" s="15"/>
      <c r="D426" s="63"/>
      <c r="E426" s="15"/>
      <c r="F426" s="15"/>
      <c r="G426" s="16"/>
      <c r="H426" s="15"/>
      <c r="I426" s="15"/>
    </row>
    <row r="427">
      <c r="A427" s="15"/>
      <c r="B427" s="15"/>
      <c r="C427" s="15"/>
      <c r="D427" s="63"/>
      <c r="E427" s="15"/>
      <c r="F427" s="15"/>
      <c r="G427" s="16"/>
      <c r="H427" s="15"/>
      <c r="I427" s="15"/>
    </row>
    <row r="428">
      <c r="A428" s="15"/>
      <c r="B428" s="15"/>
      <c r="C428" s="15"/>
      <c r="D428" s="63"/>
      <c r="E428" s="15"/>
      <c r="F428" s="15"/>
      <c r="G428" s="16"/>
      <c r="H428" s="15"/>
      <c r="I428" s="15"/>
    </row>
    <row r="429">
      <c r="A429" s="15"/>
      <c r="B429" s="15"/>
      <c r="C429" s="15"/>
      <c r="D429" s="63"/>
      <c r="E429" s="15"/>
      <c r="F429" s="15"/>
      <c r="G429" s="16"/>
      <c r="H429" s="15"/>
      <c r="I429" s="15"/>
    </row>
    <row r="430">
      <c r="A430" s="15"/>
      <c r="B430" s="15"/>
      <c r="C430" s="15"/>
      <c r="D430" s="63"/>
      <c r="E430" s="15"/>
      <c r="F430" s="15"/>
      <c r="G430" s="16"/>
      <c r="H430" s="15"/>
      <c r="I430" s="15"/>
    </row>
    <row r="431">
      <c r="A431" s="15"/>
      <c r="B431" s="15"/>
      <c r="C431" s="15"/>
      <c r="D431" s="63"/>
      <c r="E431" s="15"/>
      <c r="F431" s="15"/>
      <c r="G431" s="16"/>
      <c r="H431" s="15"/>
      <c r="I431" s="15"/>
    </row>
    <row r="432">
      <c r="A432" s="15"/>
      <c r="B432" s="15"/>
      <c r="C432" s="15"/>
      <c r="D432" s="63"/>
      <c r="E432" s="15"/>
      <c r="F432" s="15"/>
      <c r="G432" s="16"/>
      <c r="H432" s="15"/>
      <c r="I432" s="15"/>
    </row>
    <row r="433">
      <c r="A433" s="15"/>
      <c r="B433" s="15"/>
      <c r="C433" s="15"/>
      <c r="D433" s="63"/>
      <c r="E433" s="15"/>
      <c r="F433" s="15"/>
      <c r="G433" s="16"/>
      <c r="H433" s="15"/>
      <c r="I433" s="15"/>
    </row>
    <row r="434">
      <c r="A434" s="15"/>
      <c r="B434" s="15"/>
      <c r="C434" s="15"/>
      <c r="D434" s="63"/>
      <c r="E434" s="15"/>
      <c r="F434" s="15"/>
      <c r="G434" s="16"/>
      <c r="H434" s="15"/>
      <c r="I434" s="15"/>
    </row>
    <row r="435">
      <c r="A435" s="15"/>
      <c r="B435" s="15"/>
      <c r="C435" s="15"/>
      <c r="D435" s="63"/>
      <c r="E435" s="15"/>
      <c r="F435" s="15"/>
      <c r="G435" s="16"/>
      <c r="H435" s="15"/>
      <c r="I435" s="15"/>
    </row>
    <row r="436">
      <c r="A436" s="15"/>
      <c r="B436" s="15"/>
      <c r="C436" s="15"/>
      <c r="D436" s="63"/>
      <c r="E436" s="15"/>
      <c r="F436" s="15"/>
      <c r="G436" s="16"/>
      <c r="H436" s="15"/>
      <c r="I436" s="15"/>
    </row>
    <row r="437">
      <c r="A437" s="15"/>
      <c r="B437" s="15"/>
      <c r="C437" s="15"/>
      <c r="D437" s="63"/>
      <c r="E437" s="15"/>
      <c r="F437" s="15"/>
      <c r="G437" s="16"/>
      <c r="H437" s="15"/>
      <c r="I437" s="15"/>
    </row>
    <row r="438">
      <c r="A438" s="15"/>
      <c r="B438" s="15"/>
      <c r="C438" s="15"/>
      <c r="D438" s="63"/>
      <c r="E438" s="15"/>
      <c r="F438" s="15"/>
      <c r="G438" s="16"/>
      <c r="H438" s="15"/>
      <c r="I438" s="15"/>
    </row>
    <row r="439">
      <c r="A439" s="15"/>
      <c r="B439" s="15"/>
      <c r="C439" s="15"/>
      <c r="D439" s="63"/>
      <c r="E439" s="15"/>
      <c r="F439" s="15"/>
      <c r="G439" s="16"/>
      <c r="H439" s="15"/>
      <c r="I439" s="15"/>
    </row>
    <row r="440">
      <c r="A440" s="15"/>
      <c r="B440" s="15"/>
      <c r="C440" s="15"/>
      <c r="D440" s="63"/>
      <c r="E440" s="15"/>
      <c r="F440" s="15"/>
      <c r="G440" s="16"/>
      <c r="H440" s="15"/>
      <c r="I440" s="15"/>
    </row>
    <row r="441">
      <c r="A441" s="15"/>
      <c r="B441" s="15"/>
      <c r="C441" s="15"/>
      <c r="D441" s="63"/>
      <c r="E441" s="15"/>
      <c r="F441" s="15"/>
      <c r="G441" s="16"/>
      <c r="H441" s="15"/>
      <c r="I441" s="15"/>
    </row>
    <row r="442">
      <c r="A442" s="15"/>
      <c r="B442" s="15"/>
      <c r="C442" s="15"/>
      <c r="D442" s="63"/>
      <c r="E442" s="15"/>
      <c r="F442" s="15"/>
      <c r="G442" s="16"/>
      <c r="H442" s="15"/>
      <c r="I442" s="15"/>
    </row>
    <row r="443">
      <c r="A443" s="15"/>
      <c r="B443" s="15"/>
      <c r="C443" s="15"/>
      <c r="D443" s="63"/>
      <c r="E443" s="15"/>
      <c r="F443" s="15"/>
      <c r="G443" s="16"/>
      <c r="H443" s="15"/>
      <c r="I443" s="15"/>
    </row>
    <row r="444">
      <c r="A444" s="15"/>
      <c r="B444" s="15"/>
      <c r="C444" s="15"/>
      <c r="D444" s="63"/>
      <c r="E444" s="15"/>
      <c r="F444" s="15"/>
      <c r="G444" s="16"/>
      <c r="H444" s="15"/>
      <c r="I444" s="15"/>
    </row>
    <row r="445">
      <c r="A445" s="15"/>
      <c r="B445" s="15"/>
      <c r="C445" s="15"/>
      <c r="D445" s="63"/>
      <c r="E445" s="15"/>
      <c r="F445" s="15"/>
      <c r="G445" s="16"/>
      <c r="H445" s="15"/>
      <c r="I445" s="15"/>
    </row>
    <row r="446">
      <c r="A446" s="15"/>
      <c r="B446" s="15"/>
      <c r="C446" s="15"/>
      <c r="D446" s="63"/>
      <c r="E446" s="15"/>
      <c r="F446" s="15"/>
      <c r="G446" s="16"/>
      <c r="H446" s="15"/>
      <c r="I446" s="15"/>
    </row>
    <row r="447">
      <c r="A447" s="15"/>
      <c r="B447" s="15"/>
      <c r="C447" s="15"/>
      <c r="D447" s="63"/>
      <c r="E447" s="15"/>
      <c r="F447" s="15"/>
      <c r="G447" s="16"/>
      <c r="H447" s="15"/>
      <c r="I447" s="15"/>
    </row>
    <row r="448">
      <c r="A448" s="15"/>
      <c r="B448" s="15"/>
      <c r="C448" s="15"/>
      <c r="D448" s="63"/>
      <c r="E448" s="15"/>
      <c r="F448" s="15"/>
      <c r="G448" s="16"/>
      <c r="H448" s="15"/>
      <c r="I448" s="15"/>
    </row>
    <row r="449">
      <c r="A449" s="15"/>
      <c r="B449" s="15"/>
      <c r="C449" s="15"/>
      <c r="D449" s="63"/>
      <c r="E449" s="15"/>
      <c r="F449" s="15"/>
      <c r="G449" s="16"/>
      <c r="H449" s="15"/>
      <c r="I449" s="15"/>
    </row>
    <row r="450">
      <c r="A450" s="15"/>
      <c r="B450" s="15"/>
      <c r="C450" s="15"/>
      <c r="D450" s="63"/>
      <c r="E450" s="15"/>
      <c r="F450" s="15"/>
      <c r="G450" s="16"/>
      <c r="H450" s="15"/>
      <c r="I450" s="15"/>
    </row>
    <row r="451">
      <c r="A451" s="15"/>
      <c r="B451" s="15"/>
      <c r="C451" s="15"/>
      <c r="D451" s="63"/>
      <c r="E451" s="15"/>
      <c r="F451" s="15"/>
      <c r="G451" s="16"/>
      <c r="H451" s="15"/>
      <c r="I451" s="15"/>
    </row>
    <row r="452">
      <c r="A452" s="15"/>
      <c r="B452" s="15"/>
      <c r="C452" s="15"/>
      <c r="D452" s="63"/>
      <c r="E452" s="15"/>
      <c r="F452" s="15"/>
      <c r="G452" s="16"/>
      <c r="H452" s="15"/>
      <c r="I452" s="15"/>
    </row>
    <row r="453">
      <c r="A453" s="15"/>
      <c r="B453" s="15"/>
      <c r="C453" s="15"/>
      <c r="D453" s="63"/>
      <c r="E453" s="15"/>
      <c r="F453" s="15"/>
      <c r="G453" s="16"/>
      <c r="H453" s="15"/>
      <c r="I453" s="15"/>
    </row>
    <row r="454">
      <c r="A454" s="15"/>
      <c r="B454" s="15"/>
      <c r="C454" s="15"/>
      <c r="D454" s="63"/>
      <c r="E454" s="15"/>
      <c r="F454" s="15"/>
      <c r="G454" s="16"/>
      <c r="H454" s="15"/>
      <c r="I454" s="15"/>
    </row>
    <row r="455">
      <c r="A455" s="15"/>
      <c r="B455" s="15"/>
      <c r="C455" s="15"/>
      <c r="D455" s="63"/>
      <c r="E455" s="15"/>
      <c r="F455" s="15"/>
      <c r="G455" s="16"/>
      <c r="H455" s="15"/>
      <c r="I455" s="15"/>
    </row>
    <row r="456">
      <c r="A456" s="15"/>
      <c r="B456" s="15"/>
      <c r="C456" s="15"/>
      <c r="D456" s="63"/>
      <c r="E456" s="15"/>
      <c r="F456" s="15"/>
      <c r="G456" s="16"/>
      <c r="H456" s="15"/>
      <c r="I456" s="15"/>
    </row>
    <row r="457">
      <c r="A457" s="15"/>
      <c r="B457" s="15"/>
      <c r="C457" s="15"/>
      <c r="D457" s="63"/>
      <c r="E457" s="15"/>
      <c r="F457" s="15"/>
      <c r="G457" s="16"/>
      <c r="H457" s="15"/>
      <c r="I457" s="15"/>
    </row>
    <row r="458">
      <c r="A458" s="15"/>
      <c r="B458" s="15"/>
      <c r="C458" s="15"/>
      <c r="D458" s="63"/>
      <c r="E458" s="15"/>
      <c r="F458" s="15"/>
      <c r="G458" s="16"/>
      <c r="H458" s="15"/>
      <c r="I458" s="15"/>
    </row>
    <row r="459">
      <c r="A459" s="15"/>
      <c r="B459" s="15"/>
      <c r="C459" s="15"/>
      <c r="D459" s="63"/>
      <c r="E459" s="15"/>
      <c r="F459" s="15"/>
      <c r="G459" s="16"/>
      <c r="H459" s="15"/>
      <c r="I459" s="15"/>
    </row>
    <row r="460">
      <c r="A460" s="15"/>
      <c r="B460" s="15"/>
      <c r="C460" s="15"/>
      <c r="D460" s="63"/>
      <c r="E460" s="15"/>
      <c r="F460" s="15"/>
      <c r="G460" s="16"/>
      <c r="H460" s="15"/>
      <c r="I460" s="15"/>
    </row>
    <row r="461">
      <c r="A461" s="15"/>
      <c r="B461" s="15"/>
      <c r="C461" s="15"/>
      <c r="D461" s="63"/>
      <c r="E461" s="15"/>
      <c r="F461" s="15"/>
      <c r="G461" s="16"/>
      <c r="H461" s="15"/>
      <c r="I461" s="15"/>
    </row>
    <row r="462">
      <c r="A462" s="15"/>
      <c r="B462" s="15"/>
      <c r="C462" s="15"/>
      <c r="D462" s="63"/>
      <c r="E462" s="15"/>
      <c r="F462" s="15"/>
      <c r="G462" s="16"/>
      <c r="H462" s="15"/>
      <c r="I462" s="15"/>
    </row>
    <row r="463">
      <c r="A463" s="15"/>
      <c r="B463" s="15"/>
      <c r="C463" s="15"/>
      <c r="D463" s="63"/>
      <c r="E463" s="15"/>
      <c r="F463" s="15"/>
      <c r="G463" s="16"/>
      <c r="H463" s="15"/>
      <c r="I463" s="15"/>
    </row>
    <row r="464">
      <c r="A464" s="15"/>
      <c r="B464" s="15"/>
      <c r="C464" s="15"/>
      <c r="D464" s="63"/>
      <c r="E464" s="15"/>
      <c r="F464" s="15"/>
      <c r="G464" s="16"/>
      <c r="H464" s="15"/>
      <c r="I464" s="15"/>
    </row>
    <row r="465">
      <c r="A465" s="15"/>
      <c r="B465" s="15"/>
      <c r="C465" s="15"/>
      <c r="D465" s="63"/>
      <c r="E465" s="15"/>
      <c r="F465" s="15"/>
      <c r="G465" s="16"/>
      <c r="H465" s="15"/>
      <c r="I465" s="15"/>
    </row>
    <row r="466">
      <c r="A466" s="15"/>
      <c r="B466" s="15"/>
      <c r="C466" s="15"/>
      <c r="D466" s="63"/>
      <c r="E466" s="15"/>
      <c r="F466" s="15"/>
      <c r="G466" s="16"/>
      <c r="H466" s="15"/>
      <c r="I466" s="15"/>
    </row>
    <row r="467">
      <c r="A467" s="15"/>
      <c r="B467" s="15"/>
      <c r="C467" s="15"/>
      <c r="D467" s="63"/>
      <c r="E467" s="15"/>
      <c r="F467" s="15"/>
      <c r="G467" s="16"/>
      <c r="H467" s="15"/>
      <c r="I467" s="15"/>
    </row>
    <row r="468">
      <c r="A468" s="15"/>
      <c r="B468" s="15"/>
      <c r="C468" s="15"/>
      <c r="D468" s="63"/>
      <c r="E468" s="15"/>
      <c r="F468" s="15"/>
      <c r="G468" s="16"/>
      <c r="H468" s="15"/>
      <c r="I468" s="15"/>
    </row>
    <row r="469">
      <c r="A469" s="15"/>
      <c r="B469" s="15"/>
      <c r="C469" s="15"/>
      <c r="D469" s="63"/>
      <c r="E469" s="15"/>
      <c r="F469" s="15"/>
      <c r="G469" s="16"/>
      <c r="H469" s="15"/>
      <c r="I469" s="15"/>
    </row>
    <row r="470">
      <c r="A470" s="15"/>
      <c r="B470" s="15"/>
      <c r="C470" s="15"/>
      <c r="D470" s="63"/>
      <c r="E470" s="15"/>
      <c r="F470" s="15"/>
      <c r="G470" s="16"/>
      <c r="H470" s="15"/>
      <c r="I470" s="15"/>
    </row>
    <row r="471">
      <c r="A471" s="15"/>
      <c r="B471" s="15"/>
      <c r="C471" s="15"/>
      <c r="D471" s="63"/>
      <c r="E471" s="15"/>
      <c r="F471" s="15"/>
      <c r="G471" s="16"/>
      <c r="H471" s="15"/>
      <c r="I471" s="15"/>
    </row>
    <row r="472">
      <c r="A472" s="15"/>
      <c r="B472" s="15"/>
      <c r="C472" s="15"/>
      <c r="D472" s="63"/>
      <c r="E472" s="15"/>
      <c r="F472" s="15"/>
      <c r="G472" s="16"/>
      <c r="H472" s="15"/>
      <c r="I472" s="15"/>
    </row>
    <row r="473">
      <c r="A473" s="15"/>
      <c r="B473" s="15"/>
      <c r="C473" s="15"/>
      <c r="D473" s="63"/>
      <c r="E473" s="15"/>
      <c r="F473" s="15"/>
      <c r="G473" s="16"/>
      <c r="H473" s="15"/>
      <c r="I473" s="15"/>
    </row>
    <row r="474">
      <c r="A474" s="15"/>
      <c r="B474" s="15"/>
      <c r="C474" s="15"/>
      <c r="D474" s="63"/>
      <c r="E474" s="15"/>
      <c r="F474" s="15"/>
      <c r="G474" s="16"/>
      <c r="H474" s="15"/>
      <c r="I474" s="15"/>
    </row>
    <row r="475">
      <c r="A475" s="15"/>
      <c r="B475" s="15"/>
      <c r="C475" s="15"/>
      <c r="D475" s="63"/>
      <c r="E475" s="15"/>
      <c r="F475" s="15"/>
      <c r="G475" s="16"/>
      <c r="H475" s="15"/>
      <c r="I475" s="15"/>
    </row>
    <row r="476">
      <c r="A476" s="15"/>
      <c r="B476" s="15"/>
      <c r="C476" s="15"/>
      <c r="D476" s="63"/>
      <c r="E476" s="15"/>
      <c r="F476" s="15"/>
      <c r="G476" s="16"/>
      <c r="H476" s="15"/>
      <c r="I476" s="15"/>
    </row>
    <row r="477">
      <c r="A477" s="15"/>
      <c r="B477" s="15"/>
      <c r="C477" s="15"/>
      <c r="D477" s="63"/>
      <c r="E477" s="15"/>
      <c r="F477" s="15"/>
      <c r="G477" s="16"/>
      <c r="H477" s="15"/>
      <c r="I477" s="15"/>
    </row>
    <row r="478">
      <c r="A478" s="15"/>
      <c r="B478" s="15"/>
      <c r="C478" s="15"/>
      <c r="D478" s="63"/>
      <c r="E478" s="15"/>
      <c r="F478" s="15"/>
      <c r="G478" s="16"/>
      <c r="H478" s="15"/>
      <c r="I478" s="15"/>
    </row>
    <row r="479">
      <c r="A479" s="15"/>
      <c r="B479" s="15"/>
      <c r="C479" s="15"/>
      <c r="D479" s="63"/>
      <c r="E479" s="15"/>
      <c r="F479" s="15"/>
      <c r="G479" s="16"/>
      <c r="H479" s="15"/>
      <c r="I479" s="15"/>
    </row>
    <row r="480">
      <c r="A480" s="15"/>
      <c r="B480" s="15"/>
      <c r="C480" s="15"/>
      <c r="D480" s="63"/>
      <c r="E480" s="15"/>
      <c r="F480" s="15"/>
      <c r="G480" s="16"/>
      <c r="H480" s="15"/>
      <c r="I480" s="15"/>
    </row>
    <row r="481">
      <c r="A481" s="15"/>
      <c r="B481" s="15"/>
      <c r="C481" s="15"/>
      <c r="D481" s="63"/>
      <c r="E481" s="15"/>
      <c r="F481" s="15"/>
      <c r="G481" s="16"/>
      <c r="H481" s="15"/>
      <c r="I481" s="15"/>
    </row>
    <row r="482">
      <c r="A482" s="15"/>
      <c r="B482" s="15"/>
      <c r="C482" s="15"/>
      <c r="D482" s="63"/>
      <c r="E482" s="15"/>
      <c r="F482" s="15"/>
      <c r="G482" s="16"/>
      <c r="H482" s="15"/>
      <c r="I482" s="15"/>
    </row>
    <row r="483">
      <c r="A483" s="15"/>
      <c r="B483" s="15"/>
      <c r="C483" s="15"/>
      <c r="D483" s="63"/>
      <c r="E483" s="15"/>
      <c r="F483" s="15"/>
      <c r="G483" s="16"/>
      <c r="H483" s="15"/>
      <c r="I483" s="15"/>
    </row>
    <row r="484">
      <c r="A484" s="15"/>
      <c r="B484" s="15"/>
      <c r="C484" s="15"/>
      <c r="D484" s="63"/>
      <c r="E484" s="15"/>
      <c r="F484" s="15"/>
      <c r="G484" s="16"/>
      <c r="H484" s="15"/>
      <c r="I484" s="15"/>
    </row>
    <row r="485">
      <c r="A485" s="15"/>
      <c r="B485" s="15"/>
      <c r="C485" s="15"/>
      <c r="D485" s="63"/>
      <c r="E485" s="15"/>
      <c r="F485" s="15"/>
      <c r="G485" s="16"/>
      <c r="H485" s="15"/>
      <c r="I485" s="15"/>
    </row>
    <row r="486">
      <c r="A486" s="15"/>
      <c r="B486" s="15"/>
      <c r="C486" s="15"/>
      <c r="D486" s="63"/>
      <c r="E486" s="15"/>
      <c r="F486" s="15"/>
      <c r="G486" s="16"/>
      <c r="H486" s="15"/>
      <c r="I486" s="15"/>
    </row>
    <row r="487">
      <c r="A487" s="15"/>
      <c r="B487" s="15"/>
      <c r="C487" s="15"/>
      <c r="D487" s="63"/>
      <c r="E487" s="15"/>
      <c r="F487" s="15"/>
      <c r="G487" s="16"/>
      <c r="H487" s="15"/>
      <c r="I487" s="15"/>
    </row>
    <row r="488">
      <c r="A488" s="15"/>
      <c r="B488" s="15"/>
      <c r="C488" s="15"/>
      <c r="D488" s="63"/>
      <c r="E488" s="15"/>
      <c r="F488" s="15"/>
      <c r="G488" s="16"/>
      <c r="H488" s="15"/>
      <c r="I488" s="15"/>
    </row>
    <row r="489">
      <c r="A489" s="15"/>
      <c r="B489" s="15"/>
      <c r="C489" s="15"/>
      <c r="D489" s="63"/>
      <c r="E489" s="15"/>
      <c r="F489" s="15"/>
      <c r="G489" s="16"/>
      <c r="H489" s="15"/>
      <c r="I489" s="15"/>
    </row>
    <row r="490">
      <c r="A490" s="15"/>
      <c r="B490" s="15"/>
      <c r="C490" s="15"/>
      <c r="D490" s="63"/>
      <c r="E490" s="15"/>
      <c r="F490" s="15"/>
      <c r="G490" s="16"/>
      <c r="H490" s="15"/>
      <c r="I490" s="15"/>
    </row>
    <row r="491">
      <c r="A491" s="15"/>
      <c r="B491" s="15"/>
      <c r="C491" s="15"/>
      <c r="D491" s="63"/>
      <c r="E491" s="15"/>
      <c r="F491" s="15"/>
      <c r="G491" s="16"/>
      <c r="H491" s="15"/>
      <c r="I491" s="15"/>
    </row>
    <row r="492">
      <c r="A492" s="15"/>
      <c r="B492" s="15"/>
      <c r="C492" s="15"/>
      <c r="D492" s="63"/>
      <c r="E492" s="15"/>
      <c r="F492" s="15"/>
      <c r="G492" s="16"/>
      <c r="H492" s="15"/>
      <c r="I492" s="15"/>
    </row>
    <row r="493">
      <c r="A493" s="15"/>
      <c r="B493" s="15"/>
      <c r="C493" s="15"/>
      <c r="D493" s="63"/>
      <c r="E493" s="15"/>
      <c r="F493" s="15"/>
      <c r="G493" s="16"/>
      <c r="H493" s="15"/>
      <c r="I493" s="15"/>
    </row>
    <row r="494">
      <c r="A494" s="15"/>
      <c r="B494" s="15"/>
      <c r="C494" s="15"/>
      <c r="D494" s="63"/>
      <c r="E494" s="15"/>
      <c r="F494" s="15"/>
      <c r="G494" s="16"/>
      <c r="H494" s="15"/>
      <c r="I494" s="15"/>
    </row>
    <row r="495">
      <c r="A495" s="15"/>
      <c r="B495" s="15"/>
      <c r="C495" s="15"/>
      <c r="D495" s="63"/>
      <c r="E495" s="15"/>
      <c r="F495" s="15"/>
      <c r="G495" s="16"/>
      <c r="H495" s="15"/>
      <c r="I495" s="15"/>
    </row>
    <row r="496">
      <c r="A496" s="15"/>
      <c r="B496" s="15"/>
      <c r="C496" s="15"/>
      <c r="D496" s="63"/>
      <c r="E496" s="15"/>
      <c r="F496" s="15"/>
      <c r="G496" s="16"/>
      <c r="H496" s="15"/>
      <c r="I496" s="15"/>
    </row>
    <row r="497">
      <c r="A497" s="15"/>
      <c r="B497" s="15"/>
      <c r="C497" s="15"/>
      <c r="D497" s="63"/>
      <c r="E497" s="15"/>
      <c r="F497" s="15"/>
      <c r="G497" s="16"/>
      <c r="H497" s="15"/>
      <c r="I497" s="15"/>
    </row>
    <row r="498">
      <c r="A498" s="15"/>
      <c r="B498" s="15"/>
      <c r="C498" s="15"/>
      <c r="D498" s="63"/>
      <c r="E498" s="15"/>
      <c r="F498" s="15"/>
      <c r="G498" s="16"/>
      <c r="H498" s="15"/>
      <c r="I498" s="15"/>
    </row>
    <row r="499">
      <c r="A499" s="15"/>
      <c r="B499" s="15"/>
      <c r="C499" s="15"/>
      <c r="D499" s="63"/>
      <c r="E499" s="15"/>
      <c r="F499" s="15"/>
      <c r="G499" s="16"/>
      <c r="H499" s="15"/>
      <c r="I499" s="15"/>
    </row>
    <row r="500">
      <c r="A500" s="15"/>
      <c r="B500" s="15"/>
      <c r="C500" s="15"/>
      <c r="D500" s="63"/>
      <c r="E500" s="15"/>
      <c r="F500" s="15"/>
      <c r="G500" s="16"/>
      <c r="H500" s="15"/>
      <c r="I500" s="15"/>
    </row>
    <row r="501">
      <c r="A501" s="15"/>
      <c r="B501" s="15"/>
      <c r="C501" s="15"/>
      <c r="D501" s="63"/>
      <c r="E501" s="15"/>
      <c r="F501" s="15"/>
      <c r="G501" s="16"/>
      <c r="H501" s="15"/>
      <c r="I501" s="15"/>
    </row>
    <row r="502">
      <c r="A502" s="15"/>
      <c r="B502" s="15"/>
      <c r="C502" s="15"/>
      <c r="D502" s="63"/>
      <c r="E502" s="15"/>
      <c r="F502" s="15"/>
      <c r="G502" s="16"/>
      <c r="H502" s="15"/>
      <c r="I502" s="15"/>
    </row>
    <row r="503">
      <c r="A503" s="15"/>
      <c r="B503" s="15"/>
      <c r="C503" s="15"/>
      <c r="D503" s="63"/>
      <c r="E503" s="15"/>
      <c r="F503" s="15"/>
      <c r="G503" s="16"/>
      <c r="H503" s="15"/>
      <c r="I503" s="15"/>
    </row>
    <row r="504">
      <c r="A504" s="15"/>
      <c r="B504" s="15"/>
      <c r="C504" s="15"/>
      <c r="D504" s="63"/>
      <c r="E504" s="15"/>
      <c r="F504" s="15"/>
      <c r="G504" s="16"/>
      <c r="H504" s="15"/>
      <c r="I504" s="15"/>
    </row>
    <row r="505">
      <c r="A505" s="15"/>
      <c r="B505" s="15"/>
      <c r="C505" s="15"/>
      <c r="D505" s="63"/>
      <c r="E505" s="15"/>
      <c r="F505" s="15"/>
      <c r="G505" s="16"/>
      <c r="H505" s="15"/>
      <c r="I505" s="15"/>
    </row>
    <row r="506">
      <c r="A506" s="15"/>
      <c r="B506" s="15"/>
      <c r="C506" s="15"/>
      <c r="D506" s="63"/>
      <c r="E506" s="15"/>
      <c r="F506" s="15"/>
      <c r="G506" s="16"/>
      <c r="H506" s="15"/>
      <c r="I506" s="15"/>
    </row>
    <row r="507">
      <c r="A507" s="15"/>
      <c r="B507" s="15"/>
      <c r="C507" s="15"/>
      <c r="D507" s="63"/>
      <c r="E507" s="15"/>
      <c r="F507" s="15"/>
      <c r="G507" s="16"/>
      <c r="H507" s="15"/>
      <c r="I507" s="15"/>
    </row>
    <row r="508">
      <c r="A508" s="15"/>
      <c r="B508" s="15"/>
      <c r="C508" s="15"/>
      <c r="D508" s="63"/>
      <c r="E508" s="15"/>
      <c r="F508" s="15"/>
      <c r="G508" s="16"/>
      <c r="H508" s="15"/>
      <c r="I508" s="15"/>
    </row>
    <row r="509">
      <c r="A509" s="15"/>
      <c r="B509" s="15"/>
      <c r="C509" s="15"/>
      <c r="D509" s="63"/>
      <c r="E509" s="15"/>
      <c r="F509" s="15"/>
      <c r="G509" s="16"/>
      <c r="H509" s="15"/>
      <c r="I509" s="15"/>
    </row>
    <row r="510">
      <c r="A510" s="15"/>
      <c r="B510" s="15"/>
      <c r="C510" s="15"/>
      <c r="D510" s="63"/>
      <c r="E510" s="15"/>
      <c r="F510" s="15"/>
      <c r="G510" s="16"/>
      <c r="H510" s="15"/>
      <c r="I510" s="15"/>
    </row>
    <row r="511">
      <c r="A511" s="15"/>
      <c r="B511" s="15"/>
      <c r="C511" s="15"/>
      <c r="D511" s="63"/>
      <c r="E511" s="15"/>
      <c r="F511" s="15"/>
      <c r="G511" s="16"/>
      <c r="H511" s="15"/>
      <c r="I511" s="15"/>
    </row>
    <row r="512">
      <c r="A512" s="15"/>
      <c r="B512" s="15"/>
      <c r="C512" s="15"/>
      <c r="D512" s="63"/>
      <c r="E512" s="15"/>
      <c r="F512" s="15"/>
      <c r="G512" s="16"/>
      <c r="H512" s="15"/>
      <c r="I512" s="15"/>
    </row>
    <row r="513">
      <c r="A513" s="15"/>
      <c r="B513" s="15"/>
      <c r="C513" s="15"/>
      <c r="D513" s="63"/>
      <c r="E513" s="15"/>
      <c r="F513" s="15"/>
      <c r="G513" s="16"/>
      <c r="H513" s="15"/>
      <c r="I513" s="15"/>
    </row>
    <row r="514">
      <c r="A514" s="15"/>
      <c r="B514" s="15"/>
      <c r="C514" s="15"/>
      <c r="D514" s="63"/>
      <c r="E514" s="15"/>
      <c r="F514" s="15"/>
      <c r="G514" s="16"/>
      <c r="H514" s="15"/>
      <c r="I514" s="15"/>
    </row>
    <row r="515">
      <c r="A515" s="15"/>
      <c r="B515" s="15"/>
      <c r="C515" s="15"/>
      <c r="D515" s="63"/>
      <c r="E515" s="15"/>
      <c r="F515" s="15"/>
      <c r="G515" s="16"/>
      <c r="H515" s="15"/>
      <c r="I515" s="15"/>
    </row>
    <row r="516">
      <c r="A516" s="15"/>
      <c r="B516" s="15"/>
      <c r="C516" s="15"/>
      <c r="D516" s="63"/>
      <c r="E516" s="15"/>
      <c r="F516" s="15"/>
      <c r="G516" s="16"/>
      <c r="H516" s="15"/>
      <c r="I516" s="15"/>
    </row>
    <row r="517">
      <c r="A517" s="15"/>
      <c r="B517" s="15"/>
      <c r="C517" s="15"/>
      <c r="D517" s="63"/>
      <c r="E517" s="15"/>
      <c r="F517" s="15"/>
      <c r="G517" s="16"/>
      <c r="H517" s="15"/>
      <c r="I517" s="15"/>
    </row>
    <row r="518">
      <c r="A518" s="15"/>
      <c r="B518" s="15"/>
      <c r="C518" s="15"/>
      <c r="D518" s="63"/>
      <c r="E518" s="15"/>
      <c r="F518" s="15"/>
      <c r="G518" s="16"/>
      <c r="H518" s="15"/>
      <c r="I518" s="15"/>
    </row>
    <row r="519">
      <c r="A519" s="15"/>
      <c r="B519" s="15"/>
      <c r="C519" s="15"/>
      <c r="D519" s="63"/>
      <c r="E519" s="15"/>
      <c r="F519" s="15"/>
      <c r="G519" s="16"/>
      <c r="H519" s="15"/>
      <c r="I519" s="15"/>
    </row>
    <row r="520">
      <c r="A520" s="15"/>
      <c r="B520" s="15"/>
      <c r="C520" s="15"/>
      <c r="D520" s="63"/>
      <c r="E520" s="15"/>
      <c r="F520" s="15"/>
      <c r="G520" s="16"/>
      <c r="H520" s="15"/>
      <c r="I520" s="15"/>
    </row>
    <row r="521">
      <c r="A521" s="15"/>
      <c r="B521" s="15"/>
      <c r="C521" s="15"/>
      <c r="D521" s="63"/>
      <c r="E521" s="15"/>
      <c r="F521" s="15"/>
      <c r="G521" s="16"/>
      <c r="H521" s="15"/>
      <c r="I521" s="15"/>
    </row>
    <row r="522">
      <c r="A522" s="15"/>
      <c r="B522" s="15"/>
      <c r="C522" s="15"/>
      <c r="D522" s="63"/>
      <c r="E522" s="15"/>
      <c r="F522" s="15"/>
      <c r="G522" s="16"/>
      <c r="H522" s="15"/>
      <c r="I522" s="15"/>
    </row>
    <row r="523">
      <c r="A523" s="15"/>
      <c r="B523" s="15"/>
      <c r="C523" s="15"/>
      <c r="D523" s="63"/>
      <c r="E523" s="15"/>
      <c r="F523" s="15"/>
      <c r="G523" s="16"/>
      <c r="H523" s="15"/>
      <c r="I523" s="15"/>
    </row>
    <row r="524">
      <c r="A524" s="15"/>
      <c r="B524" s="15"/>
      <c r="C524" s="15"/>
      <c r="D524" s="63"/>
      <c r="E524" s="15"/>
      <c r="F524" s="15"/>
      <c r="G524" s="16"/>
      <c r="H524" s="15"/>
      <c r="I524" s="15"/>
    </row>
    <row r="525">
      <c r="A525" s="15"/>
      <c r="B525" s="15"/>
      <c r="C525" s="15"/>
      <c r="D525" s="63"/>
      <c r="E525" s="15"/>
      <c r="F525" s="15"/>
      <c r="G525" s="16"/>
      <c r="H525" s="15"/>
      <c r="I525" s="15"/>
    </row>
    <row r="526">
      <c r="A526" s="15"/>
      <c r="B526" s="15"/>
      <c r="C526" s="15"/>
      <c r="D526" s="63"/>
      <c r="E526" s="15"/>
      <c r="F526" s="15"/>
      <c r="G526" s="16"/>
      <c r="H526" s="15"/>
      <c r="I526" s="15"/>
    </row>
    <row r="527">
      <c r="A527" s="15"/>
      <c r="B527" s="15"/>
      <c r="C527" s="15"/>
      <c r="D527" s="63"/>
      <c r="E527" s="15"/>
      <c r="F527" s="15"/>
      <c r="G527" s="16"/>
      <c r="H527" s="15"/>
      <c r="I527" s="15"/>
    </row>
    <row r="528">
      <c r="A528" s="15"/>
      <c r="B528" s="15"/>
      <c r="C528" s="15"/>
      <c r="D528" s="63"/>
      <c r="E528" s="15"/>
      <c r="F528" s="15"/>
      <c r="G528" s="16"/>
      <c r="H528" s="15"/>
      <c r="I528" s="15"/>
    </row>
    <row r="529">
      <c r="A529" s="15"/>
      <c r="B529" s="15"/>
      <c r="C529" s="15"/>
      <c r="D529" s="63"/>
      <c r="E529" s="15"/>
      <c r="F529" s="15"/>
      <c r="G529" s="16"/>
      <c r="H529" s="15"/>
      <c r="I529" s="15"/>
    </row>
    <row r="530">
      <c r="A530" s="15"/>
      <c r="B530" s="15"/>
      <c r="C530" s="15"/>
      <c r="D530" s="63"/>
      <c r="E530" s="15"/>
      <c r="F530" s="15"/>
      <c r="G530" s="16"/>
      <c r="H530" s="15"/>
      <c r="I530" s="15"/>
    </row>
    <row r="531">
      <c r="A531" s="15"/>
      <c r="B531" s="15"/>
      <c r="C531" s="15"/>
      <c r="D531" s="63"/>
      <c r="E531" s="15"/>
      <c r="F531" s="15"/>
      <c r="G531" s="16"/>
      <c r="H531" s="15"/>
      <c r="I531" s="15"/>
    </row>
    <row r="532">
      <c r="A532" s="15"/>
      <c r="B532" s="15"/>
      <c r="C532" s="15"/>
      <c r="D532" s="63"/>
      <c r="E532" s="15"/>
      <c r="F532" s="15"/>
      <c r="G532" s="16"/>
      <c r="H532" s="15"/>
      <c r="I532" s="15"/>
    </row>
    <row r="533">
      <c r="A533" s="15"/>
      <c r="B533" s="15"/>
      <c r="C533" s="15"/>
      <c r="D533" s="63"/>
      <c r="E533" s="15"/>
      <c r="F533" s="15"/>
      <c r="G533" s="16"/>
      <c r="H533" s="15"/>
      <c r="I533" s="15"/>
    </row>
    <row r="534">
      <c r="A534" s="15"/>
      <c r="B534" s="15"/>
      <c r="C534" s="15"/>
      <c r="D534" s="63"/>
      <c r="E534" s="15"/>
      <c r="F534" s="15"/>
      <c r="G534" s="16"/>
      <c r="H534" s="15"/>
      <c r="I534" s="15"/>
    </row>
    <row r="535">
      <c r="A535" s="15"/>
      <c r="B535" s="15"/>
      <c r="C535" s="15"/>
      <c r="D535" s="63"/>
      <c r="E535" s="15"/>
      <c r="F535" s="15"/>
      <c r="G535" s="16"/>
      <c r="H535" s="15"/>
      <c r="I535" s="15"/>
    </row>
    <row r="536">
      <c r="A536" s="15"/>
      <c r="B536" s="15"/>
      <c r="C536" s="15"/>
      <c r="D536" s="63"/>
      <c r="E536" s="15"/>
      <c r="F536" s="15"/>
      <c r="G536" s="16"/>
      <c r="H536" s="15"/>
      <c r="I536" s="15"/>
    </row>
    <row r="537">
      <c r="A537" s="15"/>
      <c r="B537" s="15"/>
      <c r="C537" s="15"/>
      <c r="D537" s="63"/>
      <c r="E537" s="15"/>
      <c r="F537" s="15"/>
      <c r="G537" s="16"/>
      <c r="H537" s="15"/>
      <c r="I537" s="15"/>
    </row>
    <row r="538">
      <c r="A538" s="15"/>
      <c r="B538" s="15"/>
      <c r="C538" s="15"/>
      <c r="D538" s="63"/>
      <c r="E538" s="15"/>
      <c r="F538" s="15"/>
      <c r="G538" s="16"/>
      <c r="H538" s="15"/>
      <c r="I538" s="15"/>
    </row>
    <row r="539">
      <c r="A539" s="15"/>
      <c r="B539" s="15"/>
      <c r="C539" s="15"/>
      <c r="D539" s="63"/>
      <c r="E539" s="15"/>
      <c r="F539" s="15"/>
      <c r="G539" s="16"/>
      <c r="H539" s="15"/>
      <c r="I539" s="15"/>
    </row>
    <row r="540">
      <c r="A540" s="15"/>
      <c r="B540" s="15"/>
      <c r="C540" s="15"/>
      <c r="D540" s="63"/>
      <c r="E540" s="15"/>
      <c r="F540" s="15"/>
      <c r="G540" s="16"/>
      <c r="H540" s="15"/>
      <c r="I540" s="15"/>
    </row>
    <row r="541">
      <c r="A541" s="15"/>
      <c r="B541" s="15"/>
      <c r="C541" s="15"/>
      <c r="D541" s="63"/>
      <c r="E541" s="15"/>
      <c r="F541" s="15"/>
      <c r="G541" s="16"/>
      <c r="H541" s="15"/>
      <c r="I541" s="15"/>
    </row>
    <row r="542">
      <c r="A542" s="15"/>
      <c r="B542" s="15"/>
      <c r="C542" s="15"/>
      <c r="D542" s="63"/>
      <c r="E542" s="15"/>
      <c r="F542" s="15"/>
      <c r="G542" s="16"/>
      <c r="H542" s="15"/>
      <c r="I542" s="15"/>
    </row>
    <row r="543">
      <c r="A543" s="15"/>
      <c r="B543" s="15"/>
      <c r="C543" s="15"/>
      <c r="D543" s="63"/>
      <c r="E543" s="15"/>
      <c r="F543" s="15"/>
      <c r="G543" s="16"/>
      <c r="H543" s="15"/>
      <c r="I543" s="15"/>
    </row>
    <row r="544">
      <c r="A544" s="15"/>
      <c r="B544" s="15"/>
      <c r="C544" s="15"/>
      <c r="D544" s="63"/>
      <c r="E544" s="15"/>
      <c r="F544" s="15"/>
      <c r="G544" s="16"/>
      <c r="H544" s="15"/>
      <c r="I544" s="15"/>
    </row>
    <row r="545">
      <c r="A545" s="15"/>
      <c r="B545" s="15"/>
      <c r="C545" s="15"/>
      <c r="D545" s="63"/>
      <c r="E545" s="15"/>
      <c r="F545" s="15"/>
      <c r="G545" s="16"/>
      <c r="H545" s="15"/>
      <c r="I545" s="15"/>
    </row>
    <row r="546">
      <c r="A546" s="15"/>
      <c r="B546" s="15"/>
      <c r="C546" s="15"/>
      <c r="D546" s="63"/>
      <c r="E546" s="15"/>
      <c r="F546" s="15"/>
      <c r="G546" s="16"/>
      <c r="H546" s="15"/>
      <c r="I546" s="15"/>
    </row>
    <row r="547">
      <c r="A547" s="15"/>
      <c r="B547" s="15"/>
      <c r="C547" s="15"/>
      <c r="D547" s="63"/>
      <c r="E547" s="15"/>
      <c r="F547" s="15"/>
      <c r="G547" s="16"/>
      <c r="H547" s="15"/>
      <c r="I547" s="15"/>
    </row>
    <row r="548">
      <c r="A548" s="15"/>
      <c r="B548" s="15"/>
      <c r="C548" s="15"/>
      <c r="D548" s="63"/>
      <c r="E548" s="15"/>
      <c r="F548" s="15"/>
      <c r="G548" s="16"/>
      <c r="H548" s="15"/>
      <c r="I548" s="15"/>
    </row>
    <row r="549">
      <c r="A549" s="15"/>
      <c r="B549" s="15"/>
      <c r="C549" s="15"/>
      <c r="D549" s="63"/>
      <c r="E549" s="15"/>
      <c r="F549" s="15"/>
      <c r="G549" s="16"/>
      <c r="H549" s="15"/>
      <c r="I549" s="15"/>
    </row>
    <row r="550">
      <c r="A550" s="15"/>
      <c r="B550" s="15"/>
      <c r="C550" s="15"/>
      <c r="D550" s="63"/>
      <c r="E550" s="15"/>
      <c r="F550" s="15"/>
      <c r="G550" s="16"/>
      <c r="H550" s="15"/>
      <c r="I550" s="15"/>
    </row>
    <row r="551">
      <c r="A551" s="15"/>
      <c r="B551" s="15"/>
      <c r="C551" s="15"/>
      <c r="D551" s="63"/>
      <c r="E551" s="15"/>
      <c r="F551" s="15"/>
      <c r="G551" s="16"/>
      <c r="H551" s="15"/>
      <c r="I551" s="15"/>
    </row>
    <row r="552">
      <c r="A552" s="15"/>
      <c r="B552" s="15"/>
      <c r="C552" s="15"/>
      <c r="D552" s="63"/>
      <c r="E552" s="15"/>
      <c r="F552" s="15"/>
      <c r="G552" s="16"/>
      <c r="H552" s="15"/>
      <c r="I552" s="15"/>
    </row>
    <row r="553">
      <c r="A553" s="15"/>
      <c r="B553" s="15"/>
      <c r="C553" s="15"/>
      <c r="D553" s="63"/>
      <c r="E553" s="15"/>
      <c r="F553" s="15"/>
      <c r="G553" s="16"/>
      <c r="H553" s="15"/>
      <c r="I553" s="15"/>
    </row>
    <row r="554">
      <c r="A554" s="15"/>
      <c r="B554" s="15"/>
      <c r="C554" s="15"/>
      <c r="D554" s="63"/>
      <c r="E554" s="15"/>
      <c r="F554" s="15"/>
      <c r="G554" s="16"/>
      <c r="H554" s="15"/>
      <c r="I554" s="15"/>
    </row>
    <row r="555">
      <c r="A555" s="15"/>
      <c r="B555" s="15"/>
      <c r="C555" s="15"/>
      <c r="D555" s="63"/>
      <c r="E555" s="15"/>
      <c r="F555" s="15"/>
      <c r="G555" s="16"/>
      <c r="H555" s="15"/>
      <c r="I555" s="15"/>
    </row>
    <row r="556">
      <c r="A556" s="15"/>
      <c r="B556" s="15"/>
      <c r="C556" s="15"/>
      <c r="D556" s="63"/>
      <c r="E556" s="15"/>
      <c r="F556" s="15"/>
      <c r="G556" s="16"/>
      <c r="H556" s="15"/>
      <c r="I556" s="15"/>
    </row>
    <row r="557">
      <c r="A557" s="15"/>
      <c r="B557" s="15"/>
      <c r="C557" s="15"/>
      <c r="D557" s="63"/>
      <c r="E557" s="15"/>
      <c r="F557" s="15"/>
      <c r="G557" s="16"/>
      <c r="H557" s="15"/>
      <c r="I557" s="15"/>
    </row>
    <row r="558">
      <c r="A558" s="15"/>
      <c r="B558" s="15"/>
      <c r="C558" s="15"/>
      <c r="D558" s="63"/>
      <c r="E558" s="15"/>
      <c r="F558" s="15"/>
      <c r="G558" s="16"/>
      <c r="H558" s="15"/>
      <c r="I558" s="15"/>
    </row>
    <row r="559">
      <c r="A559" s="15"/>
      <c r="B559" s="15"/>
      <c r="C559" s="15"/>
      <c r="D559" s="63"/>
      <c r="E559" s="15"/>
      <c r="F559" s="15"/>
      <c r="G559" s="16"/>
      <c r="H559" s="15"/>
      <c r="I559" s="15"/>
    </row>
    <row r="560">
      <c r="A560" s="15"/>
      <c r="B560" s="15"/>
      <c r="C560" s="15"/>
      <c r="D560" s="63"/>
      <c r="E560" s="15"/>
      <c r="F560" s="15"/>
      <c r="G560" s="16"/>
      <c r="H560" s="15"/>
      <c r="I560" s="15"/>
    </row>
    <row r="561">
      <c r="A561" s="15"/>
      <c r="B561" s="15"/>
      <c r="C561" s="15"/>
      <c r="D561" s="63"/>
      <c r="E561" s="15"/>
      <c r="F561" s="15"/>
      <c r="G561" s="16"/>
      <c r="H561" s="15"/>
      <c r="I561" s="15"/>
    </row>
    <row r="562">
      <c r="A562" s="15"/>
      <c r="B562" s="15"/>
      <c r="C562" s="15"/>
      <c r="D562" s="63"/>
      <c r="E562" s="15"/>
      <c r="F562" s="15"/>
      <c r="G562" s="16"/>
      <c r="H562" s="15"/>
      <c r="I562" s="15"/>
    </row>
    <row r="563">
      <c r="A563" s="15"/>
      <c r="B563" s="15"/>
      <c r="C563" s="15"/>
      <c r="D563" s="63"/>
      <c r="E563" s="15"/>
      <c r="F563" s="15"/>
      <c r="G563" s="16"/>
      <c r="H563" s="15"/>
      <c r="I563" s="15"/>
    </row>
    <row r="564">
      <c r="A564" s="15"/>
      <c r="B564" s="15"/>
      <c r="C564" s="15"/>
      <c r="D564" s="63"/>
      <c r="E564" s="15"/>
      <c r="F564" s="15"/>
      <c r="G564" s="16"/>
      <c r="H564" s="15"/>
      <c r="I564" s="15"/>
    </row>
    <row r="565">
      <c r="A565" s="15"/>
      <c r="B565" s="15"/>
      <c r="C565" s="15"/>
      <c r="D565" s="63"/>
      <c r="E565" s="15"/>
      <c r="F565" s="15"/>
      <c r="G565" s="16"/>
      <c r="H565" s="15"/>
      <c r="I565" s="15"/>
    </row>
    <row r="566">
      <c r="A566" s="15"/>
      <c r="B566" s="15"/>
      <c r="C566" s="15"/>
      <c r="D566" s="63"/>
      <c r="E566" s="15"/>
      <c r="F566" s="15"/>
      <c r="G566" s="16"/>
      <c r="H566" s="15"/>
      <c r="I566" s="15"/>
    </row>
    <row r="567">
      <c r="A567" s="15"/>
      <c r="B567" s="15"/>
      <c r="C567" s="15"/>
      <c r="D567" s="63"/>
      <c r="E567" s="15"/>
      <c r="F567" s="15"/>
      <c r="G567" s="16"/>
      <c r="H567" s="15"/>
      <c r="I567" s="15"/>
    </row>
    <row r="568">
      <c r="A568" s="15"/>
      <c r="B568" s="15"/>
      <c r="C568" s="15"/>
      <c r="D568" s="63"/>
      <c r="E568" s="15"/>
      <c r="F568" s="15"/>
      <c r="G568" s="16"/>
      <c r="H568" s="15"/>
      <c r="I568" s="15"/>
    </row>
    <row r="569">
      <c r="A569" s="15"/>
      <c r="B569" s="15"/>
      <c r="C569" s="15"/>
      <c r="D569" s="63"/>
      <c r="E569" s="15"/>
      <c r="F569" s="15"/>
      <c r="G569" s="16"/>
      <c r="H569" s="15"/>
      <c r="I569" s="15"/>
    </row>
    <row r="570">
      <c r="A570" s="15"/>
      <c r="B570" s="15"/>
      <c r="C570" s="15"/>
      <c r="D570" s="63"/>
      <c r="E570" s="15"/>
      <c r="F570" s="15"/>
      <c r="G570" s="16"/>
      <c r="H570" s="15"/>
      <c r="I570" s="15"/>
    </row>
    <row r="571">
      <c r="A571" s="15"/>
      <c r="B571" s="15"/>
      <c r="C571" s="15"/>
      <c r="D571" s="63"/>
      <c r="E571" s="15"/>
      <c r="F571" s="15"/>
      <c r="G571" s="16"/>
      <c r="H571" s="15"/>
      <c r="I571" s="15"/>
    </row>
    <row r="572">
      <c r="A572" s="15"/>
      <c r="B572" s="15"/>
      <c r="C572" s="15"/>
      <c r="D572" s="63"/>
      <c r="E572" s="15"/>
      <c r="F572" s="15"/>
      <c r="G572" s="16"/>
      <c r="H572" s="15"/>
      <c r="I572" s="15"/>
    </row>
    <row r="573">
      <c r="A573" s="15"/>
      <c r="B573" s="15"/>
      <c r="C573" s="15"/>
      <c r="D573" s="63"/>
      <c r="E573" s="15"/>
      <c r="F573" s="15"/>
      <c r="G573" s="16"/>
      <c r="H573" s="15"/>
      <c r="I573" s="15"/>
    </row>
    <row r="574">
      <c r="A574" s="15"/>
      <c r="B574" s="15"/>
      <c r="C574" s="15"/>
      <c r="D574" s="63"/>
      <c r="E574" s="15"/>
      <c r="F574" s="15"/>
      <c r="G574" s="16"/>
      <c r="H574" s="15"/>
      <c r="I574" s="15"/>
    </row>
    <row r="575">
      <c r="A575" s="15"/>
      <c r="B575" s="15"/>
      <c r="C575" s="15"/>
      <c r="D575" s="63"/>
      <c r="E575" s="15"/>
      <c r="F575" s="15"/>
      <c r="G575" s="16"/>
      <c r="H575" s="15"/>
      <c r="I575" s="15"/>
    </row>
    <row r="576">
      <c r="A576" s="15"/>
      <c r="B576" s="15"/>
      <c r="C576" s="15"/>
      <c r="D576" s="63"/>
      <c r="E576" s="15"/>
      <c r="F576" s="15"/>
      <c r="G576" s="16"/>
      <c r="H576" s="15"/>
      <c r="I576" s="15"/>
    </row>
    <row r="577">
      <c r="A577" s="15"/>
      <c r="B577" s="15"/>
      <c r="C577" s="15"/>
      <c r="D577" s="63"/>
      <c r="E577" s="15"/>
      <c r="F577" s="15"/>
      <c r="G577" s="16"/>
      <c r="H577" s="15"/>
      <c r="I577" s="15"/>
    </row>
    <row r="578">
      <c r="A578" s="15"/>
      <c r="B578" s="15"/>
      <c r="C578" s="15"/>
      <c r="D578" s="63"/>
      <c r="E578" s="15"/>
      <c r="F578" s="15"/>
      <c r="G578" s="16"/>
      <c r="H578" s="15"/>
      <c r="I578" s="15"/>
    </row>
    <row r="579">
      <c r="A579" s="15"/>
      <c r="B579" s="15"/>
      <c r="C579" s="15"/>
      <c r="D579" s="63"/>
      <c r="E579" s="15"/>
      <c r="F579" s="15"/>
      <c r="G579" s="16"/>
      <c r="H579" s="15"/>
      <c r="I579" s="15"/>
    </row>
    <row r="580">
      <c r="A580" s="15"/>
      <c r="B580" s="15"/>
      <c r="C580" s="15"/>
      <c r="D580" s="63"/>
      <c r="E580" s="15"/>
      <c r="F580" s="15"/>
      <c r="G580" s="16"/>
      <c r="H580" s="15"/>
      <c r="I580" s="15"/>
    </row>
    <row r="581">
      <c r="A581" s="15"/>
      <c r="B581" s="15"/>
      <c r="C581" s="15"/>
      <c r="D581" s="63"/>
      <c r="E581" s="15"/>
      <c r="F581" s="15"/>
      <c r="G581" s="16"/>
      <c r="H581" s="15"/>
      <c r="I581" s="15"/>
    </row>
    <row r="582">
      <c r="A582" s="15"/>
      <c r="B582" s="15"/>
      <c r="C582" s="15"/>
      <c r="D582" s="63"/>
      <c r="E582" s="15"/>
      <c r="F582" s="15"/>
      <c r="G582" s="16"/>
      <c r="H582" s="15"/>
      <c r="I582" s="15"/>
    </row>
    <row r="583">
      <c r="A583" s="15"/>
      <c r="B583" s="15"/>
      <c r="C583" s="15"/>
      <c r="D583" s="63"/>
      <c r="E583" s="15"/>
      <c r="F583" s="15"/>
      <c r="G583" s="16"/>
      <c r="H583" s="15"/>
      <c r="I583" s="15"/>
    </row>
    <row r="584">
      <c r="A584" s="15"/>
      <c r="B584" s="15"/>
      <c r="C584" s="15"/>
      <c r="D584" s="63"/>
      <c r="E584" s="15"/>
      <c r="F584" s="15"/>
      <c r="G584" s="16"/>
      <c r="H584" s="15"/>
      <c r="I584" s="15"/>
    </row>
    <row r="585">
      <c r="A585" s="15"/>
      <c r="B585" s="15"/>
      <c r="C585" s="15"/>
      <c r="D585" s="63"/>
      <c r="E585" s="15"/>
      <c r="F585" s="15"/>
      <c r="G585" s="16"/>
      <c r="H585" s="15"/>
      <c r="I585" s="15"/>
    </row>
    <row r="586">
      <c r="A586" s="15"/>
      <c r="B586" s="15"/>
      <c r="C586" s="15"/>
      <c r="D586" s="63"/>
      <c r="E586" s="15"/>
      <c r="F586" s="15"/>
      <c r="G586" s="16"/>
      <c r="H586" s="15"/>
      <c r="I586" s="15"/>
    </row>
    <row r="587">
      <c r="A587" s="15"/>
      <c r="B587" s="15"/>
      <c r="C587" s="15"/>
      <c r="D587" s="63"/>
      <c r="E587" s="15"/>
      <c r="F587" s="15"/>
      <c r="G587" s="16"/>
      <c r="H587" s="15"/>
      <c r="I587" s="15"/>
    </row>
    <row r="588">
      <c r="A588" s="15"/>
      <c r="B588" s="15"/>
      <c r="C588" s="15"/>
      <c r="D588" s="63"/>
      <c r="E588" s="15"/>
      <c r="F588" s="15"/>
      <c r="G588" s="16"/>
      <c r="H588" s="15"/>
      <c r="I588" s="15"/>
    </row>
    <row r="589">
      <c r="A589" s="15"/>
      <c r="B589" s="15"/>
      <c r="C589" s="15"/>
      <c r="D589" s="63"/>
      <c r="E589" s="15"/>
      <c r="F589" s="15"/>
      <c r="G589" s="16"/>
      <c r="H589" s="15"/>
      <c r="I589" s="15"/>
    </row>
    <row r="590">
      <c r="A590" s="15"/>
      <c r="B590" s="15"/>
      <c r="C590" s="15"/>
      <c r="D590" s="63"/>
      <c r="E590" s="15"/>
      <c r="F590" s="15"/>
      <c r="G590" s="16"/>
      <c r="H590" s="15"/>
      <c r="I590" s="15"/>
    </row>
    <row r="591">
      <c r="A591" s="15"/>
      <c r="B591" s="15"/>
      <c r="C591" s="15"/>
      <c r="D591" s="63"/>
      <c r="E591" s="15"/>
      <c r="F591" s="15"/>
      <c r="G591" s="16"/>
      <c r="H591" s="15"/>
      <c r="I591" s="15"/>
    </row>
    <row r="592">
      <c r="A592" s="15"/>
      <c r="B592" s="15"/>
      <c r="C592" s="15"/>
      <c r="D592" s="63"/>
      <c r="E592" s="15"/>
      <c r="F592" s="15"/>
      <c r="G592" s="16"/>
      <c r="H592" s="15"/>
      <c r="I592" s="15"/>
    </row>
    <row r="593">
      <c r="A593" s="15"/>
      <c r="B593" s="15"/>
      <c r="C593" s="15"/>
      <c r="D593" s="63"/>
      <c r="E593" s="15"/>
      <c r="F593" s="15"/>
      <c r="G593" s="16"/>
      <c r="H593" s="15"/>
      <c r="I593" s="15"/>
    </row>
    <row r="594">
      <c r="A594" s="15"/>
      <c r="B594" s="15"/>
      <c r="C594" s="15"/>
      <c r="D594" s="63"/>
      <c r="E594" s="15"/>
      <c r="F594" s="15"/>
      <c r="G594" s="16"/>
      <c r="H594" s="15"/>
      <c r="I594" s="15"/>
    </row>
    <row r="595">
      <c r="A595" s="15"/>
      <c r="B595" s="15"/>
      <c r="C595" s="15"/>
      <c r="D595" s="63"/>
      <c r="E595" s="15"/>
      <c r="F595" s="15"/>
      <c r="G595" s="16"/>
      <c r="H595" s="15"/>
      <c r="I595" s="15"/>
    </row>
    <row r="596">
      <c r="A596" s="15"/>
      <c r="B596" s="15"/>
      <c r="C596" s="15"/>
      <c r="D596" s="63"/>
      <c r="E596" s="15"/>
      <c r="F596" s="15"/>
      <c r="G596" s="16"/>
      <c r="H596" s="15"/>
      <c r="I596" s="15"/>
    </row>
    <row r="597">
      <c r="A597" s="15"/>
      <c r="B597" s="15"/>
      <c r="C597" s="15"/>
      <c r="D597" s="63"/>
      <c r="E597" s="15"/>
      <c r="F597" s="15"/>
      <c r="G597" s="16"/>
      <c r="H597" s="15"/>
      <c r="I597" s="15"/>
    </row>
    <row r="598">
      <c r="A598" s="15"/>
      <c r="B598" s="15"/>
      <c r="C598" s="15"/>
      <c r="D598" s="63"/>
      <c r="E598" s="15"/>
      <c r="F598" s="15"/>
      <c r="G598" s="16"/>
      <c r="H598" s="15"/>
      <c r="I598" s="15"/>
    </row>
    <row r="599">
      <c r="A599" s="15"/>
      <c r="B599" s="15"/>
      <c r="C599" s="15"/>
      <c r="D599" s="63"/>
      <c r="E599" s="15"/>
      <c r="F599" s="15"/>
      <c r="G599" s="16"/>
      <c r="H599" s="15"/>
      <c r="I599" s="15"/>
    </row>
    <row r="600">
      <c r="A600" s="15"/>
      <c r="B600" s="15"/>
      <c r="C600" s="15"/>
      <c r="D600" s="63"/>
      <c r="E600" s="15"/>
      <c r="F600" s="15"/>
      <c r="G600" s="16"/>
      <c r="H600" s="15"/>
      <c r="I600" s="15"/>
    </row>
    <row r="601">
      <c r="A601" s="15"/>
      <c r="B601" s="15"/>
      <c r="C601" s="15"/>
      <c r="D601" s="63"/>
      <c r="E601" s="15"/>
      <c r="F601" s="15"/>
      <c r="G601" s="16"/>
      <c r="H601" s="15"/>
      <c r="I601" s="15"/>
    </row>
    <row r="602">
      <c r="A602" s="15"/>
      <c r="B602" s="15"/>
      <c r="C602" s="15"/>
      <c r="D602" s="63"/>
      <c r="E602" s="15"/>
      <c r="F602" s="15"/>
      <c r="G602" s="16"/>
      <c r="H602" s="15"/>
      <c r="I602" s="15"/>
    </row>
    <row r="603">
      <c r="A603" s="15"/>
      <c r="B603" s="15"/>
      <c r="C603" s="15"/>
      <c r="D603" s="63"/>
      <c r="E603" s="15"/>
      <c r="F603" s="15"/>
      <c r="G603" s="16"/>
      <c r="H603" s="15"/>
      <c r="I603" s="15"/>
    </row>
    <row r="604">
      <c r="A604" s="15"/>
      <c r="B604" s="15"/>
      <c r="C604" s="15"/>
      <c r="D604" s="63"/>
      <c r="E604" s="15"/>
      <c r="F604" s="15"/>
      <c r="G604" s="16"/>
      <c r="H604" s="15"/>
      <c r="I604" s="15"/>
    </row>
    <row r="605">
      <c r="A605" s="15"/>
      <c r="B605" s="15"/>
      <c r="C605" s="15"/>
      <c r="D605" s="63"/>
      <c r="E605" s="15"/>
      <c r="F605" s="15"/>
      <c r="G605" s="16"/>
      <c r="H605" s="15"/>
      <c r="I605" s="15"/>
    </row>
    <row r="606">
      <c r="A606" s="15"/>
      <c r="B606" s="15"/>
      <c r="C606" s="15"/>
      <c r="D606" s="63"/>
      <c r="E606" s="15"/>
      <c r="F606" s="15"/>
      <c r="G606" s="16"/>
      <c r="H606" s="15"/>
      <c r="I606" s="15"/>
    </row>
    <row r="607">
      <c r="A607" s="15"/>
      <c r="B607" s="15"/>
      <c r="C607" s="15"/>
      <c r="D607" s="63"/>
      <c r="E607" s="15"/>
      <c r="F607" s="15"/>
      <c r="G607" s="16"/>
      <c r="H607" s="15"/>
      <c r="I607" s="15"/>
    </row>
    <row r="608">
      <c r="A608" s="15"/>
      <c r="B608" s="15"/>
      <c r="C608" s="15"/>
      <c r="D608" s="63"/>
      <c r="E608" s="15"/>
      <c r="F608" s="15"/>
      <c r="G608" s="16"/>
      <c r="H608" s="15"/>
      <c r="I608" s="15"/>
    </row>
    <row r="609">
      <c r="A609" s="15"/>
      <c r="B609" s="15"/>
      <c r="C609" s="15"/>
      <c r="D609" s="63"/>
      <c r="E609" s="15"/>
      <c r="F609" s="15"/>
      <c r="G609" s="16"/>
      <c r="H609" s="15"/>
      <c r="I609" s="15"/>
    </row>
    <row r="610">
      <c r="A610" s="15"/>
      <c r="B610" s="15"/>
      <c r="C610" s="15"/>
      <c r="D610" s="63"/>
      <c r="E610" s="15"/>
      <c r="F610" s="15"/>
      <c r="G610" s="16"/>
      <c r="H610" s="15"/>
      <c r="I610" s="15"/>
    </row>
    <row r="611">
      <c r="A611" s="15"/>
      <c r="B611" s="15"/>
      <c r="C611" s="15"/>
      <c r="D611" s="63"/>
      <c r="E611" s="15"/>
      <c r="F611" s="15"/>
      <c r="G611" s="16"/>
      <c r="H611" s="15"/>
      <c r="I611" s="15"/>
    </row>
    <row r="612">
      <c r="A612" s="15"/>
      <c r="B612" s="15"/>
      <c r="C612" s="15"/>
      <c r="D612" s="63"/>
      <c r="E612" s="15"/>
      <c r="F612" s="15"/>
      <c r="G612" s="16"/>
      <c r="H612" s="15"/>
      <c r="I612" s="15"/>
    </row>
    <row r="613">
      <c r="A613" s="15"/>
      <c r="B613" s="15"/>
      <c r="C613" s="15"/>
      <c r="D613" s="63"/>
      <c r="E613" s="15"/>
      <c r="F613" s="15"/>
      <c r="G613" s="16"/>
      <c r="H613" s="15"/>
      <c r="I613" s="15"/>
    </row>
    <row r="614">
      <c r="A614" s="15"/>
      <c r="B614" s="15"/>
      <c r="C614" s="15"/>
      <c r="D614" s="63"/>
      <c r="E614" s="15"/>
      <c r="F614" s="15"/>
      <c r="G614" s="16"/>
      <c r="H614" s="15"/>
      <c r="I614" s="15"/>
    </row>
    <row r="615">
      <c r="A615" s="15"/>
      <c r="B615" s="15"/>
      <c r="C615" s="15"/>
      <c r="D615" s="63"/>
      <c r="E615" s="15"/>
      <c r="F615" s="15"/>
      <c r="G615" s="16"/>
      <c r="H615" s="15"/>
      <c r="I615" s="15"/>
    </row>
    <row r="616">
      <c r="A616" s="15"/>
      <c r="B616" s="15"/>
      <c r="C616" s="15"/>
      <c r="D616" s="63"/>
      <c r="E616" s="15"/>
      <c r="F616" s="15"/>
      <c r="G616" s="16"/>
      <c r="H616" s="15"/>
      <c r="I616" s="15"/>
    </row>
    <row r="617">
      <c r="A617" s="15"/>
      <c r="B617" s="15"/>
      <c r="C617" s="15"/>
      <c r="D617" s="63"/>
      <c r="E617" s="15"/>
      <c r="F617" s="15"/>
      <c r="G617" s="16"/>
      <c r="H617" s="15"/>
      <c r="I617" s="15"/>
    </row>
    <row r="618">
      <c r="A618" s="15"/>
      <c r="B618" s="15"/>
      <c r="C618" s="15"/>
      <c r="D618" s="63"/>
      <c r="E618" s="15"/>
      <c r="F618" s="15"/>
      <c r="G618" s="16"/>
      <c r="H618" s="15"/>
      <c r="I618" s="15"/>
    </row>
    <row r="619">
      <c r="A619" s="15"/>
      <c r="B619" s="15"/>
      <c r="C619" s="15"/>
      <c r="D619" s="63"/>
      <c r="E619" s="15"/>
      <c r="F619" s="15"/>
      <c r="G619" s="16"/>
      <c r="H619" s="15"/>
      <c r="I619" s="15"/>
    </row>
    <row r="620">
      <c r="A620" s="15"/>
      <c r="B620" s="15"/>
      <c r="C620" s="15"/>
      <c r="D620" s="63"/>
      <c r="E620" s="15"/>
      <c r="F620" s="15"/>
      <c r="G620" s="16"/>
      <c r="H620" s="15"/>
      <c r="I620" s="15"/>
    </row>
    <row r="621">
      <c r="A621" s="15"/>
      <c r="B621" s="15"/>
      <c r="C621" s="15"/>
      <c r="D621" s="63"/>
      <c r="E621" s="15"/>
      <c r="F621" s="15"/>
      <c r="G621" s="16"/>
      <c r="H621" s="15"/>
      <c r="I621" s="15"/>
    </row>
    <row r="622">
      <c r="A622" s="15"/>
      <c r="B622" s="15"/>
      <c r="C622" s="15"/>
      <c r="D622" s="63"/>
      <c r="E622" s="15"/>
      <c r="F622" s="15"/>
      <c r="G622" s="16"/>
      <c r="H622" s="15"/>
      <c r="I622" s="15"/>
    </row>
    <row r="623">
      <c r="A623" s="15"/>
      <c r="B623" s="15"/>
      <c r="C623" s="15"/>
      <c r="D623" s="63"/>
      <c r="E623" s="15"/>
      <c r="F623" s="15"/>
      <c r="G623" s="16"/>
      <c r="H623" s="15"/>
      <c r="I623" s="15"/>
    </row>
    <row r="624">
      <c r="A624" s="15"/>
      <c r="B624" s="15"/>
      <c r="C624" s="15"/>
      <c r="D624" s="63"/>
      <c r="E624" s="15"/>
      <c r="F624" s="15"/>
      <c r="G624" s="16"/>
      <c r="H624" s="15"/>
      <c r="I624" s="15"/>
    </row>
    <row r="625">
      <c r="A625" s="15"/>
      <c r="B625" s="15"/>
      <c r="C625" s="15"/>
      <c r="D625" s="63"/>
      <c r="E625" s="15"/>
      <c r="F625" s="15"/>
      <c r="G625" s="16"/>
      <c r="H625" s="15"/>
      <c r="I625" s="15"/>
    </row>
    <row r="626">
      <c r="A626" s="15"/>
      <c r="B626" s="15"/>
      <c r="C626" s="15"/>
      <c r="D626" s="63"/>
      <c r="E626" s="15"/>
      <c r="F626" s="15"/>
      <c r="G626" s="16"/>
      <c r="H626" s="15"/>
      <c r="I626" s="15"/>
    </row>
    <row r="627">
      <c r="A627" s="15"/>
      <c r="B627" s="15"/>
      <c r="C627" s="15"/>
      <c r="D627" s="63"/>
      <c r="E627" s="15"/>
      <c r="F627" s="15"/>
      <c r="G627" s="16"/>
      <c r="H627" s="15"/>
      <c r="I627" s="15"/>
    </row>
    <row r="628">
      <c r="A628" s="15"/>
      <c r="B628" s="15"/>
      <c r="C628" s="15"/>
      <c r="D628" s="63"/>
      <c r="E628" s="15"/>
      <c r="F628" s="15"/>
      <c r="G628" s="16"/>
      <c r="H628" s="15"/>
      <c r="I628" s="15"/>
    </row>
    <row r="629">
      <c r="A629" s="15"/>
      <c r="B629" s="15"/>
      <c r="C629" s="15"/>
      <c r="D629" s="63"/>
      <c r="E629" s="15"/>
      <c r="F629" s="15"/>
      <c r="G629" s="16"/>
      <c r="H629" s="15"/>
      <c r="I629" s="15"/>
    </row>
    <row r="630">
      <c r="A630" s="15"/>
      <c r="B630" s="15"/>
      <c r="C630" s="15"/>
      <c r="D630" s="63"/>
      <c r="E630" s="15"/>
      <c r="F630" s="15"/>
      <c r="G630" s="16"/>
      <c r="H630" s="15"/>
      <c r="I630" s="15"/>
    </row>
    <row r="631">
      <c r="A631" s="15"/>
      <c r="B631" s="15"/>
      <c r="C631" s="15"/>
      <c r="D631" s="63"/>
      <c r="E631" s="15"/>
      <c r="F631" s="15"/>
      <c r="G631" s="16"/>
      <c r="H631" s="15"/>
      <c r="I631" s="15"/>
    </row>
    <row r="632">
      <c r="A632" s="15"/>
      <c r="B632" s="15"/>
      <c r="C632" s="15"/>
      <c r="D632" s="63"/>
      <c r="E632" s="15"/>
      <c r="F632" s="15"/>
      <c r="G632" s="16"/>
      <c r="H632" s="15"/>
      <c r="I632" s="15"/>
    </row>
    <row r="633">
      <c r="A633" s="15"/>
      <c r="B633" s="15"/>
      <c r="C633" s="15"/>
      <c r="D633" s="63"/>
      <c r="E633" s="15"/>
      <c r="F633" s="15"/>
      <c r="G633" s="16"/>
      <c r="H633" s="15"/>
      <c r="I633" s="15"/>
    </row>
    <row r="634">
      <c r="A634" s="15"/>
      <c r="B634" s="15"/>
      <c r="C634" s="15"/>
      <c r="D634" s="63"/>
      <c r="E634" s="15"/>
      <c r="F634" s="15"/>
      <c r="G634" s="16"/>
      <c r="H634" s="15"/>
      <c r="I634" s="15"/>
    </row>
    <row r="635">
      <c r="A635" s="15"/>
      <c r="B635" s="15"/>
      <c r="C635" s="15"/>
      <c r="D635" s="63"/>
      <c r="E635" s="15"/>
      <c r="F635" s="15"/>
      <c r="G635" s="16"/>
      <c r="H635" s="15"/>
      <c r="I635" s="15"/>
    </row>
    <row r="636">
      <c r="A636" s="15"/>
      <c r="B636" s="15"/>
      <c r="C636" s="15"/>
      <c r="D636" s="63"/>
      <c r="E636" s="15"/>
      <c r="F636" s="15"/>
      <c r="G636" s="16"/>
      <c r="H636" s="15"/>
      <c r="I636" s="15"/>
    </row>
    <row r="637">
      <c r="A637" s="15"/>
      <c r="B637" s="15"/>
      <c r="C637" s="15"/>
      <c r="D637" s="63"/>
      <c r="E637" s="15"/>
      <c r="F637" s="15"/>
      <c r="G637" s="16"/>
      <c r="H637" s="15"/>
      <c r="I637" s="15"/>
    </row>
    <row r="638">
      <c r="A638" s="15"/>
      <c r="B638" s="15"/>
      <c r="C638" s="15"/>
      <c r="D638" s="63"/>
      <c r="E638" s="15"/>
      <c r="F638" s="15"/>
      <c r="G638" s="16"/>
      <c r="H638" s="15"/>
      <c r="I638" s="15"/>
    </row>
    <row r="639">
      <c r="A639" s="15"/>
      <c r="B639" s="15"/>
      <c r="C639" s="15"/>
      <c r="D639" s="63"/>
      <c r="E639" s="15"/>
      <c r="F639" s="15"/>
      <c r="G639" s="16"/>
      <c r="H639" s="15"/>
      <c r="I639" s="15"/>
    </row>
    <row r="640">
      <c r="A640" s="15"/>
      <c r="B640" s="15"/>
      <c r="C640" s="15"/>
      <c r="D640" s="63"/>
      <c r="E640" s="15"/>
      <c r="F640" s="15"/>
      <c r="G640" s="16"/>
      <c r="H640" s="15"/>
      <c r="I640" s="15"/>
    </row>
    <row r="641">
      <c r="A641" s="15"/>
      <c r="B641" s="15"/>
      <c r="C641" s="15"/>
      <c r="D641" s="63"/>
      <c r="E641" s="15"/>
      <c r="F641" s="15"/>
      <c r="G641" s="16"/>
      <c r="H641" s="15"/>
      <c r="I641" s="15"/>
    </row>
    <row r="642">
      <c r="A642" s="15"/>
      <c r="B642" s="15"/>
      <c r="C642" s="15"/>
      <c r="D642" s="63"/>
      <c r="E642" s="15"/>
      <c r="F642" s="15"/>
      <c r="G642" s="16"/>
      <c r="H642" s="15"/>
      <c r="I642" s="15"/>
    </row>
    <row r="643">
      <c r="A643" s="15"/>
      <c r="B643" s="15"/>
      <c r="C643" s="15"/>
      <c r="D643" s="63"/>
      <c r="E643" s="15"/>
      <c r="F643" s="15"/>
      <c r="G643" s="16"/>
      <c r="H643" s="15"/>
      <c r="I643" s="15"/>
    </row>
    <row r="644">
      <c r="A644" s="15"/>
      <c r="B644" s="15"/>
      <c r="C644" s="15"/>
      <c r="D644" s="63"/>
      <c r="E644" s="15"/>
      <c r="F644" s="15"/>
      <c r="G644" s="16"/>
      <c r="H644" s="15"/>
      <c r="I644" s="15"/>
    </row>
    <row r="645">
      <c r="A645" s="15"/>
      <c r="B645" s="15"/>
      <c r="C645" s="15"/>
      <c r="D645" s="63"/>
      <c r="E645" s="15"/>
      <c r="F645" s="15"/>
      <c r="G645" s="16"/>
      <c r="H645" s="15"/>
      <c r="I645" s="15"/>
    </row>
    <row r="646">
      <c r="A646" s="15"/>
      <c r="B646" s="15"/>
      <c r="C646" s="15"/>
      <c r="D646" s="63"/>
      <c r="E646" s="15"/>
      <c r="F646" s="15"/>
      <c r="G646" s="16"/>
      <c r="H646" s="15"/>
      <c r="I646" s="15"/>
    </row>
    <row r="647">
      <c r="A647" s="15"/>
      <c r="B647" s="15"/>
      <c r="C647" s="15"/>
      <c r="D647" s="63"/>
      <c r="E647" s="15"/>
      <c r="F647" s="15"/>
      <c r="G647" s="16"/>
      <c r="H647" s="15"/>
      <c r="I647" s="15"/>
    </row>
    <row r="648">
      <c r="A648" s="15"/>
      <c r="B648" s="15"/>
      <c r="C648" s="15"/>
      <c r="D648" s="63"/>
      <c r="E648" s="15"/>
      <c r="F648" s="15"/>
      <c r="G648" s="16"/>
      <c r="H648" s="15"/>
      <c r="I648" s="15"/>
    </row>
    <row r="649">
      <c r="A649" s="15"/>
      <c r="B649" s="15"/>
      <c r="C649" s="15"/>
      <c r="D649" s="63"/>
      <c r="E649" s="15"/>
      <c r="F649" s="15"/>
      <c r="G649" s="16"/>
      <c r="H649" s="15"/>
      <c r="I649" s="15"/>
    </row>
    <row r="650">
      <c r="A650" s="15"/>
      <c r="B650" s="15"/>
      <c r="C650" s="15"/>
      <c r="D650" s="63"/>
      <c r="E650" s="15"/>
      <c r="F650" s="15"/>
      <c r="G650" s="16"/>
      <c r="H650" s="15"/>
      <c r="I650" s="15"/>
    </row>
    <row r="651">
      <c r="A651" s="15"/>
      <c r="B651" s="15"/>
      <c r="C651" s="15"/>
      <c r="D651" s="63"/>
      <c r="E651" s="15"/>
      <c r="F651" s="15"/>
      <c r="G651" s="16"/>
      <c r="H651" s="15"/>
      <c r="I651" s="15"/>
    </row>
    <row r="652">
      <c r="A652" s="15"/>
      <c r="B652" s="15"/>
      <c r="C652" s="15"/>
      <c r="D652" s="63"/>
      <c r="E652" s="15"/>
      <c r="F652" s="15"/>
      <c r="G652" s="16"/>
      <c r="H652" s="15"/>
      <c r="I652" s="15"/>
    </row>
    <row r="653">
      <c r="A653" s="15"/>
      <c r="B653" s="15"/>
      <c r="C653" s="15"/>
      <c r="D653" s="63"/>
      <c r="E653" s="15"/>
      <c r="F653" s="15"/>
      <c r="G653" s="16"/>
      <c r="H653" s="15"/>
      <c r="I653" s="15"/>
    </row>
    <row r="654">
      <c r="A654" s="15"/>
      <c r="B654" s="15"/>
      <c r="C654" s="15"/>
      <c r="D654" s="63"/>
      <c r="E654" s="15"/>
      <c r="F654" s="15"/>
      <c r="G654" s="16"/>
      <c r="H654" s="15"/>
      <c r="I654" s="15"/>
    </row>
    <row r="655">
      <c r="A655" s="15"/>
      <c r="B655" s="15"/>
      <c r="C655" s="15"/>
      <c r="D655" s="63"/>
      <c r="E655" s="15"/>
      <c r="F655" s="15"/>
      <c r="G655" s="16"/>
      <c r="H655" s="15"/>
      <c r="I655" s="15"/>
    </row>
    <row r="656">
      <c r="A656" s="15"/>
      <c r="B656" s="15"/>
      <c r="C656" s="15"/>
      <c r="D656" s="63"/>
      <c r="E656" s="15"/>
      <c r="F656" s="15"/>
      <c r="G656" s="16"/>
      <c r="H656" s="15"/>
      <c r="I656" s="15"/>
    </row>
    <row r="657">
      <c r="A657" s="15"/>
      <c r="B657" s="15"/>
      <c r="C657" s="15"/>
      <c r="D657" s="63"/>
      <c r="E657" s="15"/>
      <c r="F657" s="15"/>
      <c r="G657" s="16"/>
      <c r="H657" s="15"/>
      <c r="I657" s="15"/>
    </row>
    <row r="658">
      <c r="A658" s="15"/>
      <c r="B658" s="15"/>
      <c r="C658" s="15"/>
      <c r="D658" s="63"/>
      <c r="E658" s="15"/>
      <c r="F658" s="15"/>
      <c r="G658" s="16"/>
      <c r="H658" s="15"/>
      <c r="I658" s="15"/>
    </row>
    <row r="659">
      <c r="A659" s="15"/>
      <c r="B659" s="15"/>
      <c r="C659" s="15"/>
      <c r="D659" s="63"/>
      <c r="E659" s="15"/>
      <c r="F659" s="15"/>
      <c r="G659" s="16"/>
      <c r="H659" s="15"/>
      <c r="I659" s="15"/>
    </row>
    <row r="660">
      <c r="A660" s="15"/>
      <c r="B660" s="15"/>
      <c r="C660" s="15"/>
      <c r="D660" s="63"/>
      <c r="E660" s="15"/>
      <c r="F660" s="15"/>
      <c r="G660" s="16"/>
      <c r="H660" s="15"/>
      <c r="I660" s="15"/>
    </row>
    <row r="661">
      <c r="A661" s="15"/>
      <c r="B661" s="15"/>
      <c r="C661" s="15"/>
      <c r="D661" s="63"/>
      <c r="E661" s="15"/>
      <c r="F661" s="15"/>
      <c r="G661" s="16"/>
      <c r="H661" s="15"/>
      <c r="I661" s="15"/>
    </row>
    <row r="662">
      <c r="A662" s="15"/>
      <c r="B662" s="15"/>
      <c r="C662" s="15"/>
      <c r="D662" s="63"/>
      <c r="E662" s="15"/>
      <c r="F662" s="15"/>
      <c r="G662" s="16"/>
      <c r="H662" s="15"/>
      <c r="I662" s="15"/>
    </row>
    <row r="663">
      <c r="A663" s="15"/>
      <c r="B663" s="15"/>
      <c r="C663" s="15"/>
      <c r="D663" s="63"/>
      <c r="E663" s="15"/>
      <c r="F663" s="15"/>
      <c r="G663" s="16"/>
      <c r="H663" s="15"/>
      <c r="I663" s="15"/>
    </row>
    <row r="664">
      <c r="A664" s="15"/>
      <c r="B664" s="15"/>
      <c r="C664" s="15"/>
      <c r="D664" s="63"/>
      <c r="E664" s="15"/>
      <c r="F664" s="15"/>
      <c r="G664" s="16"/>
      <c r="H664" s="15"/>
      <c r="I664" s="15"/>
    </row>
    <row r="665">
      <c r="A665" s="15"/>
      <c r="B665" s="15"/>
      <c r="C665" s="15"/>
      <c r="D665" s="63"/>
      <c r="E665" s="15"/>
      <c r="F665" s="15"/>
      <c r="G665" s="16"/>
      <c r="H665" s="15"/>
      <c r="I665" s="15"/>
    </row>
    <row r="666">
      <c r="A666" s="15"/>
      <c r="B666" s="15"/>
      <c r="C666" s="15"/>
      <c r="D666" s="63"/>
      <c r="E666" s="15"/>
      <c r="F666" s="15"/>
      <c r="G666" s="16"/>
      <c r="H666" s="15"/>
      <c r="I666" s="15"/>
    </row>
    <row r="667">
      <c r="A667" s="15"/>
      <c r="B667" s="15"/>
      <c r="C667" s="15"/>
      <c r="D667" s="63"/>
      <c r="E667" s="15"/>
      <c r="F667" s="15"/>
      <c r="G667" s="16"/>
      <c r="H667" s="15"/>
      <c r="I667" s="15"/>
    </row>
    <row r="668">
      <c r="A668" s="15"/>
      <c r="B668" s="15"/>
      <c r="C668" s="15"/>
      <c r="D668" s="63"/>
      <c r="E668" s="15"/>
      <c r="F668" s="15"/>
      <c r="G668" s="16"/>
      <c r="H668" s="15"/>
      <c r="I668" s="15"/>
    </row>
    <row r="669">
      <c r="A669" s="15"/>
      <c r="B669" s="15"/>
      <c r="C669" s="15"/>
      <c r="D669" s="63"/>
      <c r="E669" s="15"/>
      <c r="F669" s="15"/>
      <c r="G669" s="16"/>
      <c r="H669" s="15"/>
      <c r="I669" s="15"/>
    </row>
    <row r="670">
      <c r="A670" s="15"/>
      <c r="B670" s="15"/>
      <c r="C670" s="15"/>
      <c r="D670" s="63"/>
      <c r="E670" s="15"/>
      <c r="F670" s="15"/>
      <c r="G670" s="16"/>
      <c r="H670" s="15"/>
      <c r="I670" s="15"/>
    </row>
    <row r="671">
      <c r="A671" s="15"/>
      <c r="B671" s="15"/>
      <c r="C671" s="15"/>
      <c r="D671" s="63"/>
      <c r="E671" s="15"/>
      <c r="F671" s="15"/>
      <c r="G671" s="16"/>
      <c r="H671" s="15"/>
      <c r="I671" s="15"/>
    </row>
    <row r="672">
      <c r="A672" s="15"/>
      <c r="B672" s="15"/>
      <c r="C672" s="15"/>
      <c r="D672" s="63"/>
      <c r="E672" s="15"/>
      <c r="F672" s="15"/>
      <c r="G672" s="16"/>
      <c r="H672" s="15"/>
      <c r="I672" s="15"/>
    </row>
    <row r="673">
      <c r="A673" s="15"/>
      <c r="B673" s="15"/>
      <c r="C673" s="15"/>
      <c r="D673" s="63"/>
      <c r="E673" s="15"/>
      <c r="F673" s="15"/>
      <c r="G673" s="16"/>
      <c r="H673" s="15"/>
      <c r="I673" s="15"/>
    </row>
    <row r="674">
      <c r="A674" s="15"/>
      <c r="B674" s="15"/>
      <c r="C674" s="15"/>
      <c r="D674" s="63"/>
      <c r="E674" s="15"/>
      <c r="F674" s="15"/>
      <c r="G674" s="16"/>
      <c r="H674" s="15"/>
      <c r="I674" s="15"/>
    </row>
    <row r="675">
      <c r="A675" s="15"/>
      <c r="B675" s="15"/>
      <c r="C675" s="15"/>
      <c r="D675" s="63"/>
      <c r="E675" s="15"/>
      <c r="F675" s="15"/>
      <c r="G675" s="16"/>
      <c r="H675" s="15"/>
      <c r="I675" s="15"/>
    </row>
    <row r="676">
      <c r="A676" s="15"/>
      <c r="B676" s="15"/>
      <c r="C676" s="15"/>
      <c r="D676" s="63"/>
      <c r="E676" s="15"/>
      <c r="F676" s="15"/>
      <c r="G676" s="16"/>
      <c r="H676" s="15"/>
      <c r="I676" s="15"/>
    </row>
    <row r="677">
      <c r="A677" s="15"/>
      <c r="B677" s="15"/>
      <c r="C677" s="15"/>
      <c r="D677" s="63"/>
      <c r="E677" s="15"/>
      <c r="F677" s="15"/>
      <c r="G677" s="16"/>
      <c r="H677" s="15"/>
      <c r="I677" s="15"/>
    </row>
    <row r="678">
      <c r="A678" s="15"/>
      <c r="B678" s="15"/>
      <c r="C678" s="15"/>
      <c r="D678" s="63"/>
      <c r="E678" s="15"/>
      <c r="F678" s="15"/>
      <c r="G678" s="16"/>
      <c r="H678" s="15"/>
      <c r="I678" s="15"/>
    </row>
    <row r="679">
      <c r="A679" s="15"/>
      <c r="B679" s="15"/>
      <c r="C679" s="15"/>
      <c r="D679" s="63"/>
      <c r="E679" s="15"/>
      <c r="F679" s="15"/>
      <c r="G679" s="16"/>
      <c r="H679" s="15"/>
      <c r="I679" s="15"/>
    </row>
    <row r="680">
      <c r="A680" s="15"/>
      <c r="B680" s="15"/>
      <c r="C680" s="15"/>
      <c r="D680" s="63"/>
      <c r="E680" s="15"/>
      <c r="F680" s="15"/>
      <c r="G680" s="16"/>
      <c r="H680" s="15"/>
      <c r="I680" s="15"/>
    </row>
    <row r="681">
      <c r="A681" s="15"/>
      <c r="B681" s="15"/>
      <c r="C681" s="15"/>
      <c r="D681" s="63"/>
      <c r="E681" s="15"/>
      <c r="F681" s="15"/>
      <c r="G681" s="16"/>
      <c r="H681" s="15"/>
      <c r="I681" s="15"/>
    </row>
    <row r="682">
      <c r="A682" s="15"/>
      <c r="B682" s="15"/>
      <c r="C682" s="15"/>
      <c r="D682" s="63"/>
      <c r="E682" s="15"/>
      <c r="F682" s="15"/>
      <c r="G682" s="16"/>
      <c r="H682" s="15"/>
      <c r="I682" s="15"/>
    </row>
    <row r="683">
      <c r="A683" s="15"/>
      <c r="B683" s="15"/>
      <c r="C683" s="15"/>
      <c r="D683" s="63"/>
      <c r="E683" s="15"/>
      <c r="F683" s="15"/>
      <c r="G683" s="16"/>
      <c r="H683" s="15"/>
      <c r="I683" s="15"/>
    </row>
    <row r="684">
      <c r="A684" s="15"/>
      <c r="B684" s="15"/>
      <c r="C684" s="15"/>
      <c r="D684" s="63"/>
      <c r="E684" s="15"/>
      <c r="F684" s="15"/>
      <c r="G684" s="16"/>
      <c r="H684" s="15"/>
      <c r="I684" s="15"/>
    </row>
    <row r="685">
      <c r="A685" s="15"/>
      <c r="B685" s="15"/>
      <c r="C685" s="15"/>
      <c r="D685" s="63"/>
      <c r="E685" s="15"/>
      <c r="F685" s="15"/>
      <c r="G685" s="16"/>
      <c r="H685" s="15"/>
      <c r="I685" s="15"/>
    </row>
    <row r="686">
      <c r="A686" s="15"/>
      <c r="B686" s="15"/>
      <c r="C686" s="15"/>
      <c r="D686" s="63"/>
      <c r="E686" s="15"/>
      <c r="F686" s="15"/>
      <c r="G686" s="16"/>
      <c r="H686" s="15"/>
      <c r="I686" s="15"/>
    </row>
    <row r="687">
      <c r="A687" s="15"/>
      <c r="B687" s="15"/>
      <c r="C687" s="15"/>
      <c r="D687" s="63"/>
      <c r="E687" s="15"/>
      <c r="F687" s="15"/>
      <c r="G687" s="16"/>
      <c r="H687" s="15"/>
      <c r="I687" s="15"/>
    </row>
    <row r="688">
      <c r="A688" s="15"/>
      <c r="B688" s="15"/>
      <c r="C688" s="15"/>
      <c r="D688" s="63"/>
      <c r="E688" s="15"/>
      <c r="F688" s="15"/>
      <c r="G688" s="16"/>
      <c r="H688" s="15"/>
      <c r="I688" s="15"/>
    </row>
    <row r="689">
      <c r="A689" s="15"/>
      <c r="B689" s="15"/>
      <c r="C689" s="15"/>
      <c r="D689" s="63"/>
      <c r="E689" s="15"/>
      <c r="F689" s="15"/>
      <c r="G689" s="16"/>
      <c r="H689" s="15"/>
      <c r="I689" s="15"/>
    </row>
    <row r="690">
      <c r="A690" s="15"/>
      <c r="B690" s="15"/>
      <c r="C690" s="15"/>
      <c r="D690" s="63"/>
      <c r="E690" s="15"/>
      <c r="F690" s="15"/>
      <c r="G690" s="16"/>
      <c r="H690" s="15"/>
      <c r="I690" s="15"/>
    </row>
    <row r="691">
      <c r="A691" s="15"/>
      <c r="B691" s="15"/>
      <c r="C691" s="15"/>
      <c r="D691" s="63"/>
      <c r="E691" s="15"/>
      <c r="F691" s="15"/>
      <c r="G691" s="16"/>
      <c r="H691" s="15"/>
      <c r="I691" s="15"/>
    </row>
    <row r="692">
      <c r="A692" s="15"/>
      <c r="B692" s="15"/>
      <c r="C692" s="15"/>
      <c r="D692" s="63"/>
      <c r="E692" s="15"/>
      <c r="F692" s="15"/>
      <c r="G692" s="16"/>
      <c r="H692" s="15"/>
      <c r="I692" s="15"/>
    </row>
    <row r="693">
      <c r="A693" s="15"/>
      <c r="B693" s="15"/>
      <c r="C693" s="15"/>
      <c r="D693" s="63"/>
      <c r="E693" s="15"/>
      <c r="F693" s="15"/>
      <c r="G693" s="16"/>
      <c r="H693" s="15"/>
      <c r="I693" s="15"/>
    </row>
    <row r="694">
      <c r="A694" s="15"/>
      <c r="B694" s="15"/>
      <c r="C694" s="15"/>
      <c r="D694" s="63"/>
      <c r="E694" s="15"/>
      <c r="F694" s="15"/>
      <c r="G694" s="16"/>
      <c r="H694" s="15"/>
      <c r="I694" s="15"/>
    </row>
    <row r="695">
      <c r="A695" s="15"/>
      <c r="B695" s="15"/>
      <c r="C695" s="15"/>
      <c r="D695" s="63"/>
      <c r="E695" s="15"/>
      <c r="F695" s="15"/>
      <c r="G695" s="16"/>
      <c r="H695" s="15"/>
      <c r="I695" s="15"/>
    </row>
    <row r="696">
      <c r="A696" s="15"/>
      <c r="B696" s="15"/>
      <c r="C696" s="15"/>
      <c r="D696" s="63"/>
      <c r="E696" s="15"/>
      <c r="F696" s="15"/>
      <c r="G696" s="16"/>
      <c r="H696" s="15"/>
      <c r="I696" s="15"/>
    </row>
    <row r="697">
      <c r="A697" s="15"/>
      <c r="B697" s="15"/>
      <c r="C697" s="15"/>
      <c r="D697" s="63"/>
      <c r="E697" s="15"/>
      <c r="F697" s="15"/>
      <c r="G697" s="16"/>
      <c r="H697" s="15"/>
      <c r="I697" s="15"/>
    </row>
    <row r="698">
      <c r="A698" s="15"/>
      <c r="B698" s="15"/>
      <c r="C698" s="15"/>
      <c r="D698" s="63"/>
      <c r="E698" s="15"/>
      <c r="F698" s="15"/>
      <c r="G698" s="16"/>
      <c r="H698" s="15"/>
      <c r="I698" s="15"/>
    </row>
    <row r="699">
      <c r="A699" s="15"/>
      <c r="B699" s="15"/>
      <c r="C699" s="15"/>
      <c r="D699" s="63"/>
      <c r="E699" s="15"/>
      <c r="F699" s="15"/>
      <c r="G699" s="16"/>
      <c r="H699" s="15"/>
      <c r="I699" s="15"/>
    </row>
    <row r="700">
      <c r="A700" s="15"/>
      <c r="B700" s="15"/>
      <c r="C700" s="15"/>
      <c r="D700" s="63"/>
      <c r="E700" s="15"/>
      <c r="F700" s="15"/>
      <c r="G700" s="16"/>
      <c r="H700" s="15"/>
      <c r="I700" s="15"/>
    </row>
    <row r="701">
      <c r="A701" s="15"/>
      <c r="B701" s="15"/>
      <c r="C701" s="15"/>
      <c r="D701" s="63"/>
      <c r="E701" s="15"/>
      <c r="F701" s="15"/>
      <c r="G701" s="16"/>
      <c r="H701" s="15"/>
      <c r="I701" s="15"/>
    </row>
    <row r="702">
      <c r="A702" s="15"/>
      <c r="B702" s="15"/>
      <c r="C702" s="15"/>
      <c r="D702" s="63"/>
      <c r="E702" s="15"/>
      <c r="F702" s="15"/>
      <c r="G702" s="16"/>
      <c r="H702" s="15"/>
      <c r="I702" s="15"/>
    </row>
    <row r="703">
      <c r="A703" s="15"/>
      <c r="B703" s="15"/>
      <c r="C703" s="15"/>
      <c r="D703" s="63"/>
      <c r="E703" s="15"/>
      <c r="F703" s="15"/>
      <c r="G703" s="16"/>
      <c r="H703" s="15"/>
      <c r="I703" s="15"/>
    </row>
    <row r="704">
      <c r="A704" s="15"/>
      <c r="B704" s="15"/>
      <c r="C704" s="15"/>
      <c r="D704" s="63"/>
      <c r="E704" s="15"/>
      <c r="F704" s="15"/>
      <c r="G704" s="16"/>
      <c r="H704" s="15"/>
      <c r="I704" s="15"/>
    </row>
    <row r="705">
      <c r="A705" s="15"/>
      <c r="B705" s="15"/>
      <c r="C705" s="15"/>
      <c r="D705" s="63"/>
      <c r="E705" s="15"/>
      <c r="F705" s="15"/>
      <c r="G705" s="16"/>
      <c r="H705" s="15"/>
      <c r="I705" s="15"/>
    </row>
    <row r="706">
      <c r="A706" s="15"/>
      <c r="B706" s="15"/>
      <c r="C706" s="15"/>
      <c r="D706" s="63"/>
      <c r="E706" s="15"/>
      <c r="F706" s="15"/>
      <c r="G706" s="16"/>
      <c r="H706" s="15"/>
      <c r="I706" s="15"/>
    </row>
    <row r="707">
      <c r="A707" s="15"/>
      <c r="B707" s="15"/>
      <c r="C707" s="15"/>
      <c r="D707" s="63"/>
      <c r="E707" s="15"/>
      <c r="F707" s="15"/>
      <c r="G707" s="16"/>
      <c r="H707" s="15"/>
      <c r="I707" s="15"/>
    </row>
    <row r="708">
      <c r="A708" s="15"/>
      <c r="B708" s="15"/>
      <c r="C708" s="15"/>
      <c r="D708" s="63"/>
      <c r="E708" s="15"/>
      <c r="F708" s="15"/>
      <c r="G708" s="16"/>
      <c r="H708" s="15"/>
      <c r="I708" s="15"/>
    </row>
    <row r="709">
      <c r="A709" s="15"/>
      <c r="B709" s="15"/>
      <c r="C709" s="15"/>
      <c r="D709" s="63"/>
      <c r="E709" s="15"/>
      <c r="F709" s="15"/>
      <c r="G709" s="16"/>
      <c r="H709" s="15"/>
      <c r="I709" s="15"/>
    </row>
    <row r="710">
      <c r="A710" s="15"/>
      <c r="B710" s="15"/>
      <c r="C710" s="15"/>
      <c r="D710" s="63"/>
      <c r="E710" s="15"/>
      <c r="F710" s="15"/>
      <c r="G710" s="16"/>
      <c r="H710" s="15"/>
      <c r="I710" s="15"/>
    </row>
    <row r="711">
      <c r="A711" s="15"/>
      <c r="B711" s="15"/>
      <c r="C711" s="15"/>
      <c r="D711" s="63"/>
      <c r="E711" s="15"/>
      <c r="F711" s="15"/>
      <c r="G711" s="16"/>
      <c r="H711" s="15"/>
      <c r="I711" s="15"/>
    </row>
    <row r="712">
      <c r="A712" s="15"/>
      <c r="B712" s="15"/>
      <c r="C712" s="15"/>
      <c r="D712" s="63"/>
      <c r="E712" s="15"/>
      <c r="F712" s="15"/>
      <c r="G712" s="16"/>
      <c r="H712" s="15"/>
      <c r="I712" s="15"/>
    </row>
    <row r="713">
      <c r="A713" s="15"/>
      <c r="B713" s="15"/>
      <c r="C713" s="15"/>
      <c r="D713" s="63"/>
      <c r="E713" s="15"/>
      <c r="F713" s="15"/>
      <c r="G713" s="16"/>
      <c r="H713" s="15"/>
      <c r="I713" s="15"/>
    </row>
    <row r="714">
      <c r="A714" s="15"/>
      <c r="B714" s="15"/>
      <c r="C714" s="15"/>
      <c r="D714" s="63"/>
      <c r="E714" s="15"/>
      <c r="F714" s="15"/>
      <c r="G714" s="16"/>
      <c r="H714" s="15"/>
      <c r="I714" s="15"/>
    </row>
    <row r="715">
      <c r="A715" s="15"/>
      <c r="B715" s="15"/>
      <c r="C715" s="15"/>
      <c r="D715" s="63"/>
      <c r="E715" s="15"/>
      <c r="F715" s="15"/>
      <c r="G715" s="16"/>
      <c r="H715" s="15"/>
      <c r="I715" s="15"/>
    </row>
    <row r="716">
      <c r="A716" s="15"/>
      <c r="B716" s="15"/>
      <c r="C716" s="15"/>
      <c r="D716" s="63"/>
      <c r="E716" s="15"/>
      <c r="F716" s="15"/>
      <c r="G716" s="16"/>
      <c r="H716" s="15"/>
      <c r="I716" s="15"/>
    </row>
    <row r="717">
      <c r="A717" s="15"/>
      <c r="B717" s="15"/>
      <c r="C717" s="15"/>
      <c r="D717" s="63"/>
      <c r="E717" s="15"/>
      <c r="F717" s="15"/>
      <c r="G717" s="16"/>
      <c r="H717" s="15"/>
      <c r="I717" s="15"/>
    </row>
    <row r="718">
      <c r="A718" s="15"/>
      <c r="B718" s="15"/>
      <c r="C718" s="15"/>
      <c r="D718" s="63"/>
      <c r="E718" s="15"/>
      <c r="F718" s="15"/>
      <c r="G718" s="16"/>
      <c r="H718" s="15"/>
      <c r="I718" s="15"/>
    </row>
    <row r="719">
      <c r="A719" s="15"/>
      <c r="B719" s="15"/>
      <c r="C719" s="15"/>
      <c r="D719" s="63"/>
      <c r="E719" s="15"/>
      <c r="F719" s="15"/>
      <c r="G719" s="16"/>
      <c r="H719" s="15"/>
      <c r="I719" s="15"/>
    </row>
    <row r="720">
      <c r="A720" s="15"/>
      <c r="B720" s="15"/>
      <c r="C720" s="15"/>
      <c r="D720" s="63"/>
      <c r="E720" s="15"/>
      <c r="F720" s="15"/>
      <c r="G720" s="16"/>
      <c r="H720" s="15"/>
      <c r="I720" s="15"/>
    </row>
    <row r="721">
      <c r="A721" s="15"/>
      <c r="B721" s="15"/>
      <c r="C721" s="15"/>
      <c r="D721" s="63"/>
      <c r="E721" s="15"/>
      <c r="F721" s="15"/>
      <c r="G721" s="16"/>
      <c r="H721" s="15"/>
      <c r="I721" s="15"/>
    </row>
    <row r="722">
      <c r="A722" s="15"/>
      <c r="B722" s="15"/>
      <c r="C722" s="15"/>
      <c r="D722" s="63"/>
      <c r="E722" s="15"/>
      <c r="F722" s="15"/>
      <c r="G722" s="16"/>
      <c r="H722" s="15"/>
      <c r="I722" s="15"/>
    </row>
    <row r="723">
      <c r="A723" s="15"/>
      <c r="B723" s="15"/>
      <c r="C723" s="15"/>
      <c r="D723" s="63"/>
      <c r="E723" s="15"/>
      <c r="F723" s="15"/>
      <c r="G723" s="16"/>
      <c r="H723" s="15"/>
      <c r="I723" s="15"/>
    </row>
    <row r="724">
      <c r="A724" s="15"/>
      <c r="B724" s="15"/>
      <c r="C724" s="15"/>
      <c r="D724" s="63"/>
      <c r="E724" s="15"/>
      <c r="F724" s="15"/>
      <c r="G724" s="16"/>
      <c r="H724" s="15"/>
      <c r="I724" s="15"/>
    </row>
    <row r="725">
      <c r="A725" s="15"/>
      <c r="B725" s="15"/>
      <c r="C725" s="15"/>
      <c r="D725" s="63"/>
      <c r="E725" s="15"/>
      <c r="F725" s="15"/>
      <c r="G725" s="16"/>
      <c r="H725" s="15"/>
      <c r="I725" s="15"/>
    </row>
    <row r="726">
      <c r="A726" s="15"/>
      <c r="B726" s="15"/>
      <c r="C726" s="15"/>
      <c r="D726" s="63"/>
      <c r="E726" s="15"/>
      <c r="F726" s="15"/>
      <c r="G726" s="16"/>
      <c r="H726" s="15"/>
      <c r="I726" s="15"/>
    </row>
    <row r="727">
      <c r="A727" s="15"/>
      <c r="B727" s="15"/>
      <c r="C727" s="15"/>
      <c r="D727" s="63"/>
      <c r="E727" s="15"/>
      <c r="F727" s="15"/>
      <c r="G727" s="16"/>
      <c r="H727" s="15"/>
      <c r="I727" s="15"/>
    </row>
    <row r="728">
      <c r="A728" s="15"/>
      <c r="B728" s="15"/>
      <c r="C728" s="15"/>
      <c r="D728" s="63"/>
      <c r="E728" s="15"/>
      <c r="F728" s="15"/>
      <c r="G728" s="16"/>
      <c r="H728" s="15"/>
      <c r="I728" s="15"/>
    </row>
    <row r="729">
      <c r="A729" s="15"/>
      <c r="B729" s="15"/>
      <c r="C729" s="15"/>
      <c r="D729" s="63"/>
      <c r="E729" s="15"/>
      <c r="F729" s="15"/>
      <c r="G729" s="16"/>
      <c r="H729" s="15"/>
      <c r="I729" s="15"/>
    </row>
    <row r="730">
      <c r="A730" s="15"/>
      <c r="B730" s="15"/>
      <c r="C730" s="15"/>
      <c r="D730" s="63"/>
      <c r="E730" s="15"/>
      <c r="F730" s="15"/>
      <c r="G730" s="16"/>
      <c r="H730" s="15"/>
      <c r="I730" s="15"/>
    </row>
    <row r="731">
      <c r="A731" s="15"/>
      <c r="B731" s="15"/>
      <c r="C731" s="15"/>
      <c r="D731" s="63"/>
      <c r="E731" s="15"/>
      <c r="F731" s="15"/>
      <c r="G731" s="16"/>
      <c r="H731" s="15"/>
      <c r="I731" s="15"/>
    </row>
    <row r="732">
      <c r="A732" s="15"/>
      <c r="B732" s="15"/>
      <c r="C732" s="15"/>
      <c r="D732" s="63"/>
      <c r="E732" s="15"/>
      <c r="F732" s="15"/>
      <c r="G732" s="16"/>
      <c r="H732" s="15"/>
      <c r="I732" s="15"/>
    </row>
    <row r="733">
      <c r="A733" s="15"/>
      <c r="B733" s="15"/>
      <c r="C733" s="15"/>
      <c r="D733" s="63"/>
      <c r="E733" s="15"/>
      <c r="F733" s="15"/>
      <c r="G733" s="16"/>
      <c r="H733" s="15"/>
      <c r="I733" s="15"/>
    </row>
    <row r="734">
      <c r="A734" s="15"/>
      <c r="B734" s="15"/>
      <c r="C734" s="15"/>
      <c r="D734" s="63"/>
      <c r="E734" s="15"/>
      <c r="F734" s="15"/>
      <c r="G734" s="16"/>
      <c r="H734" s="15"/>
      <c r="I734" s="15"/>
    </row>
    <row r="735">
      <c r="A735" s="15"/>
      <c r="B735" s="15"/>
      <c r="C735" s="15"/>
      <c r="D735" s="63"/>
      <c r="E735" s="15"/>
      <c r="F735" s="15"/>
      <c r="G735" s="16"/>
      <c r="H735" s="15"/>
      <c r="I735" s="15"/>
    </row>
    <row r="736">
      <c r="A736" s="15"/>
      <c r="B736" s="15"/>
      <c r="C736" s="15"/>
      <c r="D736" s="63"/>
      <c r="E736" s="15"/>
      <c r="F736" s="15"/>
      <c r="G736" s="16"/>
      <c r="H736" s="15"/>
      <c r="I736" s="15"/>
    </row>
    <row r="737">
      <c r="A737" s="15"/>
      <c r="B737" s="15"/>
      <c r="C737" s="15"/>
      <c r="D737" s="63"/>
      <c r="E737" s="15"/>
      <c r="F737" s="15"/>
      <c r="G737" s="16"/>
      <c r="H737" s="15"/>
      <c r="I737" s="15"/>
    </row>
    <row r="738">
      <c r="A738" s="15"/>
      <c r="B738" s="15"/>
      <c r="C738" s="15"/>
      <c r="D738" s="63"/>
      <c r="E738" s="15"/>
      <c r="F738" s="15"/>
      <c r="G738" s="16"/>
      <c r="H738" s="15"/>
      <c r="I738" s="15"/>
    </row>
    <row r="739">
      <c r="A739" s="15"/>
      <c r="B739" s="15"/>
      <c r="C739" s="15"/>
      <c r="D739" s="63"/>
      <c r="E739" s="15"/>
      <c r="F739" s="15"/>
      <c r="G739" s="16"/>
      <c r="H739" s="15"/>
      <c r="I739" s="15"/>
    </row>
    <row r="740">
      <c r="A740" s="15"/>
      <c r="B740" s="15"/>
      <c r="C740" s="15"/>
      <c r="D740" s="63"/>
      <c r="E740" s="15"/>
      <c r="F740" s="15"/>
      <c r="G740" s="16"/>
      <c r="H740" s="15"/>
      <c r="I740" s="15"/>
    </row>
    <row r="741">
      <c r="A741" s="15"/>
      <c r="B741" s="15"/>
      <c r="C741" s="15"/>
      <c r="D741" s="63"/>
      <c r="E741" s="15"/>
      <c r="F741" s="15"/>
      <c r="G741" s="16"/>
      <c r="H741" s="15"/>
      <c r="I741" s="15"/>
    </row>
    <row r="742">
      <c r="A742" s="15"/>
      <c r="B742" s="15"/>
      <c r="C742" s="15"/>
      <c r="D742" s="63"/>
      <c r="E742" s="15"/>
      <c r="F742" s="15"/>
      <c r="G742" s="16"/>
      <c r="H742" s="15"/>
      <c r="I742" s="15"/>
    </row>
    <row r="743">
      <c r="A743" s="15"/>
      <c r="B743" s="15"/>
      <c r="C743" s="15"/>
      <c r="D743" s="63"/>
      <c r="E743" s="15"/>
      <c r="F743" s="15"/>
      <c r="G743" s="16"/>
      <c r="H743" s="15"/>
      <c r="I743" s="15"/>
    </row>
    <row r="744">
      <c r="A744" s="15"/>
      <c r="B744" s="15"/>
      <c r="C744" s="15"/>
      <c r="D744" s="63"/>
      <c r="E744" s="15"/>
      <c r="F744" s="15"/>
      <c r="G744" s="16"/>
      <c r="H744" s="15"/>
      <c r="I744" s="15"/>
    </row>
    <row r="745">
      <c r="A745" s="15"/>
      <c r="B745" s="15"/>
      <c r="C745" s="15"/>
      <c r="D745" s="63"/>
      <c r="E745" s="15"/>
      <c r="F745" s="15"/>
      <c r="G745" s="16"/>
      <c r="H745" s="15"/>
      <c r="I745" s="15"/>
    </row>
    <row r="746">
      <c r="A746" s="15"/>
      <c r="B746" s="15"/>
      <c r="C746" s="15"/>
      <c r="D746" s="63"/>
      <c r="E746" s="15"/>
      <c r="F746" s="15"/>
      <c r="G746" s="16"/>
      <c r="H746" s="15"/>
      <c r="I746" s="15"/>
    </row>
    <row r="747">
      <c r="A747" s="15"/>
      <c r="B747" s="15"/>
      <c r="C747" s="15"/>
      <c r="D747" s="63"/>
      <c r="E747" s="15"/>
      <c r="F747" s="15"/>
      <c r="G747" s="16"/>
      <c r="H747" s="15"/>
      <c r="I747" s="15"/>
    </row>
    <row r="748">
      <c r="A748" s="15"/>
      <c r="B748" s="15"/>
      <c r="C748" s="15"/>
      <c r="D748" s="63"/>
      <c r="E748" s="15"/>
      <c r="F748" s="15"/>
      <c r="G748" s="16"/>
      <c r="H748" s="15"/>
      <c r="I748" s="15"/>
    </row>
    <row r="749">
      <c r="A749" s="15"/>
      <c r="B749" s="15"/>
      <c r="C749" s="15"/>
      <c r="D749" s="63"/>
      <c r="E749" s="15"/>
      <c r="F749" s="15"/>
      <c r="G749" s="16"/>
      <c r="H749" s="15"/>
      <c r="I749" s="15"/>
    </row>
    <row r="750">
      <c r="A750" s="15"/>
      <c r="B750" s="15"/>
      <c r="C750" s="15"/>
      <c r="D750" s="63"/>
      <c r="E750" s="15"/>
      <c r="F750" s="15"/>
      <c r="G750" s="16"/>
      <c r="H750" s="15"/>
      <c r="I750" s="15"/>
    </row>
    <row r="751">
      <c r="A751" s="15"/>
      <c r="B751" s="15"/>
      <c r="C751" s="15"/>
      <c r="D751" s="63"/>
      <c r="E751" s="15"/>
      <c r="F751" s="15"/>
      <c r="G751" s="16"/>
      <c r="H751" s="15"/>
      <c r="I751" s="15"/>
    </row>
    <row r="752">
      <c r="A752" s="15"/>
      <c r="B752" s="15"/>
      <c r="C752" s="15"/>
      <c r="D752" s="63"/>
      <c r="E752" s="15"/>
      <c r="F752" s="15"/>
      <c r="G752" s="16"/>
      <c r="H752" s="15"/>
      <c r="I752" s="15"/>
    </row>
    <row r="753">
      <c r="A753" s="15"/>
      <c r="B753" s="15"/>
      <c r="C753" s="15"/>
      <c r="D753" s="63"/>
      <c r="E753" s="15"/>
      <c r="F753" s="15"/>
      <c r="G753" s="16"/>
      <c r="H753" s="15"/>
      <c r="I753" s="15"/>
    </row>
    <row r="754">
      <c r="A754" s="15"/>
      <c r="B754" s="15"/>
      <c r="C754" s="15"/>
      <c r="D754" s="63"/>
      <c r="E754" s="15"/>
      <c r="F754" s="15"/>
      <c r="G754" s="16"/>
      <c r="H754" s="15"/>
      <c r="I754" s="15"/>
    </row>
    <row r="755">
      <c r="A755" s="15"/>
      <c r="B755" s="15"/>
      <c r="C755" s="15"/>
      <c r="D755" s="63"/>
      <c r="E755" s="15"/>
      <c r="F755" s="15"/>
      <c r="G755" s="16"/>
      <c r="H755" s="15"/>
      <c r="I755" s="15"/>
    </row>
    <row r="756">
      <c r="A756" s="15"/>
      <c r="B756" s="15"/>
      <c r="C756" s="15"/>
      <c r="D756" s="63"/>
      <c r="E756" s="15"/>
      <c r="F756" s="15"/>
      <c r="G756" s="16"/>
      <c r="H756" s="15"/>
      <c r="I756" s="15"/>
    </row>
    <row r="757">
      <c r="A757" s="15"/>
      <c r="B757" s="15"/>
      <c r="C757" s="15"/>
      <c r="D757" s="63"/>
      <c r="E757" s="15"/>
      <c r="F757" s="15"/>
      <c r="G757" s="16"/>
      <c r="H757" s="15"/>
      <c r="I757" s="15"/>
    </row>
    <row r="758">
      <c r="A758" s="15"/>
      <c r="B758" s="15"/>
      <c r="C758" s="15"/>
      <c r="D758" s="63"/>
      <c r="E758" s="15"/>
      <c r="F758" s="15"/>
      <c r="G758" s="16"/>
      <c r="H758" s="15"/>
      <c r="I758" s="15"/>
    </row>
    <row r="759">
      <c r="A759" s="15"/>
      <c r="B759" s="15"/>
      <c r="C759" s="15"/>
      <c r="D759" s="63"/>
      <c r="E759" s="15"/>
      <c r="F759" s="15"/>
      <c r="G759" s="16"/>
      <c r="H759" s="15"/>
      <c r="I759" s="15"/>
    </row>
    <row r="760">
      <c r="A760" s="15"/>
      <c r="B760" s="15"/>
      <c r="C760" s="15"/>
      <c r="D760" s="63"/>
      <c r="E760" s="15"/>
      <c r="F760" s="15"/>
      <c r="G760" s="16"/>
      <c r="H760" s="15"/>
      <c r="I760" s="15"/>
    </row>
    <row r="761">
      <c r="A761" s="15"/>
      <c r="B761" s="15"/>
      <c r="C761" s="15"/>
      <c r="D761" s="63"/>
      <c r="E761" s="15"/>
      <c r="F761" s="15"/>
      <c r="G761" s="16"/>
      <c r="H761" s="15"/>
      <c r="I761" s="15"/>
    </row>
    <row r="762">
      <c r="A762" s="15"/>
      <c r="B762" s="15"/>
      <c r="C762" s="15"/>
      <c r="D762" s="63"/>
      <c r="E762" s="15"/>
      <c r="F762" s="15"/>
      <c r="G762" s="16"/>
      <c r="H762" s="15"/>
      <c r="I762" s="15"/>
    </row>
    <row r="763">
      <c r="A763" s="15"/>
      <c r="B763" s="15"/>
      <c r="C763" s="15"/>
      <c r="D763" s="63"/>
      <c r="E763" s="15"/>
      <c r="F763" s="15"/>
      <c r="G763" s="16"/>
      <c r="H763" s="15"/>
      <c r="I763" s="15"/>
    </row>
    <row r="764">
      <c r="A764" s="15"/>
      <c r="B764" s="15"/>
      <c r="C764" s="15"/>
      <c r="D764" s="63"/>
      <c r="E764" s="15"/>
      <c r="F764" s="15"/>
      <c r="G764" s="16"/>
      <c r="H764" s="15"/>
      <c r="I764" s="15"/>
    </row>
    <row r="765">
      <c r="A765" s="15"/>
      <c r="B765" s="15"/>
      <c r="C765" s="15"/>
      <c r="D765" s="63"/>
      <c r="E765" s="15"/>
      <c r="F765" s="15"/>
      <c r="G765" s="16"/>
      <c r="H765" s="15"/>
      <c r="I765" s="15"/>
    </row>
    <row r="766">
      <c r="A766" s="15"/>
      <c r="B766" s="15"/>
      <c r="C766" s="15"/>
      <c r="D766" s="63"/>
      <c r="E766" s="15"/>
      <c r="F766" s="15"/>
      <c r="G766" s="16"/>
      <c r="H766" s="15"/>
      <c r="I766" s="15"/>
    </row>
    <row r="767">
      <c r="A767" s="15"/>
      <c r="B767" s="15"/>
      <c r="C767" s="15"/>
      <c r="D767" s="63"/>
      <c r="E767" s="15"/>
      <c r="F767" s="15"/>
      <c r="G767" s="16"/>
      <c r="H767" s="15"/>
      <c r="I767" s="15"/>
    </row>
    <row r="768">
      <c r="A768" s="15"/>
      <c r="B768" s="15"/>
      <c r="C768" s="15"/>
      <c r="D768" s="63"/>
      <c r="E768" s="15"/>
      <c r="F768" s="15"/>
      <c r="G768" s="16"/>
      <c r="H768" s="15"/>
      <c r="I768" s="15"/>
    </row>
    <row r="769">
      <c r="A769" s="15"/>
      <c r="B769" s="15"/>
      <c r="C769" s="15"/>
      <c r="D769" s="63"/>
      <c r="E769" s="15"/>
      <c r="F769" s="15"/>
      <c r="G769" s="16"/>
      <c r="H769" s="15"/>
      <c r="I769" s="15"/>
    </row>
    <row r="770">
      <c r="A770" s="15"/>
      <c r="B770" s="15"/>
      <c r="C770" s="15"/>
      <c r="D770" s="63"/>
      <c r="E770" s="15"/>
      <c r="F770" s="15"/>
      <c r="G770" s="16"/>
      <c r="H770" s="15"/>
      <c r="I770" s="15"/>
    </row>
    <row r="771">
      <c r="A771" s="15"/>
      <c r="B771" s="15"/>
      <c r="C771" s="15"/>
      <c r="D771" s="63"/>
      <c r="E771" s="15"/>
      <c r="F771" s="15"/>
      <c r="G771" s="16"/>
      <c r="H771" s="15"/>
      <c r="I771" s="15"/>
    </row>
    <row r="772">
      <c r="A772" s="15"/>
      <c r="B772" s="15"/>
      <c r="C772" s="15"/>
      <c r="D772" s="63"/>
      <c r="E772" s="15"/>
      <c r="F772" s="15"/>
      <c r="G772" s="16"/>
      <c r="H772" s="15"/>
      <c r="I772" s="15"/>
    </row>
    <row r="773">
      <c r="A773" s="15"/>
      <c r="B773" s="15"/>
      <c r="C773" s="15"/>
      <c r="D773" s="63"/>
      <c r="E773" s="15"/>
      <c r="F773" s="15"/>
      <c r="G773" s="16"/>
      <c r="H773" s="15"/>
      <c r="I773" s="15"/>
    </row>
    <row r="774">
      <c r="A774" s="15"/>
      <c r="B774" s="15"/>
      <c r="C774" s="15"/>
      <c r="D774" s="63"/>
      <c r="E774" s="15"/>
      <c r="F774" s="15"/>
      <c r="G774" s="16"/>
      <c r="H774" s="15"/>
      <c r="I774" s="15"/>
    </row>
    <row r="775">
      <c r="A775" s="15"/>
      <c r="B775" s="15"/>
      <c r="C775" s="15"/>
      <c r="D775" s="63"/>
      <c r="E775" s="15"/>
      <c r="F775" s="15"/>
      <c r="G775" s="16"/>
      <c r="H775" s="15"/>
      <c r="I775" s="15"/>
    </row>
    <row r="776">
      <c r="A776" s="15"/>
      <c r="B776" s="15"/>
      <c r="C776" s="15"/>
      <c r="D776" s="63"/>
      <c r="E776" s="15"/>
      <c r="F776" s="15"/>
      <c r="G776" s="16"/>
      <c r="H776" s="15"/>
      <c r="I776" s="15"/>
    </row>
    <row r="777">
      <c r="A777" s="15"/>
      <c r="B777" s="15"/>
      <c r="C777" s="15"/>
      <c r="D777" s="63"/>
      <c r="E777" s="15"/>
      <c r="F777" s="15"/>
      <c r="G777" s="16"/>
      <c r="H777" s="15"/>
      <c r="I777" s="15"/>
    </row>
    <row r="778">
      <c r="A778" s="15"/>
      <c r="B778" s="15"/>
      <c r="C778" s="15"/>
      <c r="D778" s="63"/>
      <c r="E778" s="15"/>
      <c r="F778" s="15"/>
      <c r="G778" s="16"/>
      <c r="H778" s="15"/>
      <c r="I778" s="15"/>
    </row>
    <row r="779">
      <c r="A779" s="15"/>
      <c r="B779" s="15"/>
      <c r="C779" s="15"/>
      <c r="D779" s="63"/>
      <c r="E779" s="15"/>
      <c r="F779" s="15"/>
      <c r="G779" s="16"/>
      <c r="H779" s="15"/>
      <c r="I779" s="15"/>
    </row>
    <row r="780">
      <c r="A780" s="15"/>
      <c r="B780" s="15"/>
      <c r="C780" s="15"/>
      <c r="D780" s="63"/>
      <c r="E780" s="15"/>
      <c r="F780" s="15"/>
      <c r="G780" s="16"/>
      <c r="H780" s="15"/>
      <c r="I780" s="15"/>
    </row>
    <row r="781">
      <c r="A781" s="15"/>
      <c r="B781" s="15"/>
      <c r="C781" s="15"/>
      <c r="D781" s="63"/>
      <c r="E781" s="15"/>
      <c r="F781" s="15"/>
      <c r="G781" s="16"/>
      <c r="H781" s="15"/>
      <c r="I781" s="15"/>
    </row>
    <row r="782">
      <c r="A782" s="15"/>
      <c r="B782" s="15"/>
      <c r="C782" s="15"/>
      <c r="D782" s="63"/>
      <c r="E782" s="15"/>
      <c r="F782" s="15"/>
      <c r="G782" s="16"/>
      <c r="H782" s="15"/>
      <c r="I782" s="15"/>
    </row>
    <row r="783">
      <c r="A783" s="15"/>
      <c r="B783" s="15"/>
      <c r="C783" s="15"/>
      <c r="D783" s="63"/>
      <c r="E783" s="15"/>
      <c r="F783" s="15"/>
      <c r="G783" s="16"/>
      <c r="H783" s="15"/>
      <c r="I783" s="15"/>
    </row>
    <row r="784">
      <c r="A784" s="15"/>
      <c r="B784" s="15"/>
      <c r="C784" s="15"/>
      <c r="D784" s="63"/>
      <c r="E784" s="15"/>
      <c r="F784" s="15"/>
      <c r="G784" s="16"/>
      <c r="H784" s="15"/>
      <c r="I784" s="15"/>
    </row>
    <row r="785">
      <c r="A785" s="15"/>
      <c r="B785" s="15"/>
      <c r="C785" s="15"/>
      <c r="D785" s="63"/>
      <c r="E785" s="15"/>
      <c r="F785" s="15"/>
      <c r="G785" s="16"/>
      <c r="H785" s="15"/>
      <c r="I785" s="15"/>
    </row>
    <row r="786">
      <c r="A786" s="15"/>
      <c r="B786" s="15"/>
      <c r="C786" s="15"/>
      <c r="D786" s="63"/>
      <c r="E786" s="15"/>
      <c r="F786" s="15"/>
      <c r="G786" s="16"/>
      <c r="H786" s="15"/>
      <c r="I786" s="15"/>
    </row>
    <row r="787">
      <c r="A787" s="15"/>
      <c r="B787" s="15"/>
      <c r="C787" s="15"/>
      <c r="D787" s="63"/>
      <c r="E787" s="15"/>
      <c r="F787" s="15"/>
      <c r="G787" s="16"/>
      <c r="H787" s="15"/>
      <c r="I787" s="15"/>
    </row>
    <row r="788">
      <c r="A788" s="15"/>
      <c r="B788" s="15"/>
      <c r="C788" s="15"/>
      <c r="D788" s="63"/>
      <c r="E788" s="15"/>
      <c r="F788" s="15"/>
      <c r="G788" s="16"/>
      <c r="H788" s="15"/>
      <c r="I788" s="15"/>
    </row>
    <row r="789">
      <c r="A789" s="15"/>
      <c r="B789" s="15"/>
      <c r="C789" s="15"/>
      <c r="D789" s="63"/>
      <c r="E789" s="15"/>
      <c r="F789" s="15"/>
      <c r="G789" s="16"/>
      <c r="H789" s="15"/>
      <c r="I789" s="15"/>
    </row>
    <row r="790">
      <c r="A790" s="15"/>
      <c r="B790" s="15"/>
      <c r="C790" s="15"/>
      <c r="D790" s="63"/>
      <c r="E790" s="15"/>
      <c r="F790" s="15"/>
      <c r="G790" s="16"/>
      <c r="H790" s="15"/>
      <c r="I790" s="15"/>
    </row>
    <row r="791">
      <c r="A791" s="15"/>
      <c r="B791" s="15"/>
      <c r="C791" s="15"/>
      <c r="D791" s="63"/>
      <c r="E791" s="15"/>
      <c r="F791" s="15"/>
      <c r="G791" s="16"/>
      <c r="H791" s="15"/>
      <c r="I791" s="15"/>
    </row>
    <row r="792">
      <c r="A792" s="15"/>
      <c r="B792" s="15"/>
      <c r="C792" s="15"/>
      <c r="D792" s="63"/>
      <c r="E792" s="15"/>
      <c r="F792" s="15"/>
      <c r="G792" s="16"/>
      <c r="H792" s="15"/>
      <c r="I792" s="15"/>
    </row>
    <row r="793">
      <c r="A793" s="15"/>
      <c r="B793" s="15"/>
      <c r="C793" s="15"/>
      <c r="D793" s="63"/>
      <c r="E793" s="15"/>
      <c r="F793" s="15"/>
      <c r="G793" s="16"/>
      <c r="H793" s="15"/>
      <c r="I793" s="15"/>
    </row>
    <row r="794">
      <c r="A794" s="15"/>
      <c r="B794" s="15"/>
      <c r="C794" s="15"/>
      <c r="D794" s="63"/>
      <c r="E794" s="15"/>
      <c r="F794" s="15"/>
      <c r="G794" s="16"/>
      <c r="H794" s="15"/>
      <c r="I794" s="15"/>
    </row>
    <row r="795">
      <c r="A795" s="15"/>
      <c r="B795" s="15"/>
      <c r="C795" s="15"/>
      <c r="D795" s="63"/>
      <c r="E795" s="15"/>
      <c r="F795" s="15"/>
      <c r="G795" s="16"/>
      <c r="H795" s="15"/>
      <c r="I795" s="15"/>
    </row>
    <row r="796">
      <c r="A796" s="15"/>
      <c r="B796" s="15"/>
      <c r="C796" s="15"/>
      <c r="D796" s="63"/>
      <c r="E796" s="15"/>
      <c r="F796" s="15"/>
      <c r="G796" s="16"/>
      <c r="H796" s="15"/>
      <c r="I796" s="15"/>
    </row>
    <row r="797">
      <c r="A797" s="15"/>
      <c r="B797" s="15"/>
      <c r="C797" s="15"/>
      <c r="D797" s="63"/>
      <c r="E797" s="15"/>
      <c r="F797" s="15"/>
      <c r="G797" s="16"/>
      <c r="H797" s="15"/>
      <c r="I797" s="15"/>
    </row>
    <row r="798">
      <c r="A798" s="15"/>
      <c r="B798" s="15"/>
      <c r="C798" s="15"/>
      <c r="D798" s="63"/>
      <c r="E798" s="15"/>
      <c r="F798" s="15"/>
      <c r="G798" s="16"/>
      <c r="H798" s="15"/>
      <c r="I798" s="15"/>
    </row>
    <row r="799">
      <c r="A799" s="15"/>
      <c r="B799" s="15"/>
      <c r="C799" s="15"/>
      <c r="D799" s="63"/>
      <c r="E799" s="15"/>
      <c r="F799" s="15"/>
      <c r="G799" s="16"/>
      <c r="H799" s="15"/>
      <c r="I799" s="15"/>
    </row>
    <row r="800">
      <c r="A800" s="15"/>
      <c r="B800" s="15"/>
      <c r="C800" s="15"/>
      <c r="D800" s="63"/>
      <c r="E800" s="15"/>
      <c r="F800" s="15"/>
      <c r="G800" s="16"/>
      <c r="H800" s="15"/>
      <c r="I800" s="15"/>
    </row>
    <row r="801">
      <c r="A801" s="15"/>
      <c r="B801" s="15"/>
      <c r="C801" s="15"/>
      <c r="D801" s="63"/>
      <c r="E801" s="15"/>
      <c r="F801" s="15"/>
      <c r="G801" s="16"/>
      <c r="H801" s="15"/>
      <c r="I801" s="15"/>
    </row>
    <row r="802">
      <c r="A802" s="15"/>
      <c r="B802" s="15"/>
      <c r="C802" s="15"/>
      <c r="D802" s="63"/>
      <c r="E802" s="15"/>
      <c r="F802" s="15"/>
      <c r="G802" s="16"/>
      <c r="H802" s="15"/>
      <c r="I802" s="15"/>
    </row>
    <row r="803">
      <c r="A803" s="15"/>
      <c r="B803" s="15"/>
      <c r="C803" s="15"/>
      <c r="D803" s="63"/>
      <c r="E803" s="15"/>
      <c r="F803" s="15"/>
      <c r="G803" s="16"/>
      <c r="H803" s="15"/>
      <c r="I803" s="15"/>
    </row>
    <row r="804">
      <c r="A804" s="15"/>
      <c r="B804" s="15"/>
      <c r="C804" s="15"/>
      <c r="D804" s="63"/>
      <c r="E804" s="15"/>
      <c r="F804" s="15"/>
      <c r="G804" s="16"/>
      <c r="H804" s="15"/>
      <c r="I804" s="15"/>
    </row>
    <row r="805">
      <c r="A805" s="15"/>
      <c r="B805" s="15"/>
      <c r="C805" s="15"/>
      <c r="D805" s="63"/>
      <c r="E805" s="15"/>
      <c r="F805" s="15"/>
      <c r="G805" s="16"/>
      <c r="H805" s="15"/>
      <c r="I805" s="15"/>
    </row>
    <row r="806">
      <c r="A806" s="15"/>
      <c r="B806" s="15"/>
      <c r="C806" s="15"/>
      <c r="D806" s="63"/>
      <c r="E806" s="15"/>
      <c r="F806" s="15"/>
      <c r="G806" s="16"/>
      <c r="H806" s="15"/>
      <c r="I806" s="15"/>
    </row>
    <row r="807">
      <c r="A807" s="15"/>
      <c r="B807" s="15"/>
      <c r="C807" s="15"/>
      <c r="D807" s="63"/>
      <c r="E807" s="15"/>
      <c r="F807" s="15"/>
      <c r="G807" s="16"/>
      <c r="H807" s="15"/>
      <c r="I807" s="15"/>
    </row>
    <row r="808">
      <c r="A808" s="15"/>
      <c r="B808" s="15"/>
      <c r="C808" s="15"/>
      <c r="D808" s="63"/>
      <c r="E808" s="15"/>
      <c r="F808" s="15"/>
      <c r="G808" s="16"/>
      <c r="H808" s="15"/>
      <c r="I808" s="15"/>
    </row>
    <row r="809">
      <c r="A809" s="15"/>
      <c r="B809" s="15"/>
      <c r="C809" s="15"/>
      <c r="D809" s="63"/>
      <c r="E809" s="15"/>
      <c r="F809" s="15"/>
      <c r="G809" s="16"/>
      <c r="H809" s="15"/>
      <c r="I809" s="15"/>
    </row>
    <row r="810">
      <c r="A810" s="15"/>
      <c r="B810" s="15"/>
      <c r="C810" s="15"/>
      <c r="D810" s="63"/>
      <c r="E810" s="15"/>
      <c r="F810" s="15"/>
      <c r="G810" s="16"/>
      <c r="H810" s="15"/>
      <c r="I810" s="15"/>
    </row>
    <row r="811">
      <c r="A811" s="15"/>
      <c r="B811" s="15"/>
      <c r="C811" s="15"/>
      <c r="D811" s="63"/>
      <c r="E811" s="15"/>
      <c r="F811" s="15"/>
      <c r="G811" s="16"/>
      <c r="H811" s="15"/>
      <c r="I811" s="15"/>
    </row>
    <row r="812">
      <c r="A812" s="15"/>
      <c r="B812" s="15"/>
      <c r="C812" s="15"/>
      <c r="D812" s="63"/>
      <c r="E812" s="15"/>
      <c r="F812" s="15"/>
      <c r="G812" s="16"/>
      <c r="H812" s="15"/>
      <c r="I812" s="15"/>
    </row>
    <row r="813">
      <c r="A813" s="15"/>
      <c r="B813" s="15"/>
      <c r="C813" s="15"/>
      <c r="D813" s="63"/>
      <c r="E813" s="15"/>
      <c r="F813" s="15"/>
      <c r="G813" s="16"/>
      <c r="H813" s="15"/>
      <c r="I813" s="15"/>
    </row>
    <row r="814">
      <c r="A814" s="15"/>
      <c r="B814" s="15"/>
      <c r="C814" s="15"/>
      <c r="D814" s="63"/>
      <c r="E814" s="15"/>
      <c r="F814" s="15"/>
      <c r="G814" s="16"/>
      <c r="H814" s="15"/>
      <c r="I814" s="15"/>
    </row>
    <row r="815">
      <c r="A815" s="15"/>
      <c r="B815" s="15"/>
      <c r="C815" s="15"/>
      <c r="D815" s="63"/>
      <c r="E815" s="15"/>
      <c r="F815" s="15"/>
      <c r="G815" s="16"/>
      <c r="H815" s="15"/>
      <c r="I815" s="15"/>
    </row>
    <row r="816">
      <c r="A816" s="15"/>
      <c r="B816" s="15"/>
      <c r="C816" s="15"/>
      <c r="D816" s="63"/>
      <c r="E816" s="15"/>
      <c r="F816" s="15"/>
      <c r="G816" s="16"/>
      <c r="H816" s="15"/>
      <c r="I816" s="15"/>
    </row>
    <row r="817">
      <c r="A817" s="15"/>
      <c r="B817" s="15"/>
      <c r="C817" s="15"/>
      <c r="D817" s="63"/>
      <c r="E817" s="15"/>
      <c r="F817" s="15"/>
      <c r="G817" s="16"/>
      <c r="H817" s="15"/>
      <c r="I817" s="15"/>
    </row>
    <row r="818">
      <c r="A818" s="15"/>
      <c r="B818" s="15"/>
      <c r="C818" s="15"/>
      <c r="D818" s="63"/>
      <c r="E818" s="15"/>
      <c r="F818" s="15"/>
      <c r="G818" s="16"/>
      <c r="H818" s="15"/>
      <c r="I818" s="15"/>
    </row>
    <row r="819">
      <c r="A819" s="15"/>
      <c r="B819" s="15"/>
      <c r="C819" s="15"/>
      <c r="D819" s="63"/>
      <c r="E819" s="15"/>
      <c r="F819" s="15"/>
      <c r="G819" s="16"/>
      <c r="H819" s="15"/>
      <c r="I819" s="15"/>
    </row>
    <row r="820">
      <c r="A820" s="15"/>
      <c r="B820" s="15"/>
      <c r="C820" s="15"/>
      <c r="D820" s="63"/>
      <c r="E820" s="15"/>
      <c r="F820" s="15"/>
      <c r="G820" s="16"/>
      <c r="H820" s="15"/>
      <c r="I820" s="15"/>
    </row>
    <row r="821">
      <c r="A821" s="15"/>
      <c r="B821" s="15"/>
      <c r="C821" s="15"/>
      <c r="D821" s="63"/>
      <c r="E821" s="15"/>
      <c r="F821" s="15"/>
      <c r="G821" s="16"/>
      <c r="H821" s="15"/>
      <c r="I821" s="15"/>
    </row>
    <row r="822">
      <c r="A822" s="15"/>
      <c r="B822" s="15"/>
      <c r="C822" s="15"/>
      <c r="D822" s="63"/>
      <c r="E822" s="15"/>
      <c r="F822" s="15"/>
      <c r="G822" s="16"/>
      <c r="H822" s="15"/>
      <c r="I822" s="15"/>
    </row>
    <row r="823">
      <c r="A823" s="15"/>
      <c r="B823" s="15"/>
      <c r="C823" s="15"/>
      <c r="D823" s="63"/>
      <c r="E823" s="15"/>
      <c r="F823" s="15"/>
      <c r="G823" s="16"/>
      <c r="H823" s="15"/>
      <c r="I823" s="15"/>
    </row>
    <row r="824">
      <c r="A824" s="15"/>
      <c r="B824" s="15"/>
      <c r="C824" s="15"/>
      <c r="D824" s="63"/>
      <c r="E824" s="15"/>
      <c r="F824" s="15"/>
      <c r="G824" s="16"/>
      <c r="H824" s="15"/>
      <c r="I824" s="15"/>
    </row>
    <row r="825">
      <c r="A825" s="15"/>
      <c r="B825" s="15"/>
      <c r="C825" s="15"/>
      <c r="D825" s="63"/>
      <c r="E825" s="15"/>
      <c r="F825" s="15"/>
      <c r="G825" s="16"/>
      <c r="H825" s="15"/>
      <c r="I825" s="15"/>
    </row>
    <row r="826">
      <c r="A826" s="15"/>
      <c r="B826" s="15"/>
      <c r="C826" s="15"/>
      <c r="D826" s="63"/>
      <c r="E826" s="15"/>
      <c r="F826" s="15"/>
      <c r="G826" s="16"/>
      <c r="H826" s="15"/>
      <c r="I826" s="15"/>
    </row>
    <row r="827">
      <c r="A827" s="15"/>
      <c r="B827" s="15"/>
      <c r="C827" s="15"/>
      <c r="D827" s="63"/>
      <c r="E827" s="15"/>
      <c r="F827" s="15"/>
      <c r="G827" s="16"/>
      <c r="H827" s="15"/>
      <c r="I827" s="15"/>
    </row>
    <row r="828">
      <c r="A828" s="15"/>
      <c r="B828" s="15"/>
      <c r="C828" s="15"/>
      <c r="D828" s="63"/>
      <c r="E828" s="15"/>
      <c r="F828" s="15"/>
      <c r="G828" s="16"/>
      <c r="H828" s="15"/>
      <c r="I828" s="15"/>
    </row>
    <row r="829">
      <c r="A829" s="15"/>
      <c r="B829" s="15"/>
      <c r="C829" s="15"/>
      <c r="D829" s="63"/>
      <c r="E829" s="15"/>
      <c r="F829" s="15"/>
      <c r="G829" s="16"/>
      <c r="H829" s="15"/>
      <c r="I829" s="15"/>
    </row>
    <row r="830">
      <c r="A830" s="15"/>
      <c r="B830" s="15"/>
      <c r="C830" s="15"/>
      <c r="D830" s="63"/>
      <c r="E830" s="15"/>
      <c r="F830" s="15"/>
      <c r="G830" s="16"/>
      <c r="H830" s="15"/>
      <c r="I830" s="15"/>
    </row>
    <row r="831">
      <c r="A831" s="15"/>
      <c r="B831" s="15"/>
      <c r="C831" s="15"/>
      <c r="D831" s="63"/>
      <c r="E831" s="15"/>
      <c r="F831" s="15"/>
      <c r="G831" s="16"/>
      <c r="H831" s="15"/>
      <c r="I831" s="15"/>
    </row>
    <row r="832">
      <c r="A832" s="15"/>
      <c r="B832" s="15"/>
      <c r="C832" s="15"/>
      <c r="D832" s="63"/>
      <c r="E832" s="15"/>
      <c r="F832" s="15"/>
      <c r="G832" s="16"/>
      <c r="H832" s="15"/>
      <c r="I832" s="15"/>
    </row>
    <row r="833">
      <c r="A833" s="15"/>
      <c r="B833" s="15"/>
      <c r="C833" s="15"/>
      <c r="D833" s="63"/>
      <c r="E833" s="15"/>
      <c r="F833" s="15"/>
      <c r="G833" s="16"/>
      <c r="H833" s="15"/>
      <c r="I833" s="15"/>
    </row>
    <row r="834">
      <c r="A834" s="15"/>
      <c r="B834" s="15"/>
      <c r="C834" s="15"/>
      <c r="D834" s="63"/>
      <c r="E834" s="15"/>
      <c r="F834" s="15"/>
      <c r="G834" s="16"/>
      <c r="H834" s="15"/>
      <c r="I834" s="15"/>
    </row>
    <row r="835">
      <c r="A835" s="15"/>
      <c r="B835" s="15"/>
      <c r="C835" s="15"/>
      <c r="D835" s="63"/>
      <c r="E835" s="15"/>
      <c r="F835" s="15"/>
      <c r="G835" s="16"/>
      <c r="H835" s="15"/>
      <c r="I835" s="15"/>
    </row>
    <row r="836">
      <c r="A836" s="15"/>
      <c r="B836" s="15"/>
      <c r="C836" s="15"/>
      <c r="D836" s="63"/>
      <c r="E836" s="15"/>
      <c r="F836" s="15"/>
      <c r="G836" s="16"/>
      <c r="H836" s="15"/>
      <c r="I836" s="15"/>
    </row>
    <row r="837">
      <c r="A837" s="15"/>
      <c r="B837" s="15"/>
      <c r="C837" s="15"/>
      <c r="D837" s="63"/>
      <c r="E837" s="15"/>
      <c r="F837" s="15"/>
      <c r="G837" s="16"/>
      <c r="H837" s="15"/>
      <c r="I837" s="15"/>
    </row>
    <row r="838">
      <c r="A838" s="15"/>
      <c r="B838" s="15"/>
      <c r="C838" s="15"/>
      <c r="D838" s="63"/>
      <c r="E838" s="15"/>
      <c r="F838" s="15"/>
      <c r="G838" s="16"/>
      <c r="H838" s="15"/>
      <c r="I838" s="15"/>
    </row>
    <row r="839">
      <c r="A839" s="15"/>
      <c r="B839" s="15"/>
      <c r="C839" s="15"/>
      <c r="D839" s="63"/>
      <c r="E839" s="15"/>
      <c r="F839" s="15"/>
      <c r="G839" s="16"/>
      <c r="H839" s="15"/>
      <c r="I839" s="15"/>
    </row>
    <row r="840">
      <c r="A840" s="15"/>
      <c r="B840" s="15"/>
      <c r="C840" s="15"/>
      <c r="D840" s="63"/>
      <c r="E840" s="15"/>
      <c r="F840" s="15"/>
      <c r="G840" s="16"/>
      <c r="H840" s="15"/>
      <c r="I840" s="15"/>
    </row>
    <row r="841">
      <c r="A841" s="15"/>
      <c r="B841" s="15"/>
      <c r="C841" s="15"/>
      <c r="D841" s="63"/>
      <c r="E841" s="15"/>
      <c r="F841" s="15"/>
      <c r="G841" s="16"/>
      <c r="H841" s="15"/>
      <c r="I841" s="15"/>
    </row>
    <row r="842">
      <c r="A842" s="15"/>
      <c r="B842" s="15"/>
      <c r="C842" s="15"/>
      <c r="D842" s="63"/>
      <c r="E842" s="15"/>
      <c r="F842" s="15"/>
      <c r="G842" s="16"/>
      <c r="H842" s="15"/>
      <c r="I842" s="15"/>
    </row>
    <row r="843">
      <c r="A843" s="15"/>
      <c r="B843" s="15"/>
      <c r="C843" s="15"/>
      <c r="D843" s="63"/>
      <c r="E843" s="15"/>
      <c r="F843" s="15"/>
      <c r="G843" s="16"/>
      <c r="H843" s="15"/>
      <c r="I843" s="15"/>
    </row>
    <row r="844">
      <c r="A844" s="15"/>
      <c r="B844" s="15"/>
      <c r="C844" s="15"/>
      <c r="D844" s="63"/>
      <c r="E844" s="15"/>
      <c r="F844" s="15"/>
      <c r="G844" s="16"/>
      <c r="H844" s="15"/>
      <c r="I844" s="15"/>
    </row>
    <row r="845">
      <c r="A845" s="15"/>
      <c r="B845" s="15"/>
      <c r="C845" s="15"/>
      <c r="D845" s="63"/>
      <c r="E845" s="15"/>
      <c r="F845" s="15"/>
      <c r="G845" s="16"/>
      <c r="H845" s="15"/>
      <c r="I845" s="15"/>
    </row>
    <row r="846">
      <c r="A846" s="15"/>
      <c r="B846" s="15"/>
      <c r="C846" s="15"/>
      <c r="D846" s="63"/>
      <c r="E846" s="15"/>
      <c r="F846" s="15"/>
      <c r="G846" s="16"/>
      <c r="H846" s="15"/>
      <c r="I846" s="15"/>
    </row>
    <row r="847">
      <c r="A847" s="15"/>
      <c r="B847" s="15"/>
      <c r="C847" s="15"/>
      <c r="D847" s="63"/>
      <c r="E847" s="15"/>
      <c r="F847" s="15"/>
      <c r="G847" s="16"/>
      <c r="H847" s="15"/>
      <c r="I847" s="15"/>
    </row>
    <row r="848">
      <c r="A848" s="15"/>
      <c r="B848" s="15"/>
      <c r="C848" s="15"/>
      <c r="D848" s="63"/>
      <c r="E848" s="15"/>
      <c r="F848" s="15"/>
      <c r="G848" s="16"/>
      <c r="H848" s="15"/>
      <c r="I848" s="15"/>
    </row>
    <row r="849">
      <c r="A849" s="15"/>
      <c r="B849" s="15"/>
      <c r="C849" s="15"/>
      <c r="D849" s="63"/>
      <c r="E849" s="15"/>
      <c r="F849" s="15"/>
      <c r="G849" s="16"/>
      <c r="H849" s="15"/>
      <c r="I849" s="15"/>
    </row>
    <row r="850">
      <c r="A850" s="15"/>
      <c r="B850" s="15"/>
      <c r="C850" s="15"/>
      <c r="D850" s="63"/>
      <c r="E850" s="15"/>
      <c r="F850" s="15"/>
      <c r="G850" s="16"/>
      <c r="H850" s="15"/>
      <c r="I850" s="15"/>
    </row>
    <row r="851">
      <c r="A851" s="15"/>
      <c r="B851" s="15"/>
      <c r="C851" s="15"/>
      <c r="D851" s="63"/>
      <c r="E851" s="15"/>
      <c r="F851" s="15"/>
      <c r="G851" s="16"/>
      <c r="H851" s="15"/>
      <c r="I851" s="15"/>
    </row>
    <row r="852">
      <c r="A852" s="15"/>
      <c r="B852" s="15"/>
      <c r="C852" s="15"/>
      <c r="D852" s="63"/>
      <c r="E852" s="15"/>
      <c r="F852" s="15"/>
      <c r="G852" s="16"/>
      <c r="H852" s="15"/>
      <c r="I852" s="15"/>
    </row>
    <row r="853">
      <c r="A853" s="15"/>
      <c r="B853" s="15"/>
      <c r="C853" s="15"/>
      <c r="D853" s="63"/>
      <c r="E853" s="15"/>
      <c r="F853" s="15"/>
      <c r="G853" s="16"/>
      <c r="H853" s="15"/>
      <c r="I853" s="15"/>
    </row>
    <row r="854">
      <c r="A854" s="15"/>
      <c r="B854" s="15"/>
      <c r="C854" s="15"/>
      <c r="D854" s="63"/>
      <c r="E854" s="15"/>
      <c r="F854" s="15"/>
      <c r="G854" s="16"/>
      <c r="H854" s="15"/>
      <c r="I854" s="15"/>
    </row>
    <row r="855">
      <c r="A855" s="15"/>
      <c r="B855" s="15"/>
      <c r="C855" s="15"/>
      <c r="D855" s="63"/>
      <c r="E855" s="15"/>
      <c r="F855" s="15"/>
      <c r="G855" s="16"/>
      <c r="H855" s="15"/>
      <c r="I855" s="15"/>
    </row>
    <row r="856">
      <c r="A856" s="15"/>
      <c r="B856" s="15"/>
      <c r="C856" s="15"/>
      <c r="D856" s="63"/>
      <c r="E856" s="15"/>
      <c r="F856" s="15"/>
      <c r="G856" s="16"/>
      <c r="H856" s="15"/>
      <c r="I856" s="15"/>
    </row>
    <row r="857">
      <c r="A857" s="15"/>
      <c r="B857" s="15"/>
      <c r="C857" s="15"/>
      <c r="D857" s="63"/>
      <c r="E857" s="15"/>
      <c r="F857" s="15"/>
      <c r="G857" s="16"/>
      <c r="H857" s="15"/>
      <c r="I857" s="15"/>
    </row>
    <row r="858">
      <c r="A858" s="15"/>
      <c r="B858" s="15"/>
      <c r="C858" s="15"/>
      <c r="D858" s="63"/>
      <c r="E858" s="15"/>
      <c r="F858" s="15"/>
      <c r="G858" s="16"/>
      <c r="H858" s="15"/>
      <c r="I858" s="15"/>
    </row>
    <row r="859">
      <c r="A859" s="15"/>
      <c r="B859" s="15"/>
      <c r="C859" s="15"/>
      <c r="D859" s="63"/>
      <c r="E859" s="15"/>
      <c r="F859" s="15"/>
      <c r="G859" s="16"/>
      <c r="H859" s="15"/>
      <c r="I859" s="15"/>
    </row>
    <row r="860">
      <c r="A860" s="15"/>
      <c r="B860" s="15"/>
      <c r="C860" s="15"/>
      <c r="D860" s="63"/>
      <c r="E860" s="15"/>
      <c r="F860" s="15"/>
      <c r="G860" s="16"/>
      <c r="H860" s="15"/>
      <c r="I860" s="15"/>
    </row>
    <row r="861">
      <c r="A861" s="15"/>
      <c r="B861" s="15"/>
      <c r="C861" s="15"/>
      <c r="D861" s="63"/>
      <c r="E861" s="15"/>
      <c r="F861" s="15"/>
      <c r="G861" s="16"/>
      <c r="H861" s="15"/>
      <c r="I861" s="15"/>
    </row>
    <row r="862">
      <c r="A862" s="15"/>
      <c r="B862" s="15"/>
      <c r="C862" s="15"/>
      <c r="D862" s="63"/>
      <c r="E862" s="15"/>
      <c r="F862" s="15"/>
      <c r="G862" s="16"/>
      <c r="H862" s="15"/>
      <c r="I862" s="15"/>
    </row>
    <row r="863">
      <c r="A863" s="15"/>
      <c r="B863" s="15"/>
      <c r="C863" s="15"/>
      <c r="D863" s="63"/>
      <c r="E863" s="15"/>
      <c r="F863" s="15"/>
      <c r="G863" s="16"/>
      <c r="H863" s="15"/>
      <c r="I863" s="15"/>
    </row>
    <row r="864">
      <c r="A864" s="15"/>
      <c r="B864" s="15"/>
      <c r="C864" s="15"/>
      <c r="D864" s="63"/>
      <c r="E864" s="15"/>
      <c r="F864" s="15"/>
      <c r="G864" s="16"/>
      <c r="H864" s="15"/>
      <c r="I864" s="15"/>
    </row>
    <row r="865">
      <c r="A865" s="15"/>
      <c r="B865" s="15"/>
      <c r="C865" s="15"/>
      <c r="D865" s="63"/>
      <c r="E865" s="15"/>
      <c r="F865" s="15"/>
      <c r="G865" s="16"/>
      <c r="H865" s="15"/>
      <c r="I865" s="15"/>
    </row>
    <row r="866">
      <c r="A866" s="15"/>
      <c r="B866" s="15"/>
      <c r="C866" s="15"/>
      <c r="D866" s="63"/>
      <c r="E866" s="15"/>
      <c r="F866" s="15"/>
      <c r="G866" s="16"/>
      <c r="H866" s="15"/>
      <c r="I866" s="15"/>
    </row>
    <row r="867">
      <c r="A867" s="15"/>
      <c r="B867" s="15"/>
      <c r="C867" s="15"/>
      <c r="D867" s="63"/>
      <c r="E867" s="15"/>
      <c r="F867" s="15"/>
      <c r="G867" s="16"/>
      <c r="H867" s="15"/>
      <c r="I867" s="15"/>
    </row>
    <row r="868">
      <c r="A868" s="15"/>
      <c r="B868" s="15"/>
      <c r="C868" s="15"/>
      <c r="D868" s="63"/>
      <c r="E868" s="15"/>
      <c r="F868" s="15"/>
      <c r="G868" s="16"/>
      <c r="H868" s="15"/>
      <c r="I868" s="15"/>
    </row>
    <row r="869">
      <c r="A869" s="15"/>
      <c r="B869" s="15"/>
      <c r="C869" s="15"/>
      <c r="D869" s="63"/>
      <c r="E869" s="15"/>
      <c r="F869" s="15"/>
      <c r="G869" s="16"/>
      <c r="H869" s="15"/>
      <c r="I869" s="15"/>
    </row>
    <row r="870">
      <c r="A870" s="15"/>
      <c r="B870" s="15"/>
      <c r="C870" s="15"/>
      <c r="D870" s="63"/>
      <c r="E870" s="15"/>
      <c r="F870" s="15"/>
      <c r="G870" s="16"/>
      <c r="H870" s="15"/>
      <c r="I870" s="15"/>
    </row>
    <row r="871">
      <c r="A871" s="15"/>
      <c r="B871" s="15"/>
      <c r="C871" s="15"/>
      <c r="D871" s="63"/>
      <c r="E871" s="15"/>
      <c r="F871" s="15"/>
      <c r="G871" s="16"/>
      <c r="H871" s="15"/>
      <c r="I871" s="15"/>
    </row>
    <row r="872">
      <c r="A872" s="15"/>
      <c r="B872" s="15"/>
      <c r="C872" s="15"/>
      <c r="D872" s="63"/>
      <c r="E872" s="15"/>
      <c r="F872" s="15"/>
      <c r="G872" s="16"/>
      <c r="H872" s="15"/>
      <c r="I872" s="15"/>
    </row>
    <row r="873">
      <c r="A873" s="15"/>
      <c r="B873" s="15"/>
      <c r="C873" s="15"/>
      <c r="D873" s="63"/>
      <c r="E873" s="15"/>
      <c r="F873" s="15"/>
      <c r="G873" s="16"/>
      <c r="H873" s="15"/>
      <c r="I873" s="15"/>
    </row>
    <row r="874">
      <c r="A874" s="15"/>
      <c r="B874" s="15"/>
      <c r="C874" s="15"/>
      <c r="D874" s="63"/>
      <c r="E874" s="15"/>
      <c r="F874" s="15"/>
      <c r="G874" s="16"/>
      <c r="H874" s="15"/>
      <c r="I874" s="15"/>
    </row>
    <row r="875">
      <c r="A875" s="15"/>
      <c r="B875" s="15"/>
      <c r="C875" s="15"/>
      <c r="D875" s="63"/>
      <c r="E875" s="15"/>
      <c r="F875" s="15"/>
      <c r="G875" s="16"/>
      <c r="H875" s="15"/>
      <c r="I875" s="15"/>
    </row>
    <row r="876">
      <c r="A876" s="15"/>
      <c r="B876" s="15"/>
      <c r="C876" s="15"/>
      <c r="D876" s="63"/>
      <c r="E876" s="15"/>
      <c r="F876" s="15"/>
      <c r="G876" s="16"/>
      <c r="H876" s="15"/>
      <c r="I876" s="15"/>
    </row>
    <row r="877">
      <c r="A877" s="15"/>
      <c r="B877" s="15"/>
      <c r="C877" s="15"/>
      <c r="D877" s="63"/>
      <c r="E877" s="15"/>
      <c r="F877" s="15"/>
      <c r="G877" s="16"/>
      <c r="H877" s="15"/>
      <c r="I877" s="15"/>
    </row>
    <row r="878">
      <c r="A878" s="15"/>
      <c r="B878" s="15"/>
      <c r="C878" s="15"/>
      <c r="D878" s="63"/>
      <c r="E878" s="15"/>
      <c r="F878" s="15"/>
      <c r="G878" s="16"/>
      <c r="H878" s="15"/>
      <c r="I878" s="15"/>
    </row>
    <row r="879">
      <c r="A879" s="15"/>
      <c r="B879" s="15"/>
      <c r="C879" s="15"/>
      <c r="D879" s="63"/>
      <c r="E879" s="15"/>
      <c r="F879" s="15"/>
      <c r="G879" s="16"/>
      <c r="H879" s="15"/>
      <c r="I879" s="15"/>
    </row>
    <row r="880">
      <c r="A880" s="15"/>
      <c r="B880" s="15"/>
      <c r="C880" s="15"/>
      <c r="D880" s="63"/>
      <c r="E880" s="15"/>
      <c r="F880" s="15"/>
      <c r="G880" s="16"/>
      <c r="H880" s="15"/>
      <c r="I880" s="15"/>
    </row>
    <row r="881">
      <c r="A881" s="15"/>
      <c r="B881" s="15"/>
      <c r="C881" s="15"/>
      <c r="D881" s="63"/>
      <c r="E881" s="15"/>
      <c r="F881" s="15"/>
      <c r="G881" s="16"/>
      <c r="H881" s="15"/>
      <c r="I881" s="15"/>
    </row>
    <row r="882">
      <c r="A882" s="15"/>
      <c r="B882" s="15"/>
      <c r="C882" s="15"/>
      <c r="D882" s="63"/>
      <c r="E882" s="15"/>
      <c r="F882" s="15"/>
      <c r="G882" s="16"/>
      <c r="H882" s="15"/>
      <c r="I882" s="15"/>
    </row>
    <row r="883">
      <c r="A883" s="15"/>
      <c r="B883" s="15"/>
      <c r="C883" s="15"/>
      <c r="D883" s="63"/>
      <c r="E883" s="15"/>
      <c r="F883" s="15"/>
      <c r="G883" s="16"/>
      <c r="H883" s="15"/>
      <c r="I883" s="15"/>
    </row>
    <row r="884">
      <c r="A884" s="15"/>
      <c r="B884" s="15"/>
      <c r="C884" s="15"/>
      <c r="D884" s="63"/>
      <c r="E884" s="15"/>
      <c r="F884" s="15"/>
      <c r="G884" s="16"/>
      <c r="H884" s="15"/>
      <c r="I884" s="15"/>
    </row>
    <row r="885">
      <c r="A885" s="15"/>
      <c r="B885" s="15"/>
      <c r="C885" s="15"/>
      <c r="D885" s="63"/>
      <c r="E885" s="15"/>
      <c r="F885" s="15"/>
      <c r="G885" s="16"/>
      <c r="H885" s="15"/>
      <c r="I885" s="15"/>
    </row>
    <row r="886">
      <c r="A886" s="15"/>
      <c r="B886" s="15"/>
      <c r="C886" s="15"/>
      <c r="D886" s="63"/>
      <c r="E886" s="15"/>
      <c r="F886" s="15"/>
      <c r="G886" s="16"/>
      <c r="H886" s="15"/>
      <c r="I886" s="15"/>
    </row>
    <row r="887">
      <c r="A887" s="15"/>
      <c r="B887" s="15"/>
      <c r="C887" s="15"/>
      <c r="D887" s="63"/>
      <c r="E887" s="15"/>
      <c r="F887" s="15"/>
      <c r="G887" s="16"/>
      <c r="H887" s="15"/>
      <c r="I887" s="15"/>
    </row>
    <row r="888">
      <c r="A888" s="15"/>
      <c r="B888" s="15"/>
      <c r="C888" s="15"/>
      <c r="D888" s="63"/>
      <c r="E888" s="15"/>
      <c r="F888" s="15"/>
      <c r="G888" s="16"/>
      <c r="H888" s="15"/>
      <c r="I888" s="15"/>
    </row>
    <row r="889">
      <c r="A889" s="15"/>
      <c r="B889" s="15"/>
      <c r="C889" s="15"/>
      <c r="D889" s="63"/>
      <c r="E889" s="15"/>
      <c r="F889" s="15"/>
      <c r="G889" s="16"/>
      <c r="H889" s="15"/>
      <c r="I889" s="15"/>
    </row>
    <row r="890">
      <c r="A890" s="15"/>
      <c r="B890" s="15"/>
      <c r="C890" s="15"/>
      <c r="D890" s="63"/>
      <c r="E890" s="15"/>
      <c r="F890" s="15"/>
      <c r="G890" s="16"/>
      <c r="H890" s="15"/>
      <c r="I890" s="15"/>
    </row>
    <row r="891">
      <c r="A891" s="15"/>
      <c r="B891" s="15"/>
      <c r="C891" s="15"/>
      <c r="D891" s="63"/>
      <c r="E891" s="15"/>
      <c r="F891" s="15"/>
      <c r="G891" s="16"/>
      <c r="H891" s="15"/>
      <c r="I891" s="15"/>
    </row>
    <row r="892">
      <c r="A892" s="15"/>
      <c r="B892" s="15"/>
      <c r="C892" s="15"/>
      <c r="D892" s="63"/>
      <c r="E892" s="15"/>
      <c r="F892" s="15"/>
      <c r="G892" s="16"/>
      <c r="H892" s="15"/>
      <c r="I892" s="15"/>
    </row>
    <row r="893">
      <c r="A893" s="15"/>
      <c r="B893" s="15"/>
      <c r="C893" s="15"/>
      <c r="D893" s="63"/>
      <c r="E893" s="15"/>
      <c r="F893" s="15"/>
      <c r="G893" s="16"/>
      <c r="H893" s="15"/>
      <c r="I893" s="15"/>
    </row>
    <row r="894">
      <c r="A894" s="15"/>
      <c r="B894" s="15"/>
      <c r="C894" s="15"/>
      <c r="D894" s="63"/>
      <c r="E894" s="15"/>
      <c r="F894" s="15"/>
      <c r="G894" s="16"/>
      <c r="H894" s="15"/>
      <c r="I894" s="15"/>
    </row>
    <row r="895">
      <c r="A895" s="15"/>
      <c r="B895" s="15"/>
      <c r="C895" s="15"/>
      <c r="D895" s="63"/>
      <c r="E895" s="15"/>
      <c r="F895" s="15"/>
      <c r="G895" s="16"/>
      <c r="H895" s="15"/>
      <c r="I895" s="15"/>
    </row>
    <row r="896">
      <c r="A896" s="15"/>
      <c r="B896" s="15"/>
      <c r="C896" s="15"/>
      <c r="D896" s="63"/>
      <c r="E896" s="15"/>
      <c r="F896" s="15"/>
      <c r="G896" s="16"/>
      <c r="H896" s="15"/>
      <c r="I896" s="15"/>
    </row>
    <row r="897">
      <c r="A897" s="15"/>
      <c r="B897" s="15"/>
      <c r="C897" s="15"/>
      <c r="D897" s="63"/>
      <c r="E897" s="15"/>
      <c r="F897" s="15"/>
      <c r="G897" s="16"/>
      <c r="H897" s="15"/>
      <c r="I897" s="15"/>
    </row>
    <row r="898">
      <c r="A898" s="15"/>
      <c r="B898" s="15"/>
      <c r="C898" s="15"/>
      <c r="D898" s="63"/>
      <c r="E898" s="15"/>
      <c r="F898" s="15"/>
      <c r="G898" s="16"/>
      <c r="H898" s="15"/>
      <c r="I898" s="15"/>
    </row>
    <row r="899">
      <c r="A899" s="15"/>
      <c r="B899" s="15"/>
      <c r="C899" s="15"/>
      <c r="D899" s="63"/>
      <c r="E899" s="15"/>
      <c r="F899" s="15"/>
      <c r="G899" s="16"/>
      <c r="H899" s="15"/>
      <c r="I899" s="15"/>
    </row>
    <row r="900">
      <c r="A900" s="15"/>
      <c r="B900" s="15"/>
      <c r="C900" s="15"/>
      <c r="D900" s="63"/>
      <c r="E900" s="15"/>
      <c r="F900" s="15"/>
      <c r="G900" s="16"/>
      <c r="H900" s="15"/>
      <c r="I900" s="15"/>
    </row>
    <row r="901">
      <c r="A901" s="15"/>
      <c r="B901" s="15"/>
      <c r="C901" s="15"/>
      <c r="D901" s="63"/>
      <c r="E901" s="15"/>
      <c r="F901" s="15"/>
      <c r="G901" s="16"/>
      <c r="H901" s="15"/>
      <c r="I901" s="15"/>
    </row>
    <row r="902">
      <c r="A902" s="15"/>
      <c r="B902" s="15"/>
      <c r="C902" s="15"/>
      <c r="D902" s="63"/>
      <c r="E902" s="15"/>
      <c r="F902" s="15"/>
      <c r="G902" s="16"/>
      <c r="H902" s="15"/>
      <c r="I902" s="15"/>
    </row>
    <row r="903">
      <c r="A903" s="15"/>
      <c r="B903" s="15"/>
      <c r="C903" s="15"/>
      <c r="D903" s="63"/>
      <c r="E903" s="15"/>
      <c r="F903" s="15"/>
      <c r="G903" s="16"/>
      <c r="H903" s="15"/>
      <c r="I903" s="15"/>
    </row>
    <row r="904">
      <c r="A904" s="15"/>
      <c r="B904" s="15"/>
      <c r="C904" s="15"/>
      <c r="D904" s="63"/>
      <c r="E904" s="15"/>
      <c r="F904" s="15"/>
      <c r="G904" s="16"/>
      <c r="H904" s="15"/>
      <c r="I904" s="15"/>
    </row>
    <row r="905">
      <c r="A905" s="15"/>
      <c r="B905" s="15"/>
      <c r="C905" s="15"/>
      <c r="D905" s="63"/>
      <c r="E905" s="15"/>
      <c r="F905" s="15"/>
      <c r="G905" s="16"/>
      <c r="H905" s="15"/>
      <c r="I905" s="15"/>
    </row>
    <row r="906">
      <c r="A906" s="15"/>
      <c r="B906" s="15"/>
      <c r="C906" s="15"/>
      <c r="D906" s="63"/>
      <c r="E906" s="15"/>
      <c r="F906" s="15"/>
      <c r="G906" s="16"/>
      <c r="H906" s="15"/>
      <c r="I906" s="15"/>
    </row>
    <row r="907">
      <c r="A907" s="15"/>
      <c r="B907" s="15"/>
      <c r="C907" s="15"/>
      <c r="D907" s="63"/>
      <c r="E907" s="15"/>
      <c r="F907" s="15"/>
      <c r="G907" s="16"/>
      <c r="H907" s="15"/>
      <c r="I907" s="15"/>
    </row>
    <row r="908">
      <c r="A908" s="15"/>
      <c r="B908" s="15"/>
      <c r="C908" s="15"/>
      <c r="D908" s="63"/>
      <c r="E908" s="15"/>
      <c r="F908" s="15"/>
      <c r="G908" s="16"/>
      <c r="H908" s="15"/>
      <c r="I908" s="15"/>
    </row>
    <row r="909">
      <c r="A909" s="15"/>
      <c r="B909" s="15"/>
      <c r="C909" s="15"/>
      <c r="D909" s="63"/>
      <c r="E909" s="15"/>
      <c r="F909" s="15"/>
      <c r="G909" s="16"/>
      <c r="H909" s="15"/>
      <c r="I909" s="15"/>
    </row>
    <row r="910">
      <c r="A910" s="15"/>
      <c r="B910" s="15"/>
      <c r="C910" s="15"/>
      <c r="D910" s="63"/>
      <c r="E910" s="15"/>
      <c r="F910" s="15"/>
      <c r="G910" s="16"/>
      <c r="H910" s="15"/>
      <c r="I910" s="15"/>
    </row>
    <row r="911">
      <c r="A911" s="15"/>
      <c r="B911" s="15"/>
      <c r="C911" s="15"/>
      <c r="D911" s="63"/>
      <c r="E911" s="15"/>
      <c r="F911" s="15"/>
      <c r="G911" s="16"/>
      <c r="H911" s="15"/>
      <c r="I911" s="15"/>
    </row>
    <row r="912">
      <c r="A912" s="15"/>
      <c r="B912" s="15"/>
      <c r="C912" s="15"/>
      <c r="D912" s="63"/>
      <c r="E912" s="15"/>
      <c r="F912" s="15"/>
      <c r="G912" s="16"/>
      <c r="H912" s="15"/>
      <c r="I912" s="15"/>
    </row>
    <row r="913">
      <c r="A913" s="15"/>
      <c r="B913" s="15"/>
      <c r="C913" s="15"/>
      <c r="D913" s="63"/>
      <c r="E913" s="15"/>
      <c r="F913" s="15"/>
      <c r="G913" s="16"/>
      <c r="H913" s="15"/>
      <c r="I913" s="15"/>
    </row>
    <row r="914">
      <c r="A914" s="15"/>
      <c r="B914" s="15"/>
      <c r="C914" s="15"/>
      <c r="D914" s="63"/>
      <c r="E914" s="15"/>
      <c r="F914" s="15"/>
      <c r="G914" s="16"/>
      <c r="H914" s="15"/>
      <c r="I914" s="15"/>
    </row>
    <row r="915">
      <c r="A915" s="15"/>
      <c r="B915" s="15"/>
      <c r="C915" s="15"/>
      <c r="D915" s="63"/>
      <c r="E915" s="15"/>
      <c r="F915" s="15"/>
      <c r="G915" s="16"/>
      <c r="H915" s="15"/>
      <c r="I915" s="15"/>
    </row>
    <row r="916">
      <c r="A916" s="15"/>
      <c r="B916" s="15"/>
      <c r="C916" s="15"/>
      <c r="D916" s="63"/>
      <c r="E916" s="15"/>
      <c r="F916" s="15"/>
      <c r="G916" s="16"/>
      <c r="H916" s="15"/>
      <c r="I916" s="15"/>
    </row>
    <row r="917">
      <c r="A917" s="15"/>
      <c r="B917" s="15"/>
      <c r="C917" s="15"/>
      <c r="D917" s="63"/>
      <c r="E917" s="15"/>
      <c r="F917" s="15"/>
      <c r="G917" s="16"/>
      <c r="H917" s="15"/>
      <c r="I917" s="15"/>
    </row>
    <row r="918">
      <c r="A918" s="15"/>
      <c r="B918" s="15"/>
      <c r="C918" s="15"/>
      <c r="D918" s="63"/>
      <c r="E918" s="15"/>
      <c r="F918" s="15"/>
      <c r="G918" s="16"/>
      <c r="H918" s="15"/>
      <c r="I918" s="15"/>
    </row>
    <row r="919">
      <c r="A919" s="15"/>
      <c r="B919" s="15"/>
      <c r="C919" s="15"/>
      <c r="D919" s="63"/>
      <c r="E919" s="15"/>
      <c r="F919" s="15"/>
      <c r="G919" s="16"/>
      <c r="H919" s="15"/>
      <c r="I919" s="15"/>
    </row>
    <row r="920">
      <c r="A920" s="15"/>
      <c r="B920" s="15"/>
      <c r="C920" s="15"/>
      <c r="D920" s="63"/>
      <c r="E920" s="15"/>
      <c r="F920" s="15"/>
      <c r="G920" s="16"/>
      <c r="H920" s="15"/>
      <c r="I920" s="15"/>
    </row>
    <row r="921">
      <c r="A921" s="15"/>
      <c r="B921" s="15"/>
      <c r="C921" s="15"/>
      <c r="D921" s="63"/>
      <c r="E921" s="15"/>
      <c r="F921" s="15"/>
      <c r="G921" s="16"/>
      <c r="H921" s="15"/>
      <c r="I921" s="15"/>
    </row>
    <row r="922">
      <c r="A922" s="15"/>
      <c r="B922" s="15"/>
      <c r="C922" s="15"/>
      <c r="D922" s="63"/>
      <c r="E922" s="15"/>
      <c r="F922" s="15"/>
      <c r="G922" s="16"/>
      <c r="H922" s="15"/>
      <c r="I922" s="15"/>
    </row>
    <row r="923">
      <c r="A923" s="15"/>
      <c r="B923" s="15"/>
      <c r="C923" s="15"/>
      <c r="D923" s="63"/>
      <c r="E923" s="15"/>
      <c r="F923" s="15"/>
      <c r="G923" s="16"/>
      <c r="H923" s="15"/>
      <c r="I923" s="15"/>
    </row>
    <row r="924">
      <c r="A924" s="15"/>
      <c r="B924" s="15"/>
      <c r="C924" s="15"/>
      <c r="D924" s="63"/>
      <c r="E924" s="15"/>
      <c r="F924" s="15"/>
      <c r="G924" s="16"/>
      <c r="H924" s="15"/>
      <c r="I924" s="15"/>
    </row>
    <row r="925">
      <c r="A925" s="15"/>
      <c r="B925" s="15"/>
      <c r="C925" s="15"/>
      <c r="D925" s="63"/>
      <c r="E925" s="15"/>
      <c r="F925" s="15"/>
      <c r="G925" s="16"/>
      <c r="H925" s="15"/>
      <c r="I925" s="15"/>
    </row>
    <row r="926">
      <c r="A926" s="15"/>
      <c r="B926" s="15"/>
      <c r="C926" s="15"/>
      <c r="D926" s="63"/>
      <c r="E926" s="15"/>
      <c r="F926" s="15"/>
      <c r="G926" s="16"/>
      <c r="H926" s="15"/>
      <c r="I926" s="15"/>
    </row>
    <row r="927">
      <c r="A927" s="15"/>
      <c r="B927" s="15"/>
      <c r="C927" s="15"/>
      <c r="D927" s="63"/>
      <c r="E927" s="15"/>
      <c r="F927" s="15"/>
      <c r="G927" s="16"/>
      <c r="H927" s="15"/>
      <c r="I927" s="15"/>
    </row>
    <row r="928">
      <c r="A928" s="15"/>
      <c r="B928" s="15"/>
      <c r="C928" s="15"/>
      <c r="D928" s="63"/>
      <c r="E928" s="15"/>
      <c r="F928" s="15"/>
      <c r="G928" s="16"/>
      <c r="H928" s="15"/>
      <c r="I928" s="15"/>
    </row>
    <row r="929">
      <c r="A929" s="15"/>
      <c r="B929" s="15"/>
      <c r="C929" s="15"/>
      <c r="D929" s="63"/>
      <c r="E929" s="15"/>
      <c r="F929" s="15"/>
      <c r="G929" s="16"/>
      <c r="H929" s="15"/>
      <c r="I929" s="15"/>
    </row>
    <row r="930">
      <c r="A930" s="15"/>
      <c r="B930" s="15"/>
      <c r="C930" s="15"/>
      <c r="D930" s="63"/>
      <c r="E930" s="15"/>
      <c r="F930" s="15"/>
      <c r="G930" s="16"/>
      <c r="H930" s="15"/>
      <c r="I930" s="15"/>
    </row>
    <row r="931">
      <c r="A931" s="15"/>
      <c r="B931" s="15"/>
      <c r="C931" s="15"/>
      <c r="D931" s="63"/>
      <c r="E931" s="15"/>
      <c r="F931" s="15"/>
      <c r="G931" s="16"/>
      <c r="H931" s="15"/>
      <c r="I931" s="15"/>
    </row>
    <row r="932">
      <c r="A932" s="15"/>
      <c r="B932" s="15"/>
      <c r="C932" s="15"/>
      <c r="D932" s="63"/>
      <c r="E932" s="15"/>
      <c r="F932" s="15"/>
      <c r="G932" s="16"/>
      <c r="H932" s="15"/>
      <c r="I932" s="15"/>
    </row>
    <row r="933">
      <c r="A933" s="15"/>
      <c r="B933" s="15"/>
      <c r="C933" s="15"/>
      <c r="D933" s="63"/>
      <c r="E933" s="15"/>
      <c r="F933" s="15"/>
      <c r="G933" s="16"/>
      <c r="H933" s="15"/>
      <c r="I933" s="15"/>
    </row>
    <row r="934">
      <c r="A934" s="15"/>
      <c r="B934" s="15"/>
      <c r="C934" s="15"/>
      <c r="D934" s="63"/>
      <c r="E934" s="15"/>
      <c r="F934" s="15"/>
      <c r="G934" s="16"/>
      <c r="H934" s="15"/>
      <c r="I934" s="15"/>
    </row>
    <row r="935">
      <c r="A935" s="15"/>
      <c r="B935" s="15"/>
      <c r="C935" s="15"/>
      <c r="D935" s="63"/>
      <c r="E935" s="15"/>
      <c r="F935" s="15"/>
      <c r="G935" s="16"/>
      <c r="H935" s="15"/>
      <c r="I935" s="15"/>
    </row>
    <row r="936">
      <c r="A936" s="15"/>
      <c r="B936" s="15"/>
      <c r="C936" s="15"/>
      <c r="D936" s="63"/>
      <c r="E936" s="15"/>
      <c r="F936" s="15"/>
      <c r="G936" s="16"/>
      <c r="H936" s="15"/>
      <c r="I936" s="15"/>
    </row>
    <row r="937">
      <c r="A937" s="15"/>
      <c r="B937" s="15"/>
      <c r="C937" s="15"/>
      <c r="D937" s="63"/>
      <c r="E937" s="15"/>
      <c r="F937" s="15"/>
      <c r="G937" s="16"/>
      <c r="H937" s="15"/>
      <c r="I937" s="15"/>
    </row>
    <row r="938">
      <c r="A938" s="15"/>
      <c r="B938" s="15"/>
      <c r="C938" s="15"/>
      <c r="D938" s="63"/>
      <c r="E938" s="15"/>
      <c r="F938" s="15"/>
      <c r="G938" s="16"/>
      <c r="H938" s="15"/>
      <c r="I938" s="15"/>
    </row>
    <row r="939">
      <c r="A939" s="15"/>
      <c r="B939" s="15"/>
      <c r="C939" s="15"/>
      <c r="D939" s="63"/>
      <c r="E939" s="15"/>
      <c r="F939" s="15"/>
      <c r="G939" s="16"/>
      <c r="H939" s="15"/>
      <c r="I939" s="15"/>
    </row>
    <row r="940">
      <c r="A940" s="15"/>
      <c r="B940" s="15"/>
      <c r="C940" s="15"/>
      <c r="D940" s="63"/>
      <c r="E940" s="15"/>
      <c r="F940" s="15"/>
      <c r="G940" s="16"/>
      <c r="H940" s="15"/>
      <c r="I940" s="15"/>
    </row>
    <row r="941">
      <c r="A941" s="15"/>
      <c r="B941" s="15"/>
      <c r="C941" s="15"/>
      <c r="D941" s="63"/>
      <c r="E941" s="15"/>
      <c r="F941" s="15"/>
      <c r="G941" s="16"/>
      <c r="H941" s="15"/>
      <c r="I941" s="15"/>
    </row>
    <row r="942">
      <c r="A942" s="15"/>
      <c r="B942" s="15"/>
      <c r="C942" s="15"/>
      <c r="D942" s="63"/>
      <c r="E942" s="15"/>
      <c r="F942" s="15"/>
      <c r="G942" s="16"/>
      <c r="H942" s="15"/>
      <c r="I942" s="15"/>
    </row>
    <row r="943">
      <c r="A943" s="15"/>
      <c r="B943" s="15"/>
      <c r="C943" s="15"/>
      <c r="D943" s="63"/>
      <c r="E943" s="15"/>
      <c r="F943" s="15"/>
      <c r="G943" s="16"/>
      <c r="H943" s="15"/>
      <c r="I943" s="15"/>
    </row>
    <row r="944">
      <c r="A944" s="15"/>
      <c r="B944" s="15"/>
      <c r="C944" s="15"/>
      <c r="D944" s="63"/>
      <c r="E944" s="15"/>
      <c r="F944" s="15"/>
      <c r="G944" s="16"/>
      <c r="H944" s="15"/>
      <c r="I944" s="15"/>
    </row>
    <row r="945">
      <c r="A945" s="15"/>
      <c r="B945" s="15"/>
      <c r="C945" s="15"/>
      <c r="D945" s="63"/>
      <c r="E945" s="15"/>
      <c r="F945" s="15"/>
      <c r="G945" s="16"/>
      <c r="H945" s="15"/>
      <c r="I945" s="15"/>
    </row>
    <row r="946">
      <c r="A946" s="15"/>
      <c r="B946" s="15"/>
      <c r="C946" s="15"/>
      <c r="D946" s="63"/>
      <c r="E946" s="15"/>
      <c r="F946" s="15"/>
      <c r="G946" s="16"/>
      <c r="H946" s="15"/>
      <c r="I946" s="15"/>
    </row>
    <row r="947">
      <c r="A947" s="15"/>
      <c r="B947" s="15"/>
      <c r="C947" s="15"/>
      <c r="D947" s="63"/>
      <c r="E947" s="15"/>
      <c r="F947" s="15"/>
      <c r="G947" s="16"/>
      <c r="H947" s="15"/>
      <c r="I947" s="15"/>
    </row>
    <row r="948">
      <c r="A948" s="15"/>
      <c r="B948" s="15"/>
      <c r="C948" s="15"/>
      <c r="D948" s="63"/>
      <c r="E948" s="15"/>
      <c r="F948" s="15"/>
      <c r="G948" s="16"/>
      <c r="H948" s="15"/>
      <c r="I948" s="15"/>
    </row>
    <row r="949">
      <c r="A949" s="15"/>
      <c r="B949" s="15"/>
      <c r="C949" s="15"/>
      <c r="D949" s="63"/>
      <c r="E949" s="15"/>
      <c r="F949" s="15"/>
      <c r="G949" s="16"/>
      <c r="H949" s="15"/>
      <c r="I949" s="15"/>
    </row>
    <row r="950">
      <c r="A950" s="15"/>
      <c r="B950" s="15"/>
      <c r="C950" s="15"/>
      <c r="D950" s="63"/>
      <c r="E950" s="15"/>
      <c r="F950" s="15"/>
      <c r="G950" s="16"/>
      <c r="H950" s="15"/>
      <c r="I950" s="15"/>
    </row>
    <row r="951">
      <c r="A951" s="15"/>
      <c r="B951" s="15"/>
      <c r="C951" s="15"/>
      <c r="D951" s="63"/>
      <c r="E951" s="15"/>
      <c r="F951" s="15"/>
      <c r="G951" s="16"/>
      <c r="H951" s="15"/>
      <c r="I951" s="15"/>
    </row>
    <row r="952">
      <c r="A952" s="15"/>
      <c r="B952" s="15"/>
      <c r="C952" s="15"/>
      <c r="D952" s="63"/>
      <c r="E952" s="15"/>
      <c r="F952" s="15"/>
      <c r="G952" s="16"/>
      <c r="H952" s="15"/>
      <c r="I952" s="15"/>
    </row>
    <row r="953">
      <c r="A953" s="15"/>
      <c r="B953" s="15"/>
      <c r="C953" s="15"/>
      <c r="D953" s="63"/>
      <c r="E953" s="15"/>
      <c r="F953" s="15"/>
      <c r="G953" s="16"/>
      <c r="H953" s="15"/>
      <c r="I953" s="15"/>
    </row>
    <row r="954">
      <c r="A954" s="15"/>
      <c r="B954" s="15"/>
      <c r="C954" s="15"/>
      <c r="D954" s="63"/>
      <c r="E954" s="15"/>
      <c r="F954" s="15"/>
      <c r="G954" s="16"/>
      <c r="H954" s="15"/>
      <c r="I954" s="15"/>
    </row>
    <row r="955">
      <c r="A955" s="15"/>
      <c r="B955" s="15"/>
      <c r="C955" s="15"/>
      <c r="D955" s="63"/>
      <c r="E955" s="15"/>
      <c r="F955" s="15"/>
      <c r="G955" s="16"/>
      <c r="H955" s="15"/>
      <c r="I955" s="15"/>
    </row>
    <row r="956">
      <c r="A956" s="15"/>
      <c r="B956" s="15"/>
      <c r="C956" s="15"/>
      <c r="D956" s="63"/>
      <c r="E956" s="15"/>
      <c r="F956" s="15"/>
      <c r="G956" s="16"/>
      <c r="H956" s="15"/>
      <c r="I956" s="15"/>
    </row>
    <row r="957">
      <c r="A957" s="15"/>
      <c r="B957" s="15"/>
      <c r="C957" s="15"/>
      <c r="D957" s="63"/>
      <c r="E957" s="15"/>
      <c r="F957" s="15"/>
      <c r="G957" s="16"/>
      <c r="H957" s="15"/>
      <c r="I957" s="15"/>
    </row>
    <row r="958">
      <c r="A958" s="15"/>
      <c r="B958" s="15"/>
      <c r="C958" s="15"/>
      <c r="D958" s="63"/>
      <c r="E958" s="15"/>
      <c r="F958" s="15"/>
      <c r="G958" s="16"/>
      <c r="H958" s="15"/>
      <c r="I958" s="15"/>
    </row>
    <row r="959">
      <c r="A959" s="15"/>
      <c r="B959" s="15"/>
      <c r="C959" s="15"/>
      <c r="D959" s="63"/>
      <c r="E959" s="15"/>
      <c r="F959" s="15"/>
      <c r="G959" s="16"/>
      <c r="H959" s="15"/>
      <c r="I959" s="15"/>
    </row>
    <row r="960">
      <c r="A960" s="15"/>
      <c r="B960" s="15"/>
      <c r="C960" s="15"/>
      <c r="D960" s="63"/>
      <c r="E960" s="15"/>
      <c r="F960" s="15"/>
      <c r="G960" s="16"/>
      <c r="H960" s="15"/>
      <c r="I960" s="15"/>
    </row>
    <row r="961">
      <c r="A961" s="15"/>
      <c r="B961" s="15"/>
      <c r="C961" s="15"/>
      <c r="D961" s="63"/>
      <c r="E961" s="15"/>
      <c r="F961" s="15"/>
      <c r="G961" s="16"/>
      <c r="H961" s="15"/>
      <c r="I961" s="15"/>
    </row>
    <row r="962">
      <c r="A962" s="15"/>
      <c r="B962" s="15"/>
      <c r="C962" s="15"/>
      <c r="D962" s="63"/>
      <c r="E962" s="15"/>
      <c r="F962" s="15"/>
      <c r="G962" s="16"/>
      <c r="H962" s="15"/>
      <c r="I962" s="15"/>
    </row>
    <row r="963">
      <c r="A963" s="15"/>
      <c r="B963" s="15"/>
      <c r="C963" s="15"/>
      <c r="D963" s="63"/>
      <c r="E963" s="15"/>
      <c r="F963" s="15"/>
      <c r="G963" s="16"/>
      <c r="H963" s="15"/>
      <c r="I963" s="15"/>
    </row>
    <row r="964">
      <c r="A964" s="15"/>
      <c r="B964" s="15"/>
      <c r="C964" s="15"/>
      <c r="D964" s="63"/>
      <c r="E964" s="15"/>
      <c r="F964" s="15"/>
      <c r="G964" s="16"/>
      <c r="H964" s="15"/>
      <c r="I964" s="15"/>
    </row>
    <row r="965">
      <c r="A965" s="15"/>
      <c r="B965" s="15"/>
      <c r="C965" s="15"/>
      <c r="D965" s="63"/>
      <c r="E965" s="15"/>
      <c r="F965" s="15"/>
      <c r="G965" s="16"/>
      <c r="H965" s="15"/>
      <c r="I965" s="15"/>
    </row>
    <row r="966">
      <c r="A966" s="15"/>
      <c r="B966" s="15"/>
      <c r="C966" s="15"/>
      <c r="D966" s="63"/>
      <c r="E966" s="15"/>
      <c r="F966" s="15"/>
      <c r="G966" s="16"/>
      <c r="H966" s="15"/>
      <c r="I966" s="15"/>
    </row>
    <row r="967">
      <c r="A967" s="15"/>
      <c r="B967" s="15"/>
      <c r="C967" s="15"/>
      <c r="D967" s="63"/>
      <c r="E967" s="15"/>
      <c r="F967" s="15"/>
      <c r="G967" s="16"/>
      <c r="H967" s="15"/>
      <c r="I967" s="15"/>
    </row>
    <row r="968">
      <c r="A968" s="15"/>
      <c r="B968" s="15"/>
      <c r="C968" s="15"/>
      <c r="D968" s="63"/>
      <c r="E968" s="15"/>
      <c r="F968" s="15"/>
      <c r="G968" s="16"/>
      <c r="H968" s="15"/>
      <c r="I968" s="15"/>
    </row>
    <row r="969">
      <c r="A969" s="15"/>
      <c r="B969" s="15"/>
      <c r="C969" s="15"/>
      <c r="D969" s="63"/>
      <c r="E969" s="15"/>
      <c r="F969" s="15"/>
      <c r="G969" s="16"/>
      <c r="H969" s="15"/>
      <c r="I969" s="15"/>
    </row>
    <row r="970">
      <c r="A970" s="15"/>
      <c r="B970" s="15"/>
      <c r="C970" s="15"/>
      <c r="D970" s="63"/>
      <c r="E970" s="15"/>
      <c r="F970" s="15"/>
      <c r="G970" s="16"/>
      <c r="H970" s="15"/>
      <c r="I970" s="15"/>
    </row>
    <row r="971">
      <c r="A971" s="15"/>
      <c r="B971" s="15"/>
      <c r="C971" s="15"/>
      <c r="D971" s="63"/>
      <c r="E971" s="15"/>
      <c r="F971" s="15"/>
      <c r="G971" s="16"/>
      <c r="H971" s="15"/>
      <c r="I971" s="15"/>
    </row>
    <row r="972">
      <c r="A972" s="15"/>
      <c r="B972" s="15"/>
      <c r="C972" s="15"/>
      <c r="D972" s="63"/>
      <c r="E972" s="15"/>
      <c r="F972" s="15"/>
      <c r="G972" s="16"/>
      <c r="H972" s="15"/>
      <c r="I972" s="15"/>
    </row>
    <row r="973">
      <c r="A973" s="15"/>
      <c r="B973" s="15"/>
      <c r="C973" s="15"/>
      <c r="D973" s="63"/>
      <c r="E973" s="15"/>
      <c r="F973" s="15"/>
      <c r="G973" s="16"/>
      <c r="H973" s="15"/>
      <c r="I973" s="15"/>
    </row>
    <row r="974">
      <c r="A974" s="15"/>
      <c r="B974" s="15"/>
      <c r="C974" s="15"/>
      <c r="D974" s="63"/>
      <c r="E974" s="15"/>
      <c r="F974" s="15"/>
      <c r="G974" s="16"/>
      <c r="H974" s="15"/>
      <c r="I974" s="15"/>
    </row>
    <row r="975">
      <c r="A975" s="15"/>
      <c r="B975" s="15"/>
      <c r="C975" s="15"/>
      <c r="D975" s="63"/>
      <c r="E975" s="15"/>
      <c r="F975" s="15"/>
      <c r="G975" s="16"/>
      <c r="H975" s="15"/>
      <c r="I975" s="15"/>
    </row>
    <row r="976">
      <c r="A976" s="15"/>
      <c r="B976" s="15"/>
      <c r="C976" s="15"/>
      <c r="D976" s="63"/>
      <c r="E976" s="15"/>
      <c r="F976" s="15"/>
      <c r="G976" s="16"/>
      <c r="H976" s="15"/>
      <c r="I976" s="15"/>
    </row>
    <row r="977">
      <c r="A977" s="15"/>
      <c r="B977" s="15"/>
      <c r="C977" s="15"/>
      <c r="D977" s="63"/>
      <c r="E977" s="15"/>
      <c r="F977" s="15"/>
      <c r="G977" s="16"/>
      <c r="H977" s="15"/>
      <c r="I977" s="15"/>
    </row>
    <row r="978">
      <c r="A978" s="15"/>
      <c r="B978" s="15"/>
      <c r="C978" s="15"/>
      <c r="D978" s="63"/>
      <c r="E978" s="15"/>
      <c r="F978" s="15"/>
      <c r="G978" s="16"/>
      <c r="H978" s="15"/>
      <c r="I978" s="15"/>
    </row>
    <row r="979">
      <c r="A979" s="15"/>
      <c r="B979" s="15"/>
      <c r="C979" s="15"/>
      <c r="D979" s="63"/>
      <c r="E979" s="15"/>
      <c r="F979" s="15"/>
      <c r="G979" s="16"/>
      <c r="H979" s="15"/>
      <c r="I979" s="15"/>
    </row>
    <row r="980">
      <c r="A980" s="15"/>
      <c r="B980" s="15"/>
      <c r="C980" s="15"/>
      <c r="D980" s="63"/>
      <c r="E980" s="15"/>
      <c r="F980" s="15"/>
      <c r="G980" s="16"/>
      <c r="H980" s="15"/>
      <c r="I980" s="15"/>
    </row>
    <row r="981">
      <c r="A981" s="15"/>
      <c r="B981" s="15"/>
      <c r="C981" s="15"/>
      <c r="D981" s="63"/>
      <c r="E981" s="15"/>
      <c r="F981" s="15"/>
      <c r="G981" s="16"/>
      <c r="H981" s="15"/>
      <c r="I981" s="15"/>
    </row>
    <row r="982">
      <c r="A982" s="15"/>
      <c r="B982" s="15"/>
      <c r="C982" s="15"/>
      <c r="D982" s="63"/>
      <c r="E982" s="15"/>
      <c r="F982" s="15"/>
      <c r="G982" s="16"/>
      <c r="H982" s="15"/>
      <c r="I982" s="15"/>
    </row>
    <row r="983">
      <c r="A983" s="15"/>
      <c r="B983" s="15"/>
      <c r="C983" s="15"/>
      <c r="D983" s="63"/>
      <c r="E983" s="15"/>
      <c r="F983" s="15"/>
      <c r="G983" s="16"/>
      <c r="H983" s="15"/>
      <c r="I983" s="15"/>
    </row>
    <row r="984">
      <c r="A984" s="15"/>
      <c r="B984" s="15"/>
      <c r="C984" s="15"/>
      <c r="D984" s="63"/>
      <c r="E984" s="15"/>
      <c r="F984" s="15"/>
      <c r="G984" s="16"/>
      <c r="H984" s="15"/>
      <c r="I984" s="15"/>
    </row>
    <row r="985">
      <c r="A985" s="15"/>
      <c r="B985" s="15"/>
      <c r="C985" s="15"/>
      <c r="D985" s="63"/>
      <c r="E985" s="15"/>
      <c r="F985" s="15"/>
      <c r="G985" s="16"/>
      <c r="H985" s="15"/>
      <c r="I985" s="15"/>
    </row>
    <row r="986">
      <c r="A986" s="15"/>
      <c r="B986" s="15"/>
      <c r="C986" s="15"/>
      <c r="D986" s="63"/>
      <c r="E986" s="15"/>
      <c r="F986" s="15"/>
      <c r="G986" s="16"/>
      <c r="H986" s="15"/>
      <c r="I986" s="15"/>
    </row>
    <row r="987">
      <c r="A987" s="15"/>
      <c r="B987" s="15"/>
      <c r="C987" s="15"/>
      <c r="D987" s="63"/>
      <c r="E987" s="15"/>
      <c r="F987" s="15"/>
      <c r="G987" s="16"/>
      <c r="H987" s="15"/>
      <c r="I987" s="15"/>
    </row>
    <row r="988">
      <c r="A988" s="15"/>
      <c r="B988" s="15"/>
      <c r="C988" s="15"/>
      <c r="D988" s="63"/>
      <c r="E988" s="15"/>
      <c r="F988" s="15"/>
      <c r="G988" s="16"/>
      <c r="H988" s="15"/>
      <c r="I988" s="15"/>
    </row>
    <row r="989">
      <c r="A989" s="15"/>
      <c r="B989" s="15"/>
      <c r="C989" s="15"/>
      <c r="D989" s="63"/>
      <c r="E989" s="15"/>
      <c r="F989" s="15"/>
      <c r="G989" s="16"/>
      <c r="H989" s="15"/>
      <c r="I989" s="15"/>
    </row>
    <row r="990">
      <c r="A990" s="15"/>
      <c r="B990" s="15"/>
      <c r="C990" s="15"/>
      <c r="D990" s="63"/>
      <c r="E990" s="15"/>
      <c r="F990" s="15"/>
      <c r="G990" s="16"/>
      <c r="H990" s="15"/>
      <c r="I990" s="15"/>
    </row>
    <row r="991">
      <c r="A991" s="15"/>
      <c r="B991" s="15"/>
      <c r="C991" s="15"/>
      <c r="D991" s="63"/>
      <c r="E991" s="15"/>
      <c r="F991" s="15"/>
      <c r="G991" s="16"/>
      <c r="H991" s="15"/>
      <c r="I991" s="15"/>
    </row>
    <row r="992">
      <c r="A992" s="15"/>
      <c r="B992" s="15"/>
      <c r="C992" s="15"/>
      <c r="D992" s="63"/>
      <c r="E992" s="15"/>
      <c r="F992" s="15"/>
      <c r="G992" s="16"/>
      <c r="H992" s="15"/>
      <c r="I992" s="15"/>
    </row>
    <row r="993">
      <c r="A993" s="15"/>
      <c r="B993" s="15"/>
      <c r="C993" s="15"/>
      <c r="D993" s="63"/>
      <c r="E993" s="15"/>
      <c r="F993" s="15"/>
      <c r="G993" s="16"/>
      <c r="H993" s="15"/>
      <c r="I993" s="15"/>
    </row>
    <row r="994">
      <c r="A994" s="15"/>
      <c r="B994" s="15"/>
      <c r="C994" s="15"/>
      <c r="D994" s="63"/>
      <c r="E994" s="15"/>
      <c r="F994" s="15"/>
      <c r="G994" s="16"/>
      <c r="H994" s="15"/>
      <c r="I994" s="15"/>
    </row>
    <row r="995">
      <c r="A995" s="15"/>
      <c r="B995" s="15"/>
      <c r="C995" s="15"/>
      <c r="D995" s="63"/>
      <c r="E995" s="15"/>
      <c r="F995" s="15"/>
      <c r="G995" s="16"/>
      <c r="H995" s="15"/>
      <c r="I995" s="15"/>
    </row>
    <row r="996">
      <c r="A996" s="15"/>
      <c r="B996" s="15"/>
      <c r="C996" s="15"/>
      <c r="D996" s="63"/>
      <c r="E996" s="15"/>
      <c r="F996" s="15"/>
      <c r="G996" s="16"/>
      <c r="H996" s="15"/>
      <c r="I996" s="15"/>
    </row>
    <row r="997">
      <c r="A997" s="15"/>
      <c r="B997" s="15"/>
      <c r="C997" s="15"/>
      <c r="D997" s="63"/>
      <c r="E997" s="15"/>
      <c r="F997" s="15"/>
      <c r="G997" s="16"/>
      <c r="H997" s="15"/>
      <c r="I997" s="15"/>
    </row>
    <row r="998">
      <c r="A998" s="15"/>
      <c r="B998" s="15"/>
      <c r="C998" s="15"/>
      <c r="D998" s="63"/>
      <c r="E998" s="15"/>
      <c r="F998" s="15"/>
      <c r="G998" s="16"/>
      <c r="H998" s="15"/>
      <c r="I998" s="15"/>
    </row>
    <row r="999">
      <c r="A999" s="15"/>
      <c r="B999" s="15"/>
      <c r="C999" s="15"/>
      <c r="D999" s="63"/>
      <c r="E999" s="15"/>
      <c r="F999" s="15"/>
      <c r="G999" s="16"/>
      <c r="H999" s="15"/>
      <c r="I999" s="15"/>
    </row>
    <row r="1000">
      <c r="A1000" s="15"/>
      <c r="B1000" s="15"/>
      <c r="C1000" s="15"/>
      <c r="D1000" s="63"/>
      <c r="E1000" s="15"/>
      <c r="F1000" s="15"/>
      <c r="G1000" s="16"/>
      <c r="H1000" s="15"/>
      <c r="I1000" s="15"/>
    </row>
  </sheetData>
  <conditionalFormatting sqref="A2:I1000">
    <cfRule type="expression" dxfId="0" priority="1">
      <formula>ISEVEN(ROW())</formula>
    </cfRule>
  </conditionalFormatting>
  <dataValidations>
    <dataValidation type="list" allowBlank="1" showErrorMessage="1" sqref="I2:I83">
      <formula1>"No,Sí"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3.13"/>
    <col customWidth="1" min="5" max="5" width="26.0"/>
    <col customWidth="1" min="6" max="6" width="3.13"/>
  </cols>
  <sheetData>
    <row r="1">
      <c r="A1" s="18"/>
      <c r="B1" s="68" t="s">
        <v>72</v>
      </c>
      <c r="C1" s="4"/>
      <c r="D1" s="4"/>
      <c r="E1" s="4"/>
      <c r="F1" s="5"/>
      <c r="G1" s="20"/>
      <c r="H1" s="20"/>
      <c r="I1" s="20"/>
      <c r="J1" s="20"/>
      <c r="K1" s="69"/>
      <c r="L1" s="20"/>
      <c r="M1" s="20"/>
      <c r="N1" s="20"/>
      <c r="O1" s="20"/>
      <c r="P1" s="20"/>
      <c r="Q1" s="7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21"/>
      <c r="B2" s="71"/>
      <c r="C2" s="34"/>
      <c r="D2" s="34"/>
      <c r="E2" s="34"/>
      <c r="F2" s="72"/>
      <c r="G2" s="20"/>
      <c r="H2" s="73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>
      <c r="A3" s="26"/>
      <c r="B3" s="71"/>
      <c r="C3" s="28" t="s">
        <v>7</v>
      </c>
      <c r="E3" s="38"/>
      <c r="F3" s="32"/>
      <c r="G3" s="21"/>
      <c r="I3" s="26"/>
      <c r="J3" s="26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26"/>
      <c r="B4" s="71"/>
      <c r="C4" s="34"/>
      <c r="D4" s="34"/>
      <c r="E4" s="35"/>
      <c r="F4" s="32"/>
      <c r="G4" s="26"/>
      <c r="H4" s="74"/>
      <c r="I4" s="26"/>
      <c r="J4" s="26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>
      <c r="A5" s="26"/>
      <c r="B5" s="71"/>
      <c r="C5" s="28" t="s">
        <v>9</v>
      </c>
      <c r="E5" s="43"/>
      <c r="F5" s="32"/>
      <c r="G5" s="21"/>
      <c r="I5" s="26"/>
      <c r="J5" s="26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>
      <c r="A6" s="21"/>
      <c r="B6" s="71"/>
      <c r="C6" s="34"/>
      <c r="D6" s="34"/>
      <c r="E6" s="35"/>
      <c r="F6" s="32"/>
      <c r="G6" s="26"/>
      <c r="H6" s="74"/>
      <c r="I6" s="26"/>
      <c r="J6" s="26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26"/>
      <c r="B7" s="71"/>
      <c r="C7" s="28" t="s">
        <v>73</v>
      </c>
      <c r="E7" s="43"/>
      <c r="F7" s="32"/>
      <c r="G7" s="75"/>
      <c r="H7" s="74"/>
      <c r="I7" s="26"/>
      <c r="J7" s="26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>
      <c r="A8" s="26"/>
      <c r="B8" s="71"/>
      <c r="C8" s="34"/>
      <c r="D8" s="34"/>
      <c r="E8" s="38"/>
      <c r="F8" s="32"/>
      <c r="G8" s="26"/>
      <c r="H8" s="74"/>
      <c r="I8" s="26"/>
      <c r="J8" s="26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>
      <c r="A9" s="21"/>
      <c r="B9" s="71"/>
      <c r="C9" s="28" t="s">
        <v>74</v>
      </c>
      <c r="E9" s="43"/>
      <c r="F9" s="32"/>
      <c r="G9" s="26"/>
      <c r="H9" s="74"/>
      <c r="I9" s="26"/>
      <c r="J9" s="26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>
      <c r="A10" s="26"/>
      <c r="B10" s="71"/>
      <c r="C10" s="34"/>
      <c r="D10" s="34"/>
      <c r="E10" s="38"/>
      <c r="F10" s="32"/>
      <c r="G10" s="26"/>
      <c r="H10" s="74"/>
      <c r="I10" s="26"/>
      <c r="J10" s="26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26"/>
      <c r="B11" s="71"/>
      <c r="C11" s="28" t="s">
        <v>75</v>
      </c>
      <c r="E11" s="76"/>
      <c r="F11" s="32"/>
      <c r="G11" s="26"/>
      <c r="H11" s="74"/>
      <c r="I11" s="26"/>
      <c r="J11" s="26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>
      <c r="A12" s="26"/>
      <c r="B12" s="71"/>
      <c r="C12" s="34"/>
      <c r="D12" s="34"/>
      <c r="E12" s="38"/>
      <c r="F12" s="32"/>
      <c r="G12" s="26"/>
      <c r="H12" s="74"/>
      <c r="I12" s="26"/>
      <c r="J12" s="26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>
      <c r="A13" s="26"/>
      <c r="B13" s="71"/>
      <c r="C13" s="28" t="s">
        <v>76</v>
      </c>
      <c r="E13" s="38"/>
      <c r="F13" s="32"/>
      <c r="G13" s="26"/>
      <c r="H13" s="74"/>
      <c r="I13" s="26"/>
      <c r="J13" s="26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>
      <c r="A14" s="26"/>
      <c r="B14" s="77"/>
      <c r="C14" s="34"/>
      <c r="D14" s="34"/>
      <c r="E14" s="38"/>
      <c r="F14" s="32"/>
      <c r="G14" s="26"/>
      <c r="H14" s="74"/>
      <c r="I14" s="26"/>
      <c r="J14" s="26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26"/>
      <c r="B15" s="71"/>
      <c r="C15" s="28" t="s">
        <v>77</v>
      </c>
      <c r="E15" s="38"/>
      <c r="F15" s="32"/>
      <c r="G15" s="26"/>
      <c r="H15" s="74"/>
      <c r="I15" s="26"/>
      <c r="J15" s="26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26"/>
      <c r="B16" s="77"/>
      <c r="C16" s="34"/>
      <c r="D16" s="34"/>
      <c r="E16" s="35"/>
      <c r="F16" s="32"/>
      <c r="G16" s="74"/>
      <c r="H16" s="74"/>
      <c r="I16" s="26"/>
      <c r="J16" s="26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26"/>
      <c r="B17" s="71"/>
      <c r="C17" s="28" t="s">
        <v>78</v>
      </c>
      <c r="E17" s="38"/>
      <c r="F17" s="32"/>
      <c r="G17" s="26"/>
      <c r="H17" s="74"/>
      <c r="I17" s="26"/>
      <c r="J17" s="26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26"/>
      <c r="B18" s="77"/>
      <c r="C18" s="34"/>
      <c r="D18" s="34"/>
      <c r="E18" s="35"/>
      <c r="F18" s="72"/>
      <c r="G18" s="20"/>
      <c r="H18" s="73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>
      <c r="A19" s="26"/>
      <c r="B19" s="77"/>
      <c r="C19" s="28" t="s">
        <v>26</v>
      </c>
      <c r="E19" s="78"/>
      <c r="F19" s="72"/>
      <c r="G19" s="20"/>
      <c r="H19" s="73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>
      <c r="A20" s="26"/>
      <c r="B20" s="77"/>
      <c r="C20" s="34"/>
      <c r="D20" s="34"/>
      <c r="E20" s="34"/>
      <c r="F20" s="72"/>
      <c r="G20" s="20"/>
      <c r="H20" s="73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26"/>
      <c r="B21" s="77"/>
      <c r="C21" s="34"/>
      <c r="D21" s="34"/>
      <c r="E21" s="34"/>
      <c r="F21" s="72"/>
      <c r="G21" s="20"/>
      <c r="H21" s="73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A22" s="20"/>
      <c r="B22" s="77"/>
      <c r="C22" s="34"/>
      <c r="D22" s="34"/>
      <c r="E22" s="34"/>
      <c r="F22" s="72"/>
      <c r="G22" s="20"/>
      <c r="H22" s="73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>
      <c r="A23" s="20"/>
      <c r="B23" s="79"/>
      <c r="C23" s="58"/>
      <c r="D23" s="58"/>
      <c r="E23" s="58"/>
      <c r="F23" s="80"/>
      <c r="G23" s="20"/>
      <c r="H23" s="73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A24" s="20"/>
      <c r="B24" s="34"/>
      <c r="C24" s="34"/>
      <c r="D24" s="34"/>
      <c r="E24" s="34"/>
      <c r="F24" s="34"/>
      <c r="G24" s="20"/>
      <c r="H24" s="73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20"/>
      <c r="B25" s="34"/>
      <c r="C25" s="34"/>
      <c r="D25" s="34"/>
      <c r="E25" s="34"/>
      <c r="F25" s="34"/>
      <c r="G25" s="20"/>
      <c r="H25" s="73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>
      <c r="A26" s="20"/>
      <c r="B26" s="34"/>
      <c r="C26" s="34"/>
      <c r="D26" s="34"/>
      <c r="E26" s="34"/>
      <c r="F26" s="34"/>
      <c r="G26" s="20"/>
      <c r="H26" s="73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>
      <c r="A27" s="20"/>
      <c r="B27" s="34"/>
      <c r="C27" s="34"/>
      <c r="D27" s="34"/>
      <c r="E27" s="34"/>
      <c r="F27" s="34"/>
      <c r="G27" s="20"/>
      <c r="H27" s="73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>
      <c r="A28" s="20"/>
      <c r="B28" s="34"/>
      <c r="C28" s="34"/>
      <c r="D28" s="34"/>
      <c r="E28" s="34"/>
      <c r="F28" s="34"/>
      <c r="G28" s="20"/>
      <c r="H28" s="73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>
      <c r="A29" s="20"/>
      <c r="B29" s="34"/>
      <c r="C29" s="34"/>
      <c r="D29" s="34"/>
      <c r="E29" s="34"/>
      <c r="F29" s="34"/>
      <c r="G29" s="20"/>
      <c r="H29" s="73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A30" s="20"/>
      <c r="B30" s="34"/>
      <c r="C30" s="34"/>
      <c r="D30" s="34"/>
      <c r="E30" s="34"/>
      <c r="F30" s="34"/>
      <c r="G30" s="20"/>
      <c r="H30" s="73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>
      <c r="A31" s="20"/>
      <c r="B31" s="34"/>
      <c r="C31" s="34"/>
      <c r="D31" s="34"/>
      <c r="E31" s="34"/>
      <c r="F31" s="34"/>
      <c r="G31" s="20"/>
      <c r="H31" s="73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A32" s="20"/>
      <c r="B32" s="34"/>
      <c r="C32" s="34"/>
      <c r="D32" s="34"/>
      <c r="E32" s="34"/>
      <c r="F32" s="34"/>
      <c r="G32" s="20"/>
      <c r="H32" s="7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>
      <c r="A33" s="20"/>
      <c r="B33" s="34"/>
      <c r="C33" s="34"/>
      <c r="D33" s="34"/>
      <c r="E33" s="34"/>
      <c r="F33" s="34"/>
      <c r="G33" s="20"/>
      <c r="H33" s="73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>
      <c r="A34" s="20"/>
      <c r="B34" s="34"/>
      <c r="C34" s="34"/>
      <c r="D34" s="34"/>
      <c r="E34" s="34"/>
      <c r="F34" s="34"/>
      <c r="G34" s="20"/>
      <c r="H34" s="73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>
      <c r="A35" s="20"/>
      <c r="B35" s="34"/>
      <c r="C35" s="34"/>
      <c r="D35" s="34"/>
      <c r="E35" s="34"/>
      <c r="F35" s="34"/>
      <c r="G35" s="20"/>
      <c r="H35" s="73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A36" s="20"/>
      <c r="B36" s="34"/>
      <c r="C36" s="34"/>
      <c r="D36" s="34"/>
      <c r="E36" s="34"/>
      <c r="F36" s="34"/>
      <c r="G36" s="20"/>
      <c r="H36" s="73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A37" s="20"/>
      <c r="B37" s="34"/>
      <c r="C37" s="34"/>
      <c r="D37" s="34"/>
      <c r="E37" s="34"/>
      <c r="F37" s="34"/>
      <c r="G37" s="20"/>
      <c r="H37" s="73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20"/>
      <c r="B38" s="34"/>
      <c r="C38" s="34"/>
      <c r="D38" s="34"/>
      <c r="E38" s="34"/>
      <c r="F38" s="34"/>
      <c r="G38" s="20"/>
      <c r="H38" s="73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20"/>
      <c r="B39" s="34"/>
      <c r="C39" s="34"/>
      <c r="D39" s="34"/>
      <c r="E39" s="34"/>
      <c r="F39" s="34"/>
      <c r="G39" s="20"/>
      <c r="H39" s="73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A40" s="20"/>
      <c r="B40" s="34"/>
      <c r="C40" s="34"/>
      <c r="D40" s="34"/>
      <c r="E40" s="34"/>
      <c r="F40" s="34"/>
      <c r="G40" s="20"/>
      <c r="H40" s="7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A41" s="20"/>
      <c r="B41" s="34"/>
      <c r="C41" s="34"/>
      <c r="D41" s="34"/>
      <c r="E41" s="34"/>
      <c r="F41" s="34"/>
      <c r="G41" s="20"/>
      <c r="H41" s="73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>
      <c r="A42" s="20"/>
      <c r="B42" s="34"/>
      <c r="C42" s="34"/>
      <c r="D42" s="34"/>
      <c r="E42" s="34"/>
      <c r="F42" s="34"/>
      <c r="G42" s="20"/>
      <c r="H42" s="73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>
      <c r="A43" s="20"/>
      <c r="B43" s="34"/>
      <c r="C43" s="34"/>
      <c r="D43" s="34"/>
      <c r="E43" s="34"/>
      <c r="F43" s="34"/>
      <c r="G43" s="20"/>
      <c r="H43" s="73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20"/>
      <c r="B44" s="34"/>
      <c r="C44" s="34"/>
      <c r="D44" s="34"/>
      <c r="E44" s="34"/>
      <c r="F44" s="34"/>
      <c r="G44" s="20"/>
      <c r="H44" s="73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20"/>
      <c r="B45" s="34"/>
      <c r="C45" s="34"/>
      <c r="D45" s="34"/>
      <c r="E45" s="34"/>
      <c r="F45" s="34"/>
      <c r="G45" s="20"/>
      <c r="H45" s="73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20"/>
      <c r="B46" s="34"/>
      <c r="C46" s="34"/>
      <c r="D46" s="34"/>
      <c r="E46" s="34"/>
      <c r="F46" s="34"/>
      <c r="G46" s="20"/>
      <c r="H46" s="73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A47" s="20"/>
      <c r="B47" s="34"/>
      <c r="C47" s="34"/>
      <c r="D47" s="34"/>
      <c r="E47" s="34"/>
      <c r="F47" s="34"/>
      <c r="G47" s="20"/>
      <c r="H47" s="73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20"/>
      <c r="B48" s="34"/>
      <c r="C48" s="34"/>
      <c r="D48" s="34"/>
      <c r="E48" s="34"/>
      <c r="F48" s="34"/>
      <c r="G48" s="20"/>
      <c r="H48" s="73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20"/>
      <c r="B49" s="34"/>
      <c r="C49" s="34"/>
      <c r="D49" s="34"/>
      <c r="E49" s="34"/>
      <c r="F49" s="34"/>
      <c r="G49" s="20"/>
      <c r="H49" s="73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20"/>
      <c r="B50" s="34"/>
      <c r="C50" s="34"/>
      <c r="D50" s="34"/>
      <c r="E50" s="34"/>
      <c r="F50" s="34"/>
      <c r="G50" s="20"/>
      <c r="H50" s="73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20"/>
      <c r="B51" s="34"/>
      <c r="C51" s="34"/>
      <c r="D51" s="34"/>
      <c r="E51" s="34"/>
      <c r="F51" s="34"/>
      <c r="G51" s="20"/>
      <c r="H51" s="73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20"/>
      <c r="B52" s="34"/>
      <c r="C52" s="34"/>
      <c r="D52" s="34"/>
      <c r="E52" s="34"/>
      <c r="F52" s="34"/>
      <c r="G52" s="20"/>
      <c r="H52" s="73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20"/>
      <c r="B53" s="34"/>
      <c r="C53" s="34"/>
      <c r="D53" s="34"/>
      <c r="E53" s="34"/>
      <c r="F53" s="34"/>
      <c r="G53" s="20"/>
      <c r="H53" s="73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>
      <c r="A54" s="20"/>
      <c r="B54" s="34"/>
      <c r="C54" s="34"/>
      <c r="D54" s="34"/>
      <c r="E54" s="34"/>
      <c r="F54" s="34"/>
      <c r="G54" s="20"/>
      <c r="H54" s="73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>
      <c r="A55" s="20"/>
      <c r="B55" s="34"/>
      <c r="C55" s="34"/>
      <c r="D55" s="34"/>
      <c r="E55" s="34"/>
      <c r="F55" s="34"/>
      <c r="G55" s="20"/>
      <c r="H55" s="73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20"/>
      <c r="B56" s="34"/>
      <c r="C56" s="34"/>
      <c r="D56" s="34"/>
      <c r="E56" s="34"/>
      <c r="F56" s="34"/>
      <c r="G56" s="20"/>
      <c r="H56" s="73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20"/>
      <c r="B57" s="34"/>
      <c r="C57" s="34"/>
      <c r="D57" s="34"/>
      <c r="E57" s="34"/>
      <c r="F57" s="34"/>
      <c r="G57" s="20"/>
      <c r="H57" s="73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20"/>
      <c r="B58" s="34"/>
      <c r="C58" s="34"/>
      <c r="D58" s="34"/>
      <c r="E58" s="34"/>
      <c r="F58" s="34"/>
      <c r="G58" s="20"/>
      <c r="H58" s="73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A59" s="20"/>
      <c r="B59" s="34"/>
      <c r="C59" s="34"/>
      <c r="D59" s="34"/>
      <c r="E59" s="34"/>
      <c r="F59" s="34"/>
      <c r="G59" s="20"/>
      <c r="H59" s="73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20"/>
      <c r="B60" s="34"/>
      <c r="C60" s="34"/>
      <c r="D60" s="34"/>
      <c r="E60" s="34"/>
      <c r="F60" s="34"/>
      <c r="G60" s="20"/>
      <c r="H60" s="73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20"/>
      <c r="B61" s="34"/>
      <c r="C61" s="34"/>
      <c r="D61" s="34"/>
      <c r="E61" s="34"/>
      <c r="F61" s="34"/>
      <c r="G61" s="20"/>
      <c r="H61" s="73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20"/>
      <c r="B62" s="34"/>
      <c r="C62" s="34"/>
      <c r="D62" s="34"/>
      <c r="E62" s="34"/>
      <c r="F62" s="34"/>
      <c r="G62" s="20"/>
      <c r="H62" s="73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20"/>
      <c r="B63" s="34"/>
      <c r="C63" s="34"/>
      <c r="D63" s="34"/>
      <c r="E63" s="34"/>
      <c r="F63" s="34"/>
      <c r="G63" s="20"/>
      <c r="H63" s="73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20"/>
      <c r="B64" s="34"/>
      <c r="C64" s="34"/>
      <c r="D64" s="34"/>
      <c r="E64" s="34"/>
      <c r="F64" s="34"/>
      <c r="G64" s="20"/>
      <c r="H64" s="73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20"/>
      <c r="B65" s="34"/>
      <c r="C65" s="34"/>
      <c r="D65" s="34"/>
      <c r="E65" s="34"/>
      <c r="F65" s="34"/>
      <c r="G65" s="20"/>
      <c r="H65" s="73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20"/>
      <c r="B66" s="34"/>
      <c r="C66" s="34"/>
      <c r="D66" s="34"/>
      <c r="E66" s="34"/>
      <c r="F66" s="34"/>
      <c r="G66" s="20"/>
      <c r="H66" s="73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20"/>
      <c r="B67" s="34"/>
      <c r="C67" s="34"/>
      <c r="D67" s="34"/>
      <c r="E67" s="34"/>
      <c r="F67" s="34"/>
      <c r="G67" s="20"/>
      <c r="H67" s="73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20"/>
      <c r="B68" s="34"/>
      <c r="C68" s="34"/>
      <c r="D68" s="34"/>
      <c r="E68" s="34"/>
      <c r="F68" s="34"/>
      <c r="G68" s="20"/>
      <c r="H68" s="73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A69" s="20"/>
      <c r="B69" s="34"/>
      <c r="C69" s="34"/>
      <c r="D69" s="34"/>
      <c r="E69" s="34"/>
      <c r="F69" s="34"/>
      <c r="G69" s="20"/>
      <c r="H69" s="73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20"/>
      <c r="B70" s="34"/>
      <c r="C70" s="34"/>
      <c r="D70" s="34"/>
      <c r="E70" s="34"/>
      <c r="F70" s="34"/>
      <c r="G70" s="20"/>
      <c r="H70" s="73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20"/>
      <c r="B71" s="34"/>
      <c r="C71" s="34"/>
      <c r="D71" s="34"/>
      <c r="E71" s="34"/>
      <c r="F71" s="34"/>
      <c r="G71" s="20"/>
      <c r="H71" s="73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A72" s="20"/>
      <c r="B72" s="34"/>
      <c r="C72" s="34"/>
      <c r="D72" s="34"/>
      <c r="E72" s="34"/>
      <c r="F72" s="34"/>
      <c r="G72" s="20"/>
      <c r="H72" s="73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A73" s="20"/>
      <c r="B73" s="34"/>
      <c r="C73" s="34"/>
      <c r="D73" s="34"/>
      <c r="E73" s="34"/>
      <c r="F73" s="34"/>
      <c r="G73" s="20"/>
      <c r="H73" s="73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20"/>
      <c r="B74" s="34"/>
      <c r="C74" s="34"/>
      <c r="D74" s="34"/>
      <c r="E74" s="34"/>
      <c r="F74" s="34"/>
      <c r="G74" s="20"/>
      <c r="H74" s="73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>
      <c r="A75" s="20"/>
      <c r="B75" s="34"/>
      <c r="C75" s="34"/>
      <c r="D75" s="34"/>
      <c r="E75" s="34"/>
      <c r="F75" s="34"/>
      <c r="G75" s="20"/>
      <c r="H75" s="73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20"/>
      <c r="B76" s="34"/>
      <c r="C76" s="34"/>
      <c r="D76" s="34"/>
      <c r="E76" s="34"/>
      <c r="F76" s="34"/>
      <c r="G76" s="20"/>
      <c r="H76" s="73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20"/>
      <c r="B77" s="34"/>
      <c r="C77" s="34"/>
      <c r="D77" s="34"/>
      <c r="E77" s="34"/>
      <c r="F77" s="34"/>
      <c r="G77" s="20"/>
      <c r="H77" s="73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>
      <c r="A78" s="20"/>
      <c r="B78" s="34"/>
      <c r="C78" s="34"/>
      <c r="D78" s="34"/>
      <c r="E78" s="34"/>
      <c r="F78" s="34"/>
      <c r="G78" s="20"/>
      <c r="H78" s="73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>
      <c r="A79" s="20"/>
      <c r="B79" s="34"/>
      <c r="C79" s="34"/>
      <c r="D79" s="34"/>
      <c r="E79" s="34"/>
      <c r="F79" s="34"/>
      <c r="G79" s="20"/>
      <c r="H79" s="73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20"/>
      <c r="B80" s="34"/>
      <c r="C80" s="34"/>
      <c r="D80" s="34"/>
      <c r="E80" s="34"/>
      <c r="F80" s="34"/>
      <c r="G80" s="20"/>
      <c r="H80" s="73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20"/>
      <c r="B81" s="34"/>
      <c r="C81" s="34"/>
      <c r="D81" s="34"/>
      <c r="E81" s="34"/>
      <c r="F81" s="34"/>
      <c r="G81" s="20"/>
      <c r="H81" s="73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20"/>
      <c r="B82" s="34"/>
      <c r="C82" s="34"/>
      <c r="D82" s="34"/>
      <c r="E82" s="34"/>
      <c r="F82" s="34"/>
      <c r="G82" s="20"/>
      <c r="H82" s="73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20"/>
      <c r="B83" s="34"/>
      <c r="C83" s="34"/>
      <c r="D83" s="34"/>
      <c r="E83" s="34"/>
      <c r="F83" s="34"/>
      <c r="G83" s="20"/>
      <c r="H83" s="73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20"/>
      <c r="B84" s="34"/>
      <c r="C84" s="34"/>
      <c r="D84" s="34"/>
      <c r="E84" s="34"/>
      <c r="F84" s="34"/>
      <c r="G84" s="20"/>
      <c r="H84" s="73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20"/>
      <c r="B85" s="34"/>
      <c r="C85" s="34"/>
      <c r="D85" s="34"/>
      <c r="E85" s="34"/>
      <c r="F85" s="34"/>
      <c r="G85" s="20"/>
      <c r="H85" s="73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20"/>
      <c r="B86" s="34"/>
      <c r="C86" s="34"/>
      <c r="D86" s="34"/>
      <c r="E86" s="34"/>
      <c r="F86" s="34"/>
      <c r="G86" s="20"/>
      <c r="H86" s="73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20"/>
      <c r="B87" s="34"/>
      <c r="C87" s="34"/>
      <c r="D87" s="34"/>
      <c r="E87" s="34"/>
      <c r="F87" s="34"/>
      <c r="G87" s="20"/>
      <c r="H87" s="73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20"/>
      <c r="B88" s="34"/>
      <c r="C88" s="34"/>
      <c r="D88" s="34"/>
      <c r="E88" s="34"/>
      <c r="F88" s="34"/>
      <c r="G88" s="20"/>
      <c r="H88" s="73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A89" s="20"/>
      <c r="B89" s="34"/>
      <c r="C89" s="34"/>
      <c r="D89" s="34"/>
      <c r="E89" s="34"/>
      <c r="F89" s="34"/>
      <c r="G89" s="20"/>
      <c r="H89" s="73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20"/>
      <c r="B90" s="34"/>
      <c r="C90" s="34"/>
      <c r="D90" s="34"/>
      <c r="E90" s="34"/>
      <c r="F90" s="34"/>
      <c r="G90" s="20"/>
      <c r="H90" s="73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20"/>
      <c r="B91" s="34"/>
      <c r="C91" s="34"/>
      <c r="D91" s="34"/>
      <c r="E91" s="34"/>
      <c r="F91" s="34"/>
      <c r="G91" s="20"/>
      <c r="H91" s="73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20"/>
      <c r="B92" s="34"/>
      <c r="C92" s="34"/>
      <c r="D92" s="34"/>
      <c r="E92" s="34"/>
      <c r="F92" s="34"/>
      <c r="G92" s="20"/>
      <c r="H92" s="73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A93" s="20"/>
      <c r="B93" s="34"/>
      <c r="C93" s="34"/>
      <c r="D93" s="34"/>
      <c r="E93" s="34"/>
      <c r="F93" s="34"/>
      <c r="G93" s="20"/>
      <c r="H93" s="73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20"/>
      <c r="B94" s="34"/>
      <c r="C94" s="34"/>
      <c r="D94" s="34"/>
      <c r="E94" s="34"/>
      <c r="F94" s="34"/>
      <c r="G94" s="20"/>
      <c r="H94" s="73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20"/>
      <c r="B95" s="34"/>
      <c r="C95" s="34"/>
      <c r="D95" s="34"/>
      <c r="E95" s="34"/>
      <c r="F95" s="34"/>
      <c r="G95" s="20"/>
      <c r="H95" s="73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20"/>
      <c r="B96" s="34"/>
      <c r="C96" s="34"/>
      <c r="D96" s="34"/>
      <c r="E96" s="34"/>
      <c r="F96" s="34"/>
      <c r="G96" s="20"/>
      <c r="H96" s="73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20"/>
      <c r="B97" s="34"/>
      <c r="C97" s="34"/>
      <c r="D97" s="34"/>
      <c r="E97" s="34"/>
      <c r="F97" s="34"/>
      <c r="G97" s="20"/>
      <c r="H97" s="73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20"/>
      <c r="B98" s="34"/>
      <c r="C98" s="34"/>
      <c r="D98" s="34"/>
      <c r="E98" s="34"/>
      <c r="F98" s="34"/>
      <c r="G98" s="20"/>
      <c r="H98" s="73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>
      <c r="A99" s="20"/>
      <c r="B99" s="34"/>
      <c r="C99" s="34"/>
      <c r="D99" s="34"/>
      <c r="E99" s="34"/>
      <c r="F99" s="34"/>
      <c r="G99" s="20"/>
      <c r="H99" s="73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20"/>
      <c r="B100" s="34"/>
      <c r="C100" s="34"/>
      <c r="D100" s="34"/>
      <c r="E100" s="34"/>
      <c r="F100" s="34"/>
      <c r="G100" s="20"/>
      <c r="H100" s="73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>
      <c r="A101" s="20"/>
      <c r="B101" s="34"/>
      <c r="C101" s="34"/>
      <c r="D101" s="34"/>
      <c r="E101" s="34"/>
      <c r="F101" s="34"/>
      <c r="G101" s="20"/>
      <c r="H101" s="73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20"/>
      <c r="B102" s="34"/>
      <c r="C102" s="34"/>
      <c r="D102" s="34"/>
      <c r="E102" s="34"/>
      <c r="F102" s="34"/>
      <c r="G102" s="20"/>
      <c r="H102" s="73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>
      <c r="A103" s="20"/>
      <c r="B103" s="34"/>
      <c r="C103" s="34"/>
      <c r="D103" s="34"/>
      <c r="E103" s="34"/>
      <c r="F103" s="34"/>
      <c r="G103" s="20"/>
      <c r="H103" s="73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20"/>
      <c r="B104" s="34"/>
      <c r="C104" s="34"/>
      <c r="D104" s="34"/>
      <c r="E104" s="34"/>
      <c r="F104" s="34"/>
      <c r="G104" s="20"/>
      <c r="H104" s="73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20"/>
      <c r="B105" s="34"/>
      <c r="C105" s="34"/>
      <c r="D105" s="34"/>
      <c r="E105" s="34"/>
      <c r="F105" s="34"/>
      <c r="G105" s="20"/>
      <c r="H105" s="73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20"/>
      <c r="B106" s="34"/>
      <c r="C106" s="34"/>
      <c r="D106" s="34"/>
      <c r="E106" s="34"/>
      <c r="F106" s="34"/>
      <c r="G106" s="20"/>
      <c r="H106" s="73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20"/>
      <c r="B107" s="34"/>
      <c r="C107" s="34"/>
      <c r="D107" s="34"/>
      <c r="E107" s="34"/>
      <c r="F107" s="34"/>
      <c r="G107" s="20"/>
      <c r="H107" s="73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20"/>
      <c r="B108" s="34"/>
      <c r="C108" s="34"/>
      <c r="D108" s="34"/>
      <c r="E108" s="34"/>
      <c r="F108" s="34"/>
      <c r="G108" s="20"/>
      <c r="H108" s="73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20"/>
      <c r="B109" s="34"/>
      <c r="C109" s="34"/>
      <c r="D109" s="34"/>
      <c r="E109" s="34"/>
      <c r="F109" s="34"/>
      <c r="G109" s="20"/>
      <c r="H109" s="73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20"/>
      <c r="B110" s="34"/>
      <c r="C110" s="34"/>
      <c r="D110" s="34"/>
      <c r="E110" s="34"/>
      <c r="F110" s="34"/>
      <c r="G110" s="20"/>
      <c r="H110" s="73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20"/>
      <c r="B111" s="34"/>
      <c r="C111" s="34"/>
      <c r="D111" s="34"/>
      <c r="E111" s="34"/>
      <c r="F111" s="34"/>
      <c r="G111" s="20"/>
      <c r="H111" s="73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20"/>
      <c r="B112" s="34"/>
      <c r="C112" s="34"/>
      <c r="D112" s="34"/>
      <c r="E112" s="34"/>
      <c r="F112" s="34"/>
      <c r="G112" s="20"/>
      <c r="H112" s="73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34"/>
      <c r="C113" s="34"/>
      <c r="D113" s="34"/>
      <c r="E113" s="34"/>
      <c r="F113" s="34"/>
      <c r="G113" s="20"/>
      <c r="H113" s="73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34"/>
      <c r="C114" s="34"/>
      <c r="D114" s="34"/>
      <c r="E114" s="34"/>
      <c r="F114" s="34"/>
      <c r="G114" s="20"/>
      <c r="H114" s="73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34"/>
      <c r="C115" s="34"/>
      <c r="D115" s="34"/>
      <c r="E115" s="34"/>
      <c r="F115" s="34"/>
      <c r="G115" s="20"/>
      <c r="H115" s="73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34"/>
      <c r="C116" s="34"/>
      <c r="D116" s="34"/>
      <c r="E116" s="34"/>
      <c r="F116" s="34"/>
      <c r="G116" s="20"/>
      <c r="H116" s="73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20"/>
      <c r="B117" s="34"/>
      <c r="C117" s="34"/>
      <c r="D117" s="34"/>
      <c r="E117" s="34"/>
      <c r="F117" s="34"/>
      <c r="G117" s="20"/>
      <c r="H117" s="73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34"/>
      <c r="C118" s="34"/>
      <c r="D118" s="34"/>
      <c r="E118" s="34"/>
      <c r="F118" s="34"/>
      <c r="G118" s="20"/>
      <c r="H118" s="73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34"/>
      <c r="C119" s="34"/>
      <c r="D119" s="34"/>
      <c r="E119" s="34"/>
      <c r="F119" s="34"/>
      <c r="G119" s="20"/>
      <c r="H119" s="73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34"/>
      <c r="C120" s="34"/>
      <c r="D120" s="34"/>
      <c r="E120" s="34"/>
      <c r="F120" s="34"/>
      <c r="G120" s="20"/>
      <c r="H120" s="73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34"/>
      <c r="C121" s="34"/>
      <c r="D121" s="34"/>
      <c r="E121" s="34"/>
      <c r="F121" s="34"/>
      <c r="G121" s="20"/>
      <c r="H121" s="73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20"/>
      <c r="B122" s="34"/>
      <c r="C122" s="34"/>
      <c r="D122" s="34"/>
      <c r="E122" s="34"/>
      <c r="F122" s="34"/>
      <c r="G122" s="20"/>
      <c r="H122" s="73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34"/>
      <c r="C123" s="34"/>
      <c r="D123" s="34"/>
      <c r="E123" s="34"/>
      <c r="F123" s="34"/>
      <c r="G123" s="20"/>
      <c r="H123" s="73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34"/>
      <c r="C124" s="34"/>
      <c r="D124" s="34"/>
      <c r="E124" s="34"/>
      <c r="F124" s="34"/>
      <c r="G124" s="20"/>
      <c r="H124" s="73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20"/>
      <c r="B125" s="34"/>
      <c r="C125" s="34"/>
      <c r="D125" s="34"/>
      <c r="E125" s="34"/>
      <c r="F125" s="34"/>
      <c r="G125" s="20"/>
      <c r="H125" s="73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20"/>
      <c r="B126" s="34"/>
      <c r="C126" s="34"/>
      <c r="D126" s="34"/>
      <c r="E126" s="34"/>
      <c r="F126" s="34"/>
      <c r="G126" s="20"/>
      <c r="H126" s="73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34"/>
      <c r="C127" s="34"/>
      <c r="D127" s="34"/>
      <c r="E127" s="34"/>
      <c r="F127" s="34"/>
      <c r="G127" s="20"/>
      <c r="H127" s="73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34"/>
      <c r="C128" s="34"/>
      <c r="D128" s="34"/>
      <c r="E128" s="34"/>
      <c r="F128" s="34"/>
      <c r="G128" s="20"/>
      <c r="H128" s="73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34"/>
      <c r="C129" s="34"/>
      <c r="D129" s="34"/>
      <c r="E129" s="34"/>
      <c r="F129" s="34"/>
      <c r="G129" s="20"/>
      <c r="H129" s="73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34"/>
      <c r="C130" s="34"/>
      <c r="D130" s="34"/>
      <c r="E130" s="34"/>
      <c r="F130" s="34"/>
      <c r="G130" s="20"/>
      <c r="H130" s="73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34"/>
      <c r="C131" s="34"/>
      <c r="D131" s="34"/>
      <c r="E131" s="34"/>
      <c r="F131" s="34"/>
      <c r="G131" s="20"/>
      <c r="H131" s="73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34"/>
      <c r="C132" s="34"/>
      <c r="D132" s="34"/>
      <c r="E132" s="34"/>
      <c r="F132" s="34"/>
      <c r="G132" s="20"/>
      <c r="H132" s="73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34"/>
      <c r="C133" s="34"/>
      <c r="D133" s="34"/>
      <c r="E133" s="34"/>
      <c r="F133" s="34"/>
      <c r="G133" s="20"/>
      <c r="H133" s="73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34"/>
      <c r="C134" s="34"/>
      <c r="D134" s="34"/>
      <c r="E134" s="34"/>
      <c r="F134" s="34"/>
      <c r="G134" s="20"/>
      <c r="H134" s="73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34"/>
      <c r="C135" s="34"/>
      <c r="D135" s="34"/>
      <c r="E135" s="34"/>
      <c r="F135" s="34"/>
      <c r="G135" s="20"/>
      <c r="H135" s="73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20"/>
      <c r="B136" s="34"/>
      <c r="C136" s="34"/>
      <c r="D136" s="34"/>
      <c r="E136" s="34"/>
      <c r="F136" s="34"/>
      <c r="G136" s="20"/>
      <c r="H136" s="73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20"/>
      <c r="B137" s="34"/>
      <c r="C137" s="34"/>
      <c r="D137" s="34"/>
      <c r="E137" s="34"/>
      <c r="F137" s="34"/>
      <c r="G137" s="20"/>
      <c r="H137" s="73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34"/>
      <c r="C138" s="34"/>
      <c r="D138" s="34"/>
      <c r="E138" s="34"/>
      <c r="F138" s="34"/>
      <c r="G138" s="20"/>
      <c r="H138" s="73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34"/>
      <c r="C139" s="34"/>
      <c r="D139" s="34"/>
      <c r="E139" s="34"/>
      <c r="F139" s="34"/>
      <c r="G139" s="20"/>
      <c r="H139" s="73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34"/>
      <c r="C140" s="34"/>
      <c r="D140" s="34"/>
      <c r="E140" s="34"/>
      <c r="F140" s="34"/>
      <c r="G140" s="20"/>
      <c r="H140" s="73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34"/>
      <c r="C141" s="34"/>
      <c r="D141" s="34"/>
      <c r="E141" s="34"/>
      <c r="F141" s="34"/>
      <c r="G141" s="20"/>
      <c r="H141" s="73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34"/>
      <c r="C142" s="34"/>
      <c r="D142" s="34"/>
      <c r="E142" s="34"/>
      <c r="F142" s="34"/>
      <c r="G142" s="20"/>
      <c r="H142" s="73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34"/>
      <c r="C143" s="34"/>
      <c r="D143" s="34"/>
      <c r="E143" s="34"/>
      <c r="F143" s="34"/>
      <c r="G143" s="20"/>
      <c r="H143" s="73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34"/>
      <c r="C144" s="34"/>
      <c r="D144" s="34"/>
      <c r="E144" s="34"/>
      <c r="F144" s="34"/>
      <c r="G144" s="20"/>
      <c r="H144" s="73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34"/>
      <c r="C145" s="34"/>
      <c r="D145" s="34"/>
      <c r="E145" s="34"/>
      <c r="F145" s="34"/>
      <c r="G145" s="20"/>
      <c r="H145" s="73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34"/>
      <c r="C146" s="34"/>
      <c r="D146" s="34"/>
      <c r="E146" s="34"/>
      <c r="F146" s="34"/>
      <c r="G146" s="20"/>
      <c r="H146" s="73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34"/>
      <c r="C147" s="34"/>
      <c r="D147" s="34"/>
      <c r="E147" s="34"/>
      <c r="F147" s="34"/>
      <c r="G147" s="20"/>
      <c r="H147" s="73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0"/>
      <c r="B148" s="34"/>
      <c r="C148" s="34"/>
      <c r="D148" s="34"/>
      <c r="E148" s="34"/>
      <c r="F148" s="34"/>
      <c r="G148" s="20"/>
      <c r="H148" s="73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34"/>
      <c r="C149" s="34"/>
      <c r="D149" s="34"/>
      <c r="E149" s="34"/>
      <c r="F149" s="34"/>
      <c r="G149" s="20"/>
      <c r="H149" s="73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34"/>
      <c r="C150" s="34"/>
      <c r="D150" s="34"/>
      <c r="E150" s="34"/>
      <c r="F150" s="34"/>
      <c r="G150" s="20"/>
      <c r="H150" s="73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34"/>
      <c r="C151" s="34"/>
      <c r="D151" s="34"/>
      <c r="E151" s="34"/>
      <c r="F151" s="34"/>
      <c r="G151" s="20"/>
      <c r="H151" s="73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34"/>
      <c r="C152" s="34"/>
      <c r="D152" s="34"/>
      <c r="E152" s="34"/>
      <c r="F152" s="34"/>
      <c r="G152" s="20"/>
      <c r="H152" s="73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34"/>
      <c r="C153" s="34"/>
      <c r="D153" s="34"/>
      <c r="E153" s="34"/>
      <c r="F153" s="34"/>
      <c r="G153" s="20"/>
      <c r="H153" s="73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0"/>
      <c r="B154" s="34"/>
      <c r="C154" s="34"/>
      <c r="D154" s="34"/>
      <c r="E154" s="34"/>
      <c r="F154" s="34"/>
      <c r="G154" s="20"/>
      <c r="H154" s="73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34"/>
      <c r="C155" s="34"/>
      <c r="D155" s="34"/>
      <c r="E155" s="34"/>
      <c r="F155" s="34"/>
      <c r="G155" s="20"/>
      <c r="H155" s="73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34"/>
      <c r="C156" s="34"/>
      <c r="D156" s="34"/>
      <c r="E156" s="34"/>
      <c r="F156" s="34"/>
      <c r="G156" s="20"/>
      <c r="H156" s="73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34"/>
      <c r="C157" s="34"/>
      <c r="D157" s="34"/>
      <c r="E157" s="34"/>
      <c r="F157" s="34"/>
      <c r="G157" s="20"/>
      <c r="H157" s="73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34"/>
      <c r="C158" s="34"/>
      <c r="D158" s="34"/>
      <c r="E158" s="34"/>
      <c r="F158" s="34"/>
      <c r="G158" s="20"/>
      <c r="H158" s="73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34"/>
      <c r="C159" s="34"/>
      <c r="D159" s="34"/>
      <c r="E159" s="34"/>
      <c r="F159" s="34"/>
      <c r="G159" s="20"/>
      <c r="H159" s="73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34"/>
      <c r="C160" s="34"/>
      <c r="D160" s="34"/>
      <c r="E160" s="34"/>
      <c r="F160" s="34"/>
      <c r="G160" s="20"/>
      <c r="H160" s="73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34"/>
      <c r="C161" s="34"/>
      <c r="D161" s="34"/>
      <c r="E161" s="34"/>
      <c r="F161" s="34"/>
      <c r="G161" s="20"/>
      <c r="H161" s="73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34"/>
      <c r="C162" s="34"/>
      <c r="D162" s="34"/>
      <c r="E162" s="34"/>
      <c r="F162" s="34"/>
      <c r="G162" s="20"/>
      <c r="H162" s="73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34"/>
      <c r="C163" s="34"/>
      <c r="D163" s="34"/>
      <c r="E163" s="34"/>
      <c r="F163" s="34"/>
      <c r="G163" s="20"/>
      <c r="H163" s="73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34"/>
      <c r="C164" s="34"/>
      <c r="D164" s="34"/>
      <c r="E164" s="34"/>
      <c r="F164" s="34"/>
      <c r="G164" s="20"/>
      <c r="H164" s="73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34"/>
      <c r="C165" s="34"/>
      <c r="D165" s="34"/>
      <c r="E165" s="34"/>
      <c r="F165" s="34"/>
      <c r="G165" s="20"/>
      <c r="H165" s="73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34"/>
      <c r="C166" s="34"/>
      <c r="D166" s="34"/>
      <c r="E166" s="34"/>
      <c r="F166" s="34"/>
      <c r="G166" s="20"/>
      <c r="H166" s="73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34"/>
      <c r="C167" s="34"/>
      <c r="D167" s="34"/>
      <c r="E167" s="34"/>
      <c r="F167" s="34"/>
      <c r="G167" s="20"/>
      <c r="H167" s="73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34"/>
      <c r="C168" s="34"/>
      <c r="D168" s="34"/>
      <c r="E168" s="34"/>
      <c r="F168" s="34"/>
      <c r="G168" s="20"/>
      <c r="H168" s="73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34"/>
      <c r="C169" s="34"/>
      <c r="D169" s="34"/>
      <c r="E169" s="34"/>
      <c r="F169" s="34"/>
      <c r="G169" s="20"/>
      <c r="H169" s="73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34"/>
      <c r="C170" s="34"/>
      <c r="D170" s="34"/>
      <c r="E170" s="34"/>
      <c r="F170" s="34"/>
      <c r="G170" s="20"/>
      <c r="H170" s="73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34"/>
      <c r="C171" s="34"/>
      <c r="D171" s="34"/>
      <c r="E171" s="34"/>
      <c r="F171" s="34"/>
      <c r="G171" s="20"/>
      <c r="H171" s="73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34"/>
      <c r="C172" s="34"/>
      <c r="D172" s="34"/>
      <c r="E172" s="34"/>
      <c r="F172" s="34"/>
      <c r="G172" s="20"/>
      <c r="H172" s="73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34"/>
      <c r="C173" s="34"/>
      <c r="D173" s="34"/>
      <c r="E173" s="34"/>
      <c r="F173" s="34"/>
      <c r="G173" s="20"/>
      <c r="H173" s="73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34"/>
      <c r="C174" s="34"/>
      <c r="D174" s="34"/>
      <c r="E174" s="34"/>
      <c r="F174" s="34"/>
      <c r="G174" s="20"/>
      <c r="H174" s="73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34"/>
      <c r="C175" s="34"/>
      <c r="D175" s="34"/>
      <c r="E175" s="34"/>
      <c r="F175" s="34"/>
      <c r="G175" s="20"/>
      <c r="H175" s="73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34"/>
      <c r="C176" s="34"/>
      <c r="D176" s="34"/>
      <c r="E176" s="34"/>
      <c r="F176" s="34"/>
      <c r="G176" s="20"/>
      <c r="H176" s="73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34"/>
      <c r="C177" s="34"/>
      <c r="D177" s="34"/>
      <c r="E177" s="34"/>
      <c r="F177" s="34"/>
      <c r="G177" s="20"/>
      <c r="H177" s="73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34"/>
      <c r="C178" s="34"/>
      <c r="D178" s="34"/>
      <c r="E178" s="34"/>
      <c r="F178" s="34"/>
      <c r="G178" s="20"/>
      <c r="H178" s="73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34"/>
      <c r="C179" s="34"/>
      <c r="D179" s="34"/>
      <c r="E179" s="34"/>
      <c r="F179" s="34"/>
      <c r="G179" s="20"/>
      <c r="H179" s="73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34"/>
      <c r="C180" s="34"/>
      <c r="D180" s="34"/>
      <c r="E180" s="34"/>
      <c r="F180" s="34"/>
      <c r="G180" s="20"/>
      <c r="H180" s="73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34"/>
      <c r="C181" s="34"/>
      <c r="D181" s="34"/>
      <c r="E181" s="34"/>
      <c r="F181" s="34"/>
      <c r="G181" s="20"/>
      <c r="H181" s="73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34"/>
      <c r="C182" s="34"/>
      <c r="D182" s="34"/>
      <c r="E182" s="34"/>
      <c r="F182" s="34"/>
      <c r="G182" s="20"/>
      <c r="H182" s="73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34"/>
      <c r="C183" s="34"/>
      <c r="D183" s="34"/>
      <c r="E183" s="34"/>
      <c r="F183" s="34"/>
      <c r="G183" s="20"/>
      <c r="H183" s="73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34"/>
      <c r="C184" s="34"/>
      <c r="D184" s="34"/>
      <c r="E184" s="34"/>
      <c r="F184" s="34"/>
      <c r="G184" s="20"/>
      <c r="H184" s="73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34"/>
      <c r="C185" s="34"/>
      <c r="D185" s="34"/>
      <c r="E185" s="34"/>
      <c r="F185" s="34"/>
      <c r="G185" s="20"/>
      <c r="H185" s="73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34"/>
      <c r="C186" s="34"/>
      <c r="D186" s="34"/>
      <c r="E186" s="34"/>
      <c r="F186" s="34"/>
      <c r="G186" s="20"/>
      <c r="H186" s="73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34"/>
      <c r="C187" s="34"/>
      <c r="D187" s="34"/>
      <c r="E187" s="34"/>
      <c r="F187" s="34"/>
      <c r="G187" s="20"/>
      <c r="H187" s="73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34"/>
      <c r="C188" s="34"/>
      <c r="D188" s="34"/>
      <c r="E188" s="34"/>
      <c r="F188" s="34"/>
      <c r="G188" s="20"/>
      <c r="H188" s="73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34"/>
      <c r="C189" s="34"/>
      <c r="D189" s="34"/>
      <c r="E189" s="34"/>
      <c r="F189" s="34"/>
      <c r="G189" s="20"/>
      <c r="H189" s="73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34"/>
      <c r="C190" s="34"/>
      <c r="D190" s="34"/>
      <c r="E190" s="34"/>
      <c r="F190" s="34"/>
      <c r="G190" s="20"/>
      <c r="H190" s="73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34"/>
      <c r="C191" s="34"/>
      <c r="D191" s="34"/>
      <c r="E191" s="34"/>
      <c r="F191" s="34"/>
      <c r="G191" s="20"/>
      <c r="H191" s="73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34"/>
      <c r="C192" s="34"/>
      <c r="D192" s="34"/>
      <c r="E192" s="34"/>
      <c r="F192" s="34"/>
      <c r="G192" s="20"/>
      <c r="H192" s="73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34"/>
      <c r="C193" s="34"/>
      <c r="D193" s="34"/>
      <c r="E193" s="34"/>
      <c r="F193" s="34"/>
      <c r="G193" s="20"/>
      <c r="H193" s="73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34"/>
      <c r="C194" s="34"/>
      <c r="D194" s="34"/>
      <c r="E194" s="34"/>
      <c r="F194" s="34"/>
      <c r="G194" s="20"/>
      <c r="H194" s="73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34"/>
      <c r="C195" s="34"/>
      <c r="D195" s="34"/>
      <c r="E195" s="34"/>
      <c r="F195" s="34"/>
      <c r="G195" s="20"/>
      <c r="H195" s="73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20"/>
      <c r="B196" s="34"/>
      <c r="C196" s="34"/>
      <c r="D196" s="34"/>
      <c r="E196" s="34"/>
      <c r="F196" s="34"/>
      <c r="G196" s="20"/>
      <c r="H196" s="73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20"/>
      <c r="B197" s="34"/>
      <c r="C197" s="34"/>
      <c r="D197" s="34"/>
      <c r="E197" s="34"/>
      <c r="F197" s="34"/>
      <c r="G197" s="20"/>
      <c r="H197" s="73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34"/>
      <c r="C198" s="34"/>
      <c r="D198" s="34"/>
      <c r="E198" s="34"/>
      <c r="F198" s="34"/>
      <c r="G198" s="20"/>
      <c r="H198" s="73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34"/>
      <c r="C199" s="34"/>
      <c r="D199" s="34"/>
      <c r="E199" s="34"/>
      <c r="F199" s="34"/>
      <c r="G199" s="20"/>
      <c r="H199" s="73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20"/>
      <c r="B200" s="34"/>
      <c r="C200" s="34"/>
      <c r="D200" s="34"/>
      <c r="E200" s="34"/>
      <c r="F200" s="34"/>
      <c r="G200" s="20"/>
      <c r="H200" s="73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20"/>
      <c r="B201" s="34"/>
      <c r="C201" s="34"/>
      <c r="D201" s="34"/>
      <c r="E201" s="34"/>
      <c r="F201" s="34"/>
      <c r="G201" s="20"/>
      <c r="H201" s="73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20"/>
      <c r="B202" s="34"/>
      <c r="C202" s="34"/>
      <c r="D202" s="34"/>
      <c r="E202" s="34"/>
      <c r="F202" s="34"/>
      <c r="G202" s="20"/>
      <c r="H202" s="73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20"/>
      <c r="B203" s="34"/>
      <c r="C203" s="34"/>
      <c r="D203" s="34"/>
      <c r="E203" s="34"/>
      <c r="F203" s="34"/>
      <c r="G203" s="20"/>
      <c r="H203" s="73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20"/>
      <c r="B204" s="34"/>
      <c r="C204" s="34"/>
      <c r="D204" s="34"/>
      <c r="E204" s="34"/>
      <c r="F204" s="34"/>
      <c r="G204" s="20"/>
      <c r="H204" s="73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20"/>
      <c r="B205" s="34"/>
      <c r="C205" s="34"/>
      <c r="D205" s="34"/>
      <c r="E205" s="34"/>
      <c r="F205" s="34"/>
      <c r="G205" s="20"/>
      <c r="H205" s="73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20"/>
      <c r="B206" s="34"/>
      <c r="C206" s="34"/>
      <c r="D206" s="34"/>
      <c r="E206" s="34"/>
      <c r="F206" s="34"/>
      <c r="G206" s="20"/>
      <c r="H206" s="73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20"/>
      <c r="B207" s="34"/>
      <c r="C207" s="34"/>
      <c r="D207" s="34"/>
      <c r="E207" s="34"/>
      <c r="F207" s="34"/>
      <c r="G207" s="20"/>
      <c r="H207" s="73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20"/>
      <c r="B208" s="34"/>
      <c r="C208" s="34"/>
      <c r="D208" s="34"/>
      <c r="E208" s="34"/>
      <c r="F208" s="34"/>
      <c r="G208" s="20"/>
      <c r="H208" s="73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20"/>
      <c r="B209" s="34"/>
      <c r="C209" s="34"/>
      <c r="D209" s="34"/>
      <c r="E209" s="34"/>
      <c r="F209" s="34"/>
      <c r="G209" s="20"/>
      <c r="H209" s="73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20"/>
      <c r="B210" s="34"/>
      <c r="C210" s="34"/>
      <c r="D210" s="34"/>
      <c r="E210" s="34"/>
      <c r="F210" s="34"/>
      <c r="G210" s="20"/>
      <c r="H210" s="73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20"/>
      <c r="B211" s="34"/>
      <c r="C211" s="34"/>
      <c r="D211" s="34"/>
      <c r="E211" s="34"/>
      <c r="F211" s="34"/>
      <c r="G211" s="20"/>
      <c r="H211" s="73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20"/>
      <c r="B212" s="34"/>
      <c r="C212" s="34"/>
      <c r="D212" s="34"/>
      <c r="E212" s="34"/>
      <c r="F212" s="34"/>
      <c r="G212" s="20"/>
      <c r="H212" s="73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20"/>
      <c r="B213" s="34"/>
      <c r="C213" s="34"/>
      <c r="D213" s="34"/>
      <c r="E213" s="34"/>
      <c r="F213" s="34"/>
      <c r="G213" s="20"/>
      <c r="H213" s="73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20"/>
      <c r="B214" s="34"/>
      <c r="C214" s="34"/>
      <c r="D214" s="34"/>
      <c r="E214" s="34"/>
      <c r="F214" s="34"/>
      <c r="G214" s="20"/>
      <c r="H214" s="73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20"/>
      <c r="B215" s="34"/>
      <c r="C215" s="34"/>
      <c r="D215" s="34"/>
      <c r="E215" s="34"/>
      <c r="F215" s="34"/>
      <c r="G215" s="20"/>
      <c r="H215" s="73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20"/>
      <c r="B216" s="34"/>
      <c r="C216" s="34"/>
      <c r="D216" s="34"/>
      <c r="E216" s="34"/>
      <c r="F216" s="34"/>
      <c r="G216" s="20"/>
      <c r="H216" s="73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20"/>
      <c r="B217" s="34"/>
      <c r="C217" s="34"/>
      <c r="D217" s="34"/>
      <c r="E217" s="34"/>
      <c r="F217" s="34"/>
      <c r="G217" s="20"/>
      <c r="H217" s="73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20"/>
      <c r="B218" s="34"/>
      <c r="C218" s="34"/>
      <c r="D218" s="34"/>
      <c r="E218" s="34"/>
      <c r="F218" s="34"/>
      <c r="G218" s="20"/>
      <c r="H218" s="73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20"/>
      <c r="B219" s="34"/>
      <c r="C219" s="34"/>
      <c r="D219" s="34"/>
      <c r="E219" s="34"/>
      <c r="F219" s="34"/>
      <c r="G219" s="20"/>
      <c r="H219" s="73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20"/>
      <c r="B220" s="34"/>
      <c r="C220" s="34"/>
      <c r="D220" s="34"/>
      <c r="E220" s="34"/>
      <c r="F220" s="34"/>
      <c r="G220" s="20"/>
      <c r="H220" s="73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20"/>
      <c r="B221" s="34"/>
      <c r="C221" s="34"/>
      <c r="D221" s="34"/>
      <c r="E221" s="34"/>
      <c r="F221" s="34"/>
      <c r="G221" s="20"/>
      <c r="H221" s="73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20"/>
      <c r="B222" s="34"/>
      <c r="C222" s="34"/>
      <c r="D222" s="34"/>
      <c r="E222" s="34"/>
      <c r="F222" s="34"/>
      <c r="G222" s="20"/>
      <c r="H222" s="73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20"/>
      <c r="B223" s="34"/>
      <c r="C223" s="34"/>
      <c r="D223" s="34"/>
      <c r="E223" s="34"/>
      <c r="F223" s="34"/>
      <c r="G223" s="20"/>
      <c r="H223" s="73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20"/>
      <c r="B224" s="34"/>
      <c r="C224" s="34"/>
      <c r="D224" s="34"/>
      <c r="E224" s="34"/>
      <c r="F224" s="34"/>
      <c r="G224" s="20"/>
      <c r="H224" s="73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20"/>
      <c r="B225" s="34"/>
      <c r="C225" s="34"/>
      <c r="D225" s="34"/>
      <c r="E225" s="34"/>
      <c r="F225" s="34"/>
      <c r="G225" s="20"/>
      <c r="H225" s="73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20"/>
      <c r="B226" s="34"/>
      <c r="C226" s="34"/>
      <c r="D226" s="34"/>
      <c r="E226" s="34"/>
      <c r="F226" s="34"/>
      <c r="G226" s="20"/>
      <c r="H226" s="73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20"/>
      <c r="B227" s="34"/>
      <c r="C227" s="34"/>
      <c r="D227" s="34"/>
      <c r="E227" s="34"/>
      <c r="F227" s="34"/>
      <c r="G227" s="20"/>
      <c r="H227" s="73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20"/>
      <c r="B228" s="34"/>
      <c r="C228" s="34"/>
      <c r="D228" s="34"/>
      <c r="E228" s="34"/>
      <c r="F228" s="34"/>
      <c r="G228" s="20"/>
      <c r="H228" s="73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20"/>
      <c r="B229" s="34"/>
      <c r="C229" s="34"/>
      <c r="D229" s="34"/>
      <c r="E229" s="34"/>
      <c r="F229" s="34"/>
      <c r="G229" s="20"/>
      <c r="H229" s="73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20"/>
      <c r="B230" s="34"/>
      <c r="C230" s="34"/>
      <c r="D230" s="34"/>
      <c r="E230" s="34"/>
      <c r="F230" s="34"/>
      <c r="G230" s="20"/>
      <c r="H230" s="73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20"/>
      <c r="B231" s="34"/>
      <c r="C231" s="34"/>
      <c r="D231" s="34"/>
      <c r="E231" s="34"/>
      <c r="F231" s="34"/>
      <c r="G231" s="20"/>
      <c r="H231" s="73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20"/>
      <c r="B232" s="34"/>
      <c r="C232" s="34"/>
      <c r="D232" s="34"/>
      <c r="E232" s="34"/>
      <c r="F232" s="34"/>
      <c r="G232" s="20"/>
      <c r="H232" s="73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20"/>
      <c r="B233" s="34"/>
      <c r="C233" s="34"/>
      <c r="D233" s="34"/>
      <c r="E233" s="34"/>
      <c r="F233" s="34"/>
      <c r="G233" s="20"/>
      <c r="H233" s="73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20"/>
      <c r="B234" s="34"/>
      <c r="C234" s="34"/>
      <c r="D234" s="34"/>
      <c r="E234" s="34"/>
      <c r="F234" s="34"/>
      <c r="G234" s="20"/>
      <c r="H234" s="73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20"/>
      <c r="B235" s="34"/>
      <c r="C235" s="34"/>
      <c r="D235" s="34"/>
      <c r="E235" s="34"/>
      <c r="F235" s="34"/>
      <c r="G235" s="20"/>
      <c r="H235" s="73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20"/>
      <c r="B236" s="34"/>
      <c r="C236" s="34"/>
      <c r="D236" s="34"/>
      <c r="E236" s="34"/>
      <c r="F236" s="34"/>
      <c r="G236" s="20"/>
      <c r="H236" s="73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20"/>
      <c r="B237" s="34"/>
      <c r="C237" s="34"/>
      <c r="D237" s="34"/>
      <c r="E237" s="34"/>
      <c r="F237" s="34"/>
      <c r="G237" s="20"/>
      <c r="H237" s="73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20"/>
      <c r="B238" s="34"/>
      <c r="C238" s="34"/>
      <c r="D238" s="34"/>
      <c r="E238" s="34"/>
      <c r="F238" s="34"/>
      <c r="G238" s="20"/>
      <c r="H238" s="73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20"/>
      <c r="B239" s="34"/>
      <c r="C239" s="34"/>
      <c r="D239" s="34"/>
      <c r="E239" s="34"/>
      <c r="F239" s="34"/>
      <c r="G239" s="20"/>
      <c r="H239" s="73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20"/>
      <c r="B240" s="34"/>
      <c r="C240" s="34"/>
      <c r="D240" s="34"/>
      <c r="E240" s="34"/>
      <c r="F240" s="34"/>
      <c r="G240" s="20"/>
      <c r="H240" s="73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20"/>
      <c r="B241" s="34"/>
      <c r="C241" s="34"/>
      <c r="D241" s="34"/>
      <c r="E241" s="34"/>
      <c r="F241" s="34"/>
      <c r="G241" s="20"/>
      <c r="H241" s="73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20"/>
      <c r="B242" s="34"/>
      <c r="C242" s="34"/>
      <c r="D242" s="34"/>
      <c r="E242" s="34"/>
      <c r="F242" s="34"/>
      <c r="G242" s="20"/>
      <c r="H242" s="73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20"/>
      <c r="B243" s="34"/>
      <c r="C243" s="34"/>
      <c r="D243" s="34"/>
      <c r="E243" s="34"/>
      <c r="F243" s="34"/>
      <c r="G243" s="20"/>
      <c r="H243" s="73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20"/>
      <c r="B244" s="34"/>
      <c r="C244" s="34"/>
      <c r="D244" s="34"/>
      <c r="E244" s="34"/>
      <c r="F244" s="34"/>
      <c r="G244" s="20"/>
      <c r="H244" s="73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20"/>
      <c r="B245" s="34"/>
      <c r="C245" s="34"/>
      <c r="D245" s="34"/>
      <c r="E245" s="34"/>
      <c r="F245" s="34"/>
      <c r="G245" s="20"/>
      <c r="H245" s="73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>
      <c r="A246" s="20"/>
      <c r="B246" s="34"/>
      <c r="C246" s="34"/>
      <c r="D246" s="34"/>
      <c r="E246" s="34"/>
      <c r="F246" s="34"/>
      <c r="G246" s="20"/>
      <c r="H246" s="73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>
      <c r="A247" s="20"/>
      <c r="B247" s="34"/>
      <c r="C247" s="34"/>
      <c r="D247" s="34"/>
      <c r="E247" s="34"/>
      <c r="F247" s="34"/>
      <c r="G247" s="20"/>
      <c r="H247" s="73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>
      <c r="A248" s="20"/>
      <c r="B248" s="34"/>
      <c r="C248" s="34"/>
      <c r="D248" s="34"/>
      <c r="E248" s="34"/>
      <c r="F248" s="34"/>
      <c r="G248" s="20"/>
      <c r="H248" s="73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>
      <c r="A249" s="20"/>
      <c r="B249" s="34"/>
      <c r="C249" s="34"/>
      <c r="D249" s="34"/>
      <c r="E249" s="34"/>
      <c r="F249" s="34"/>
      <c r="G249" s="20"/>
      <c r="H249" s="73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>
      <c r="A250" s="20"/>
      <c r="B250" s="34"/>
      <c r="C250" s="34"/>
      <c r="D250" s="34"/>
      <c r="E250" s="34"/>
      <c r="F250" s="34"/>
      <c r="G250" s="20"/>
      <c r="H250" s="73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>
      <c r="A251" s="20"/>
      <c r="B251" s="34"/>
      <c r="C251" s="34"/>
      <c r="D251" s="34"/>
      <c r="E251" s="34"/>
      <c r="F251" s="34"/>
      <c r="G251" s="20"/>
      <c r="H251" s="73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>
      <c r="A252" s="20"/>
      <c r="B252" s="34"/>
      <c r="C252" s="34"/>
      <c r="D252" s="34"/>
      <c r="E252" s="34"/>
      <c r="F252" s="34"/>
      <c r="G252" s="20"/>
      <c r="H252" s="73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>
      <c r="A253" s="20"/>
      <c r="B253" s="34"/>
      <c r="C253" s="34"/>
      <c r="D253" s="34"/>
      <c r="E253" s="34"/>
      <c r="F253" s="34"/>
      <c r="G253" s="20"/>
      <c r="H253" s="73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>
      <c r="A254" s="20"/>
      <c r="B254" s="34"/>
      <c r="C254" s="34"/>
      <c r="D254" s="34"/>
      <c r="E254" s="34"/>
      <c r="F254" s="34"/>
      <c r="G254" s="20"/>
      <c r="H254" s="73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>
      <c r="A255" s="20"/>
      <c r="B255" s="34"/>
      <c r="C255" s="34"/>
      <c r="D255" s="34"/>
      <c r="E255" s="34"/>
      <c r="F255" s="34"/>
      <c r="G255" s="20"/>
      <c r="H255" s="73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>
      <c r="A256" s="20"/>
      <c r="B256" s="34"/>
      <c r="C256" s="34"/>
      <c r="D256" s="34"/>
      <c r="E256" s="34"/>
      <c r="F256" s="34"/>
      <c r="G256" s="20"/>
      <c r="H256" s="73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>
      <c r="A257" s="20"/>
      <c r="B257" s="34"/>
      <c r="C257" s="34"/>
      <c r="D257" s="34"/>
      <c r="E257" s="34"/>
      <c r="F257" s="34"/>
      <c r="G257" s="20"/>
      <c r="H257" s="73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>
      <c r="A258" s="20"/>
      <c r="B258" s="34"/>
      <c r="C258" s="34"/>
      <c r="D258" s="34"/>
      <c r="E258" s="34"/>
      <c r="F258" s="34"/>
      <c r="G258" s="20"/>
      <c r="H258" s="73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>
      <c r="A259" s="20"/>
      <c r="B259" s="34"/>
      <c r="C259" s="34"/>
      <c r="D259" s="34"/>
      <c r="E259" s="34"/>
      <c r="F259" s="34"/>
      <c r="G259" s="20"/>
      <c r="H259" s="73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>
      <c r="A260" s="20"/>
      <c r="B260" s="34"/>
      <c r="C260" s="34"/>
      <c r="D260" s="34"/>
      <c r="E260" s="34"/>
      <c r="F260" s="34"/>
      <c r="G260" s="20"/>
      <c r="H260" s="73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>
      <c r="A261" s="20"/>
      <c r="B261" s="34"/>
      <c r="C261" s="34"/>
      <c r="D261" s="34"/>
      <c r="E261" s="34"/>
      <c r="F261" s="34"/>
      <c r="G261" s="20"/>
      <c r="H261" s="73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>
      <c r="A262" s="20"/>
      <c r="B262" s="34"/>
      <c r="C262" s="34"/>
      <c r="D262" s="34"/>
      <c r="E262" s="34"/>
      <c r="F262" s="34"/>
      <c r="G262" s="20"/>
      <c r="H262" s="73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>
      <c r="A263" s="20"/>
      <c r="B263" s="34"/>
      <c r="C263" s="34"/>
      <c r="D263" s="34"/>
      <c r="E263" s="34"/>
      <c r="F263" s="34"/>
      <c r="G263" s="20"/>
      <c r="H263" s="73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>
      <c r="A264" s="20"/>
      <c r="B264" s="34"/>
      <c r="C264" s="34"/>
      <c r="D264" s="34"/>
      <c r="E264" s="34"/>
      <c r="F264" s="34"/>
      <c r="G264" s="20"/>
      <c r="H264" s="73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>
      <c r="A265" s="20"/>
      <c r="B265" s="34"/>
      <c r="C265" s="34"/>
      <c r="D265" s="34"/>
      <c r="E265" s="34"/>
      <c r="F265" s="34"/>
      <c r="G265" s="20"/>
      <c r="H265" s="73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>
      <c r="A266" s="20"/>
      <c r="B266" s="34"/>
      <c r="C266" s="34"/>
      <c r="D266" s="34"/>
      <c r="E266" s="34"/>
      <c r="F266" s="34"/>
      <c r="G266" s="20"/>
      <c r="H266" s="73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>
      <c r="A267" s="20"/>
      <c r="B267" s="34"/>
      <c r="C267" s="34"/>
      <c r="D267" s="34"/>
      <c r="E267" s="34"/>
      <c r="F267" s="34"/>
      <c r="G267" s="20"/>
      <c r="H267" s="73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>
      <c r="A268" s="20"/>
      <c r="B268" s="34"/>
      <c r="C268" s="34"/>
      <c r="D268" s="34"/>
      <c r="E268" s="34"/>
      <c r="F268" s="34"/>
      <c r="G268" s="20"/>
      <c r="H268" s="73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>
      <c r="A269" s="20"/>
      <c r="B269" s="34"/>
      <c r="C269" s="34"/>
      <c r="D269" s="34"/>
      <c r="E269" s="34"/>
      <c r="F269" s="34"/>
      <c r="G269" s="20"/>
      <c r="H269" s="73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>
      <c r="A270" s="20"/>
      <c r="B270" s="34"/>
      <c r="C270" s="34"/>
      <c r="D270" s="34"/>
      <c r="E270" s="34"/>
      <c r="F270" s="34"/>
      <c r="G270" s="20"/>
      <c r="H270" s="73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>
      <c r="A271" s="20"/>
      <c r="B271" s="34"/>
      <c r="C271" s="34"/>
      <c r="D271" s="34"/>
      <c r="E271" s="34"/>
      <c r="F271" s="34"/>
      <c r="G271" s="20"/>
      <c r="H271" s="73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>
      <c r="A272" s="20"/>
      <c r="B272" s="34"/>
      <c r="C272" s="34"/>
      <c r="D272" s="34"/>
      <c r="E272" s="34"/>
      <c r="F272" s="34"/>
      <c r="G272" s="20"/>
      <c r="H272" s="73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>
      <c r="A273" s="20"/>
      <c r="B273" s="34"/>
      <c r="C273" s="34"/>
      <c r="D273" s="34"/>
      <c r="E273" s="34"/>
      <c r="F273" s="34"/>
      <c r="G273" s="20"/>
      <c r="H273" s="73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>
      <c r="A274" s="20"/>
      <c r="B274" s="34"/>
      <c r="C274" s="34"/>
      <c r="D274" s="34"/>
      <c r="E274" s="34"/>
      <c r="F274" s="34"/>
      <c r="G274" s="20"/>
      <c r="H274" s="73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>
      <c r="A275" s="20"/>
      <c r="B275" s="34"/>
      <c r="C275" s="34"/>
      <c r="D275" s="34"/>
      <c r="E275" s="34"/>
      <c r="F275" s="34"/>
      <c r="G275" s="20"/>
      <c r="H275" s="73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>
      <c r="A276" s="20"/>
      <c r="B276" s="34"/>
      <c r="C276" s="34"/>
      <c r="D276" s="34"/>
      <c r="E276" s="34"/>
      <c r="F276" s="34"/>
      <c r="G276" s="20"/>
      <c r="H276" s="73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>
      <c r="A277" s="20"/>
      <c r="B277" s="34"/>
      <c r="C277" s="34"/>
      <c r="D277" s="34"/>
      <c r="E277" s="34"/>
      <c r="F277" s="34"/>
      <c r="G277" s="20"/>
      <c r="H277" s="73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>
      <c r="A278" s="20"/>
      <c r="B278" s="34"/>
      <c r="C278" s="34"/>
      <c r="D278" s="34"/>
      <c r="E278" s="34"/>
      <c r="F278" s="34"/>
      <c r="G278" s="20"/>
      <c r="H278" s="73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>
      <c r="A279" s="20"/>
      <c r="B279" s="34"/>
      <c r="C279" s="34"/>
      <c r="D279" s="34"/>
      <c r="E279" s="34"/>
      <c r="F279" s="34"/>
      <c r="G279" s="20"/>
      <c r="H279" s="73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>
      <c r="A280" s="20"/>
      <c r="B280" s="34"/>
      <c r="C280" s="34"/>
      <c r="D280" s="34"/>
      <c r="E280" s="34"/>
      <c r="F280" s="34"/>
      <c r="G280" s="20"/>
      <c r="H280" s="73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>
      <c r="A281" s="20"/>
      <c r="B281" s="34"/>
      <c r="C281" s="34"/>
      <c r="D281" s="34"/>
      <c r="E281" s="34"/>
      <c r="F281" s="34"/>
      <c r="G281" s="20"/>
      <c r="H281" s="73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>
      <c r="A282" s="20"/>
      <c r="B282" s="34"/>
      <c r="C282" s="34"/>
      <c r="D282" s="34"/>
      <c r="E282" s="34"/>
      <c r="F282" s="34"/>
      <c r="G282" s="20"/>
      <c r="H282" s="73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>
      <c r="A283" s="20"/>
      <c r="B283" s="34"/>
      <c r="C283" s="34"/>
      <c r="D283" s="34"/>
      <c r="E283" s="34"/>
      <c r="F283" s="34"/>
      <c r="G283" s="20"/>
      <c r="H283" s="73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>
      <c r="A284" s="20"/>
      <c r="B284" s="34"/>
      <c r="C284" s="34"/>
      <c r="D284" s="34"/>
      <c r="E284" s="34"/>
      <c r="F284" s="34"/>
      <c r="G284" s="20"/>
      <c r="H284" s="73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>
      <c r="A285" s="20"/>
      <c r="B285" s="34"/>
      <c r="C285" s="34"/>
      <c r="D285" s="34"/>
      <c r="E285" s="34"/>
      <c r="F285" s="34"/>
      <c r="G285" s="20"/>
      <c r="H285" s="73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>
      <c r="A286" s="20"/>
      <c r="B286" s="34"/>
      <c r="C286" s="34"/>
      <c r="D286" s="34"/>
      <c r="E286" s="34"/>
      <c r="F286" s="34"/>
      <c r="G286" s="20"/>
      <c r="H286" s="73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>
      <c r="A287" s="20"/>
      <c r="B287" s="34"/>
      <c r="C287" s="34"/>
      <c r="D287" s="34"/>
      <c r="E287" s="34"/>
      <c r="F287" s="34"/>
      <c r="G287" s="20"/>
      <c r="H287" s="73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>
      <c r="A288" s="20"/>
      <c r="B288" s="34"/>
      <c r="C288" s="34"/>
      <c r="D288" s="34"/>
      <c r="E288" s="34"/>
      <c r="F288" s="34"/>
      <c r="G288" s="20"/>
      <c r="H288" s="73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>
      <c r="A289" s="20"/>
      <c r="B289" s="34"/>
      <c r="C289" s="34"/>
      <c r="D289" s="34"/>
      <c r="E289" s="34"/>
      <c r="F289" s="34"/>
      <c r="G289" s="20"/>
      <c r="H289" s="73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>
      <c r="A290" s="20"/>
      <c r="B290" s="34"/>
      <c r="C290" s="34"/>
      <c r="D290" s="34"/>
      <c r="E290" s="34"/>
      <c r="F290" s="34"/>
      <c r="G290" s="20"/>
      <c r="H290" s="73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>
      <c r="A291" s="20"/>
      <c r="B291" s="34"/>
      <c r="C291" s="34"/>
      <c r="D291" s="34"/>
      <c r="E291" s="34"/>
      <c r="F291" s="34"/>
      <c r="G291" s="20"/>
      <c r="H291" s="73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>
      <c r="A292" s="20"/>
      <c r="B292" s="34"/>
      <c r="C292" s="34"/>
      <c r="D292" s="34"/>
      <c r="E292" s="34"/>
      <c r="F292" s="34"/>
      <c r="G292" s="20"/>
      <c r="H292" s="73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>
      <c r="A293" s="20"/>
      <c r="B293" s="34"/>
      <c r="C293" s="34"/>
      <c r="D293" s="34"/>
      <c r="E293" s="34"/>
      <c r="F293" s="34"/>
      <c r="G293" s="20"/>
      <c r="H293" s="73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>
      <c r="A294" s="20"/>
      <c r="B294" s="34"/>
      <c r="C294" s="34"/>
      <c r="D294" s="34"/>
      <c r="E294" s="34"/>
      <c r="F294" s="34"/>
      <c r="G294" s="20"/>
      <c r="H294" s="73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>
      <c r="A295" s="20"/>
      <c r="B295" s="34"/>
      <c r="C295" s="34"/>
      <c r="D295" s="34"/>
      <c r="E295" s="34"/>
      <c r="F295" s="34"/>
      <c r="G295" s="20"/>
      <c r="H295" s="73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>
      <c r="A296" s="20"/>
      <c r="B296" s="34"/>
      <c r="C296" s="34"/>
      <c r="D296" s="34"/>
      <c r="E296" s="34"/>
      <c r="F296" s="34"/>
      <c r="G296" s="20"/>
      <c r="H296" s="73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>
      <c r="A297" s="20"/>
      <c r="B297" s="34"/>
      <c r="C297" s="34"/>
      <c r="D297" s="34"/>
      <c r="E297" s="34"/>
      <c r="F297" s="34"/>
      <c r="G297" s="20"/>
      <c r="H297" s="73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>
      <c r="A298" s="20"/>
      <c r="B298" s="34"/>
      <c r="C298" s="34"/>
      <c r="D298" s="34"/>
      <c r="E298" s="34"/>
      <c r="F298" s="34"/>
      <c r="G298" s="20"/>
      <c r="H298" s="73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>
      <c r="A299" s="20"/>
      <c r="B299" s="34"/>
      <c r="C299" s="34"/>
      <c r="D299" s="34"/>
      <c r="E299" s="34"/>
      <c r="F299" s="34"/>
      <c r="G299" s="20"/>
      <c r="H299" s="73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>
      <c r="A300" s="20"/>
      <c r="B300" s="34"/>
      <c r="C300" s="34"/>
      <c r="D300" s="34"/>
      <c r="E300" s="34"/>
      <c r="F300" s="34"/>
      <c r="G300" s="20"/>
      <c r="H300" s="73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>
      <c r="A301" s="20"/>
      <c r="B301" s="34"/>
      <c r="C301" s="34"/>
      <c r="D301" s="34"/>
      <c r="E301" s="34"/>
      <c r="F301" s="34"/>
      <c r="G301" s="20"/>
      <c r="H301" s="73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>
      <c r="A302" s="20"/>
      <c r="B302" s="34"/>
      <c r="C302" s="34"/>
      <c r="D302" s="34"/>
      <c r="E302" s="34"/>
      <c r="F302" s="34"/>
      <c r="G302" s="20"/>
      <c r="H302" s="73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>
      <c r="A303" s="20"/>
      <c r="B303" s="34"/>
      <c r="C303" s="34"/>
      <c r="D303" s="34"/>
      <c r="E303" s="34"/>
      <c r="F303" s="34"/>
      <c r="G303" s="20"/>
      <c r="H303" s="73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>
      <c r="A304" s="20"/>
      <c r="B304" s="34"/>
      <c r="C304" s="34"/>
      <c r="D304" s="34"/>
      <c r="E304" s="34"/>
      <c r="F304" s="34"/>
      <c r="G304" s="20"/>
      <c r="H304" s="73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>
      <c r="A305" s="20"/>
      <c r="B305" s="34"/>
      <c r="C305" s="34"/>
      <c r="D305" s="34"/>
      <c r="E305" s="34"/>
      <c r="F305" s="34"/>
      <c r="G305" s="20"/>
      <c r="H305" s="73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>
      <c r="A306" s="20"/>
      <c r="B306" s="34"/>
      <c r="C306" s="34"/>
      <c r="D306" s="34"/>
      <c r="E306" s="34"/>
      <c r="F306" s="34"/>
      <c r="G306" s="20"/>
      <c r="H306" s="73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>
      <c r="A307" s="20"/>
      <c r="B307" s="34"/>
      <c r="C307" s="34"/>
      <c r="D307" s="34"/>
      <c r="E307" s="34"/>
      <c r="F307" s="34"/>
      <c r="G307" s="20"/>
      <c r="H307" s="73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>
      <c r="A308" s="20"/>
      <c r="B308" s="34"/>
      <c r="C308" s="34"/>
      <c r="D308" s="34"/>
      <c r="E308" s="34"/>
      <c r="F308" s="34"/>
      <c r="G308" s="20"/>
      <c r="H308" s="73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>
      <c r="A309" s="20"/>
      <c r="B309" s="34"/>
      <c r="C309" s="34"/>
      <c r="D309" s="34"/>
      <c r="E309" s="34"/>
      <c r="F309" s="34"/>
      <c r="G309" s="20"/>
      <c r="H309" s="73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>
      <c r="A310" s="20"/>
      <c r="B310" s="34"/>
      <c r="C310" s="34"/>
      <c r="D310" s="34"/>
      <c r="E310" s="34"/>
      <c r="F310" s="34"/>
      <c r="G310" s="20"/>
      <c r="H310" s="73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>
      <c r="A311" s="20"/>
      <c r="B311" s="34"/>
      <c r="C311" s="34"/>
      <c r="D311" s="34"/>
      <c r="E311" s="34"/>
      <c r="F311" s="34"/>
      <c r="G311" s="20"/>
      <c r="H311" s="73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>
      <c r="A312" s="20"/>
      <c r="B312" s="34"/>
      <c r="C312" s="34"/>
      <c r="D312" s="34"/>
      <c r="E312" s="34"/>
      <c r="F312" s="34"/>
      <c r="G312" s="20"/>
      <c r="H312" s="73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>
      <c r="A313" s="20"/>
      <c r="B313" s="34"/>
      <c r="C313" s="34"/>
      <c r="D313" s="34"/>
      <c r="E313" s="34"/>
      <c r="F313" s="34"/>
      <c r="G313" s="20"/>
      <c r="H313" s="73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>
      <c r="A314" s="20"/>
      <c r="B314" s="34"/>
      <c r="C314" s="34"/>
      <c r="D314" s="34"/>
      <c r="E314" s="34"/>
      <c r="F314" s="34"/>
      <c r="G314" s="20"/>
      <c r="H314" s="73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>
      <c r="A315" s="20"/>
      <c r="B315" s="34"/>
      <c r="C315" s="34"/>
      <c r="D315" s="34"/>
      <c r="E315" s="34"/>
      <c r="F315" s="34"/>
      <c r="G315" s="20"/>
      <c r="H315" s="73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>
      <c r="A316" s="20"/>
      <c r="B316" s="34"/>
      <c r="C316" s="34"/>
      <c r="D316" s="34"/>
      <c r="E316" s="34"/>
      <c r="F316" s="34"/>
      <c r="G316" s="20"/>
      <c r="H316" s="73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>
      <c r="A317" s="20"/>
      <c r="B317" s="34"/>
      <c r="C317" s="34"/>
      <c r="D317" s="34"/>
      <c r="E317" s="34"/>
      <c r="F317" s="34"/>
      <c r="G317" s="20"/>
      <c r="H317" s="73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>
      <c r="A318" s="20"/>
      <c r="B318" s="34"/>
      <c r="C318" s="34"/>
      <c r="D318" s="34"/>
      <c r="E318" s="34"/>
      <c r="F318" s="34"/>
      <c r="G318" s="20"/>
      <c r="H318" s="73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>
      <c r="A319" s="20"/>
      <c r="B319" s="34"/>
      <c r="C319" s="34"/>
      <c r="D319" s="34"/>
      <c r="E319" s="34"/>
      <c r="F319" s="34"/>
      <c r="G319" s="20"/>
      <c r="H319" s="73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>
      <c r="A320" s="20"/>
      <c r="B320" s="34"/>
      <c r="C320" s="34"/>
      <c r="D320" s="34"/>
      <c r="E320" s="34"/>
      <c r="F320" s="34"/>
      <c r="G320" s="20"/>
      <c r="H320" s="73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>
      <c r="A321" s="20"/>
      <c r="B321" s="34"/>
      <c r="C321" s="34"/>
      <c r="D321" s="34"/>
      <c r="E321" s="34"/>
      <c r="F321" s="34"/>
      <c r="G321" s="20"/>
      <c r="H321" s="73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>
      <c r="A322" s="20"/>
      <c r="B322" s="34"/>
      <c r="C322" s="34"/>
      <c r="D322" s="34"/>
      <c r="E322" s="34"/>
      <c r="F322" s="34"/>
      <c r="G322" s="20"/>
      <c r="H322" s="73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>
      <c r="A323" s="20"/>
      <c r="B323" s="34"/>
      <c r="C323" s="34"/>
      <c r="D323" s="34"/>
      <c r="E323" s="34"/>
      <c r="F323" s="34"/>
      <c r="G323" s="20"/>
      <c r="H323" s="73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>
      <c r="A324" s="20"/>
      <c r="B324" s="34"/>
      <c r="C324" s="34"/>
      <c r="D324" s="34"/>
      <c r="E324" s="34"/>
      <c r="F324" s="34"/>
      <c r="G324" s="20"/>
      <c r="H324" s="73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>
      <c r="A325" s="20"/>
      <c r="B325" s="34"/>
      <c r="C325" s="34"/>
      <c r="D325" s="34"/>
      <c r="E325" s="34"/>
      <c r="F325" s="34"/>
      <c r="G325" s="20"/>
      <c r="H325" s="73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>
      <c r="A326" s="20"/>
      <c r="B326" s="34"/>
      <c r="C326" s="34"/>
      <c r="D326" s="34"/>
      <c r="E326" s="34"/>
      <c r="F326" s="34"/>
      <c r="G326" s="20"/>
      <c r="H326" s="73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>
      <c r="A327" s="20"/>
      <c r="B327" s="34"/>
      <c r="C327" s="34"/>
      <c r="D327" s="34"/>
      <c r="E327" s="34"/>
      <c r="F327" s="34"/>
      <c r="G327" s="20"/>
      <c r="H327" s="73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>
      <c r="A328" s="20"/>
      <c r="B328" s="34"/>
      <c r="C328" s="34"/>
      <c r="D328" s="34"/>
      <c r="E328" s="34"/>
      <c r="F328" s="34"/>
      <c r="G328" s="20"/>
      <c r="H328" s="73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>
      <c r="A329" s="20"/>
      <c r="B329" s="34"/>
      <c r="C329" s="34"/>
      <c r="D329" s="34"/>
      <c r="E329" s="34"/>
      <c r="F329" s="34"/>
      <c r="G329" s="20"/>
      <c r="H329" s="73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>
      <c r="A330" s="20"/>
      <c r="B330" s="34"/>
      <c r="C330" s="34"/>
      <c r="D330" s="34"/>
      <c r="E330" s="34"/>
      <c r="F330" s="34"/>
      <c r="G330" s="20"/>
      <c r="H330" s="73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>
      <c r="A331" s="20"/>
      <c r="B331" s="34"/>
      <c r="C331" s="34"/>
      <c r="D331" s="34"/>
      <c r="E331" s="34"/>
      <c r="F331" s="34"/>
      <c r="G331" s="20"/>
      <c r="H331" s="73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>
      <c r="A332" s="20"/>
      <c r="B332" s="34"/>
      <c r="C332" s="34"/>
      <c r="D332" s="34"/>
      <c r="E332" s="34"/>
      <c r="F332" s="34"/>
      <c r="G332" s="20"/>
      <c r="H332" s="73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>
      <c r="A333" s="20"/>
      <c r="B333" s="34"/>
      <c r="C333" s="34"/>
      <c r="D333" s="34"/>
      <c r="E333" s="34"/>
      <c r="F333" s="34"/>
      <c r="G333" s="20"/>
      <c r="H333" s="73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>
      <c r="A334" s="20"/>
      <c r="B334" s="34"/>
      <c r="C334" s="34"/>
      <c r="D334" s="34"/>
      <c r="E334" s="34"/>
      <c r="F334" s="34"/>
      <c r="G334" s="20"/>
      <c r="H334" s="73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>
      <c r="A335" s="20"/>
      <c r="B335" s="34"/>
      <c r="C335" s="34"/>
      <c r="D335" s="34"/>
      <c r="E335" s="34"/>
      <c r="F335" s="34"/>
      <c r="G335" s="20"/>
      <c r="H335" s="73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>
      <c r="A336" s="20"/>
      <c r="B336" s="34"/>
      <c r="C336" s="34"/>
      <c r="D336" s="34"/>
      <c r="E336" s="34"/>
      <c r="F336" s="34"/>
      <c r="G336" s="20"/>
      <c r="H336" s="73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>
      <c r="A337" s="20"/>
      <c r="B337" s="34"/>
      <c r="C337" s="34"/>
      <c r="D337" s="34"/>
      <c r="E337" s="34"/>
      <c r="F337" s="34"/>
      <c r="G337" s="20"/>
      <c r="H337" s="73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>
      <c r="A338" s="20"/>
      <c r="B338" s="34"/>
      <c r="C338" s="34"/>
      <c r="D338" s="34"/>
      <c r="E338" s="34"/>
      <c r="F338" s="34"/>
      <c r="G338" s="20"/>
      <c r="H338" s="73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>
      <c r="A339" s="20"/>
      <c r="B339" s="34"/>
      <c r="C339" s="34"/>
      <c r="D339" s="34"/>
      <c r="E339" s="34"/>
      <c r="F339" s="34"/>
      <c r="G339" s="20"/>
      <c r="H339" s="73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>
      <c r="A340" s="20"/>
      <c r="B340" s="34"/>
      <c r="C340" s="34"/>
      <c r="D340" s="34"/>
      <c r="E340" s="34"/>
      <c r="F340" s="34"/>
      <c r="G340" s="20"/>
      <c r="H340" s="73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>
      <c r="A341" s="20"/>
      <c r="B341" s="34"/>
      <c r="C341" s="34"/>
      <c r="D341" s="34"/>
      <c r="E341" s="34"/>
      <c r="F341" s="34"/>
      <c r="G341" s="20"/>
      <c r="H341" s="73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>
      <c r="A342" s="20"/>
      <c r="B342" s="34"/>
      <c r="C342" s="34"/>
      <c r="D342" s="34"/>
      <c r="E342" s="34"/>
      <c r="F342" s="34"/>
      <c r="G342" s="20"/>
      <c r="H342" s="73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>
      <c r="A343" s="20"/>
      <c r="B343" s="34"/>
      <c r="C343" s="34"/>
      <c r="D343" s="34"/>
      <c r="E343" s="34"/>
      <c r="F343" s="34"/>
      <c r="G343" s="20"/>
      <c r="H343" s="73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>
      <c r="A344" s="20"/>
      <c r="B344" s="34"/>
      <c r="C344" s="34"/>
      <c r="D344" s="34"/>
      <c r="E344" s="34"/>
      <c r="F344" s="34"/>
      <c r="G344" s="20"/>
      <c r="H344" s="73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>
      <c r="A345" s="20"/>
      <c r="B345" s="34"/>
      <c r="C345" s="34"/>
      <c r="D345" s="34"/>
      <c r="E345" s="34"/>
      <c r="F345" s="34"/>
      <c r="G345" s="20"/>
      <c r="H345" s="73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>
      <c r="A346" s="20"/>
      <c r="B346" s="34"/>
      <c r="C346" s="34"/>
      <c r="D346" s="34"/>
      <c r="E346" s="34"/>
      <c r="F346" s="34"/>
      <c r="G346" s="20"/>
      <c r="H346" s="73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>
      <c r="A347" s="20"/>
      <c r="B347" s="34"/>
      <c r="C347" s="34"/>
      <c r="D347" s="34"/>
      <c r="E347" s="34"/>
      <c r="F347" s="34"/>
      <c r="G347" s="20"/>
      <c r="H347" s="73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>
      <c r="A348" s="20"/>
      <c r="B348" s="34"/>
      <c r="C348" s="34"/>
      <c r="D348" s="34"/>
      <c r="E348" s="34"/>
      <c r="F348" s="34"/>
      <c r="G348" s="20"/>
      <c r="H348" s="73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>
      <c r="A349" s="20"/>
      <c r="B349" s="34"/>
      <c r="C349" s="34"/>
      <c r="D349" s="34"/>
      <c r="E349" s="34"/>
      <c r="F349" s="34"/>
      <c r="G349" s="20"/>
      <c r="H349" s="73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>
      <c r="A350" s="20"/>
      <c r="B350" s="34"/>
      <c r="C350" s="34"/>
      <c r="D350" s="34"/>
      <c r="E350" s="34"/>
      <c r="F350" s="34"/>
      <c r="G350" s="20"/>
      <c r="H350" s="73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>
      <c r="A351" s="20"/>
      <c r="B351" s="34"/>
      <c r="C351" s="34"/>
      <c r="D351" s="34"/>
      <c r="E351" s="34"/>
      <c r="F351" s="34"/>
      <c r="G351" s="20"/>
      <c r="H351" s="73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>
      <c r="A352" s="20"/>
      <c r="B352" s="34"/>
      <c r="C352" s="34"/>
      <c r="D352" s="34"/>
      <c r="E352" s="34"/>
      <c r="F352" s="34"/>
      <c r="G352" s="20"/>
      <c r="H352" s="73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>
      <c r="A353" s="20"/>
      <c r="B353" s="34"/>
      <c r="C353" s="34"/>
      <c r="D353" s="34"/>
      <c r="E353" s="34"/>
      <c r="F353" s="34"/>
      <c r="G353" s="20"/>
      <c r="H353" s="73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>
      <c r="A354" s="20"/>
      <c r="B354" s="34"/>
      <c r="C354" s="34"/>
      <c r="D354" s="34"/>
      <c r="E354" s="34"/>
      <c r="F354" s="34"/>
      <c r="G354" s="20"/>
      <c r="H354" s="73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>
      <c r="A355" s="20"/>
      <c r="B355" s="34"/>
      <c r="C355" s="34"/>
      <c r="D355" s="34"/>
      <c r="E355" s="34"/>
      <c r="F355" s="34"/>
      <c r="G355" s="20"/>
      <c r="H355" s="73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>
      <c r="A356" s="20"/>
      <c r="B356" s="34"/>
      <c r="C356" s="34"/>
      <c r="D356" s="34"/>
      <c r="E356" s="34"/>
      <c r="F356" s="34"/>
      <c r="G356" s="20"/>
      <c r="H356" s="73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>
      <c r="A357" s="20"/>
      <c r="B357" s="34"/>
      <c r="C357" s="34"/>
      <c r="D357" s="34"/>
      <c r="E357" s="34"/>
      <c r="F357" s="34"/>
      <c r="G357" s="20"/>
      <c r="H357" s="73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>
      <c r="A358" s="20"/>
      <c r="B358" s="34"/>
      <c r="C358" s="34"/>
      <c r="D358" s="34"/>
      <c r="E358" s="34"/>
      <c r="F358" s="34"/>
      <c r="G358" s="20"/>
      <c r="H358" s="73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>
      <c r="A359" s="20"/>
      <c r="B359" s="34"/>
      <c r="C359" s="34"/>
      <c r="D359" s="34"/>
      <c r="E359" s="34"/>
      <c r="F359" s="34"/>
      <c r="G359" s="20"/>
      <c r="H359" s="73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>
      <c r="A360" s="20"/>
      <c r="B360" s="34"/>
      <c r="C360" s="34"/>
      <c r="D360" s="34"/>
      <c r="E360" s="34"/>
      <c r="F360" s="34"/>
      <c r="G360" s="20"/>
      <c r="H360" s="73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>
      <c r="A361" s="20"/>
      <c r="B361" s="34"/>
      <c r="C361" s="34"/>
      <c r="D361" s="34"/>
      <c r="E361" s="34"/>
      <c r="F361" s="34"/>
      <c r="G361" s="20"/>
      <c r="H361" s="73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>
      <c r="A362" s="20"/>
      <c r="B362" s="34"/>
      <c r="C362" s="34"/>
      <c r="D362" s="34"/>
      <c r="E362" s="34"/>
      <c r="F362" s="34"/>
      <c r="G362" s="20"/>
      <c r="H362" s="73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>
      <c r="A363" s="20"/>
      <c r="B363" s="34"/>
      <c r="C363" s="34"/>
      <c r="D363" s="34"/>
      <c r="E363" s="34"/>
      <c r="F363" s="34"/>
      <c r="G363" s="20"/>
      <c r="H363" s="73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>
      <c r="A364" s="20"/>
      <c r="B364" s="34"/>
      <c r="C364" s="34"/>
      <c r="D364" s="34"/>
      <c r="E364" s="34"/>
      <c r="F364" s="34"/>
      <c r="G364" s="20"/>
      <c r="H364" s="73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>
      <c r="A365" s="20"/>
      <c r="B365" s="34"/>
      <c r="C365" s="34"/>
      <c r="D365" s="34"/>
      <c r="E365" s="34"/>
      <c r="F365" s="34"/>
      <c r="G365" s="20"/>
      <c r="H365" s="73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>
      <c r="A366" s="20"/>
      <c r="B366" s="34"/>
      <c r="C366" s="34"/>
      <c r="D366" s="34"/>
      <c r="E366" s="34"/>
      <c r="F366" s="34"/>
      <c r="G366" s="20"/>
      <c r="H366" s="73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>
      <c r="A367" s="20"/>
      <c r="B367" s="34"/>
      <c r="C367" s="34"/>
      <c r="D367" s="34"/>
      <c r="E367" s="34"/>
      <c r="F367" s="34"/>
      <c r="G367" s="20"/>
      <c r="H367" s="73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>
      <c r="A368" s="20"/>
      <c r="B368" s="34"/>
      <c r="C368" s="34"/>
      <c r="D368" s="34"/>
      <c r="E368" s="34"/>
      <c r="F368" s="34"/>
      <c r="G368" s="20"/>
      <c r="H368" s="73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>
      <c r="A369" s="20"/>
      <c r="B369" s="34"/>
      <c r="C369" s="34"/>
      <c r="D369" s="34"/>
      <c r="E369" s="34"/>
      <c r="F369" s="34"/>
      <c r="G369" s="20"/>
      <c r="H369" s="73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>
      <c r="A370" s="20"/>
      <c r="B370" s="34"/>
      <c r="C370" s="34"/>
      <c r="D370" s="34"/>
      <c r="E370" s="34"/>
      <c r="F370" s="34"/>
      <c r="G370" s="20"/>
      <c r="H370" s="73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>
      <c r="A371" s="20"/>
      <c r="B371" s="34"/>
      <c r="C371" s="34"/>
      <c r="D371" s="34"/>
      <c r="E371" s="34"/>
      <c r="F371" s="34"/>
      <c r="G371" s="20"/>
      <c r="H371" s="73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>
      <c r="A372" s="20"/>
      <c r="B372" s="34"/>
      <c r="C372" s="34"/>
      <c r="D372" s="34"/>
      <c r="E372" s="34"/>
      <c r="F372" s="34"/>
      <c r="G372" s="20"/>
      <c r="H372" s="73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>
      <c r="A373" s="20"/>
      <c r="B373" s="34"/>
      <c r="C373" s="34"/>
      <c r="D373" s="34"/>
      <c r="E373" s="34"/>
      <c r="F373" s="34"/>
      <c r="G373" s="20"/>
      <c r="H373" s="73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>
      <c r="A374" s="20"/>
      <c r="B374" s="34"/>
      <c r="C374" s="34"/>
      <c r="D374" s="34"/>
      <c r="E374" s="34"/>
      <c r="F374" s="34"/>
      <c r="G374" s="20"/>
      <c r="H374" s="73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>
      <c r="A375" s="20"/>
      <c r="B375" s="34"/>
      <c r="C375" s="34"/>
      <c r="D375" s="34"/>
      <c r="E375" s="34"/>
      <c r="F375" s="34"/>
      <c r="G375" s="20"/>
      <c r="H375" s="73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>
      <c r="A376" s="20"/>
      <c r="B376" s="34"/>
      <c r="C376" s="34"/>
      <c r="D376" s="34"/>
      <c r="E376" s="34"/>
      <c r="F376" s="34"/>
      <c r="G376" s="20"/>
      <c r="H376" s="73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>
      <c r="A377" s="20"/>
      <c r="B377" s="34"/>
      <c r="C377" s="34"/>
      <c r="D377" s="34"/>
      <c r="E377" s="34"/>
      <c r="F377" s="34"/>
      <c r="G377" s="20"/>
      <c r="H377" s="73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>
      <c r="A378" s="20"/>
      <c r="B378" s="34"/>
      <c r="C378" s="34"/>
      <c r="D378" s="34"/>
      <c r="E378" s="34"/>
      <c r="F378" s="34"/>
      <c r="G378" s="20"/>
      <c r="H378" s="73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>
      <c r="A379" s="20"/>
      <c r="B379" s="34"/>
      <c r="C379" s="34"/>
      <c r="D379" s="34"/>
      <c r="E379" s="34"/>
      <c r="F379" s="34"/>
      <c r="G379" s="20"/>
      <c r="H379" s="73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>
      <c r="A380" s="20"/>
      <c r="B380" s="34"/>
      <c r="C380" s="34"/>
      <c r="D380" s="34"/>
      <c r="E380" s="34"/>
      <c r="F380" s="34"/>
      <c r="G380" s="20"/>
      <c r="H380" s="73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>
      <c r="A381" s="20"/>
      <c r="B381" s="34"/>
      <c r="C381" s="34"/>
      <c r="D381" s="34"/>
      <c r="E381" s="34"/>
      <c r="F381" s="34"/>
      <c r="G381" s="20"/>
      <c r="H381" s="73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>
      <c r="A382" s="20"/>
      <c r="B382" s="34"/>
      <c r="C382" s="34"/>
      <c r="D382" s="34"/>
      <c r="E382" s="34"/>
      <c r="F382" s="34"/>
      <c r="G382" s="20"/>
      <c r="H382" s="73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>
      <c r="A383" s="20"/>
      <c r="B383" s="34"/>
      <c r="C383" s="34"/>
      <c r="D383" s="34"/>
      <c r="E383" s="34"/>
      <c r="F383" s="34"/>
      <c r="G383" s="20"/>
      <c r="H383" s="73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>
      <c r="A384" s="20"/>
      <c r="B384" s="34"/>
      <c r="C384" s="34"/>
      <c r="D384" s="34"/>
      <c r="E384" s="34"/>
      <c r="F384" s="34"/>
      <c r="G384" s="20"/>
      <c r="H384" s="73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>
      <c r="A385" s="20"/>
      <c r="B385" s="34"/>
      <c r="C385" s="34"/>
      <c r="D385" s="34"/>
      <c r="E385" s="34"/>
      <c r="F385" s="34"/>
      <c r="G385" s="20"/>
      <c r="H385" s="73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>
      <c r="A386" s="20"/>
      <c r="B386" s="34"/>
      <c r="C386" s="34"/>
      <c r="D386" s="34"/>
      <c r="E386" s="34"/>
      <c r="F386" s="34"/>
      <c r="G386" s="20"/>
      <c r="H386" s="73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>
      <c r="A387" s="20"/>
      <c r="B387" s="34"/>
      <c r="C387" s="34"/>
      <c r="D387" s="34"/>
      <c r="E387" s="34"/>
      <c r="F387" s="34"/>
      <c r="G387" s="20"/>
      <c r="H387" s="73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>
      <c r="A388" s="20"/>
      <c r="B388" s="34"/>
      <c r="C388" s="34"/>
      <c r="D388" s="34"/>
      <c r="E388" s="34"/>
      <c r="F388" s="34"/>
      <c r="G388" s="20"/>
      <c r="H388" s="73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>
      <c r="A389" s="20"/>
      <c r="B389" s="34"/>
      <c r="C389" s="34"/>
      <c r="D389" s="34"/>
      <c r="E389" s="34"/>
      <c r="F389" s="34"/>
      <c r="G389" s="20"/>
      <c r="H389" s="73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>
      <c r="A390" s="20"/>
      <c r="B390" s="34"/>
      <c r="C390" s="34"/>
      <c r="D390" s="34"/>
      <c r="E390" s="34"/>
      <c r="F390" s="34"/>
      <c r="G390" s="20"/>
      <c r="H390" s="73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>
      <c r="A391" s="20"/>
      <c r="B391" s="34"/>
      <c r="C391" s="34"/>
      <c r="D391" s="34"/>
      <c r="E391" s="34"/>
      <c r="F391" s="34"/>
      <c r="G391" s="20"/>
      <c r="H391" s="73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>
      <c r="A392" s="20"/>
      <c r="B392" s="34"/>
      <c r="C392" s="34"/>
      <c r="D392" s="34"/>
      <c r="E392" s="34"/>
      <c r="F392" s="34"/>
      <c r="G392" s="20"/>
      <c r="H392" s="73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>
      <c r="A393" s="20"/>
      <c r="B393" s="34"/>
      <c r="C393" s="34"/>
      <c r="D393" s="34"/>
      <c r="E393" s="34"/>
      <c r="F393" s="34"/>
      <c r="G393" s="20"/>
      <c r="H393" s="73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>
      <c r="A394" s="20"/>
      <c r="B394" s="34"/>
      <c r="C394" s="34"/>
      <c r="D394" s="34"/>
      <c r="E394" s="34"/>
      <c r="F394" s="34"/>
      <c r="G394" s="20"/>
      <c r="H394" s="73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>
      <c r="A395" s="20"/>
      <c r="B395" s="34"/>
      <c r="C395" s="34"/>
      <c r="D395" s="34"/>
      <c r="E395" s="34"/>
      <c r="F395" s="34"/>
      <c r="G395" s="20"/>
      <c r="H395" s="73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>
      <c r="A396" s="20"/>
      <c r="B396" s="34"/>
      <c r="C396" s="34"/>
      <c r="D396" s="34"/>
      <c r="E396" s="34"/>
      <c r="F396" s="34"/>
      <c r="G396" s="20"/>
      <c r="H396" s="73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>
      <c r="A397" s="20"/>
      <c r="B397" s="34"/>
      <c r="C397" s="34"/>
      <c r="D397" s="34"/>
      <c r="E397" s="34"/>
      <c r="F397" s="34"/>
      <c r="G397" s="20"/>
      <c r="H397" s="73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>
      <c r="A398" s="20"/>
      <c r="B398" s="34"/>
      <c r="C398" s="34"/>
      <c r="D398" s="34"/>
      <c r="E398" s="34"/>
      <c r="F398" s="34"/>
      <c r="G398" s="20"/>
      <c r="H398" s="73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>
      <c r="A399" s="20"/>
      <c r="B399" s="34"/>
      <c r="C399" s="34"/>
      <c r="D399" s="34"/>
      <c r="E399" s="34"/>
      <c r="F399" s="34"/>
      <c r="G399" s="20"/>
      <c r="H399" s="73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>
      <c r="A400" s="20"/>
      <c r="B400" s="34"/>
      <c r="C400" s="34"/>
      <c r="D400" s="34"/>
      <c r="E400" s="34"/>
      <c r="F400" s="34"/>
      <c r="G400" s="20"/>
      <c r="H400" s="73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>
      <c r="A401" s="20"/>
      <c r="B401" s="34"/>
      <c r="C401" s="34"/>
      <c r="D401" s="34"/>
      <c r="E401" s="34"/>
      <c r="F401" s="34"/>
      <c r="G401" s="20"/>
      <c r="H401" s="73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>
      <c r="A402" s="20"/>
      <c r="B402" s="34"/>
      <c r="C402" s="34"/>
      <c r="D402" s="34"/>
      <c r="E402" s="34"/>
      <c r="F402" s="34"/>
      <c r="G402" s="20"/>
      <c r="H402" s="73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>
      <c r="A403" s="20"/>
      <c r="B403" s="34"/>
      <c r="C403" s="34"/>
      <c r="D403" s="34"/>
      <c r="E403" s="34"/>
      <c r="F403" s="34"/>
      <c r="G403" s="20"/>
      <c r="H403" s="73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>
      <c r="A404" s="20"/>
      <c r="B404" s="34"/>
      <c r="C404" s="34"/>
      <c r="D404" s="34"/>
      <c r="E404" s="34"/>
      <c r="F404" s="34"/>
      <c r="G404" s="20"/>
      <c r="H404" s="73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>
      <c r="A405" s="20"/>
      <c r="B405" s="34"/>
      <c r="C405" s="34"/>
      <c r="D405" s="34"/>
      <c r="E405" s="34"/>
      <c r="F405" s="34"/>
      <c r="G405" s="20"/>
      <c r="H405" s="73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>
      <c r="A406" s="20"/>
      <c r="B406" s="34"/>
      <c r="C406" s="34"/>
      <c r="D406" s="34"/>
      <c r="E406" s="34"/>
      <c r="F406" s="34"/>
      <c r="G406" s="20"/>
      <c r="H406" s="73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>
      <c r="A407" s="20"/>
      <c r="B407" s="34"/>
      <c r="C407" s="34"/>
      <c r="D407" s="34"/>
      <c r="E407" s="34"/>
      <c r="F407" s="34"/>
      <c r="G407" s="20"/>
      <c r="H407" s="73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>
      <c r="A408" s="20"/>
      <c r="B408" s="34"/>
      <c r="C408" s="34"/>
      <c r="D408" s="34"/>
      <c r="E408" s="34"/>
      <c r="F408" s="34"/>
      <c r="G408" s="20"/>
      <c r="H408" s="73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>
      <c r="A409" s="20"/>
      <c r="B409" s="34"/>
      <c r="C409" s="34"/>
      <c r="D409" s="34"/>
      <c r="E409" s="34"/>
      <c r="F409" s="34"/>
      <c r="G409" s="20"/>
      <c r="H409" s="73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>
      <c r="A410" s="20"/>
      <c r="B410" s="34"/>
      <c r="C410" s="34"/>
      <c r="D410" s="34"/>
      <c r="E410" s="34"/>
      <c r="F410" s="34"/>
      <c r="G410" s="20"/>
      <c r="H410" s="73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>
      <c r="A411" s="20"/>
      <c r="B411" s="34"/>
      <c r="C411" s="34"/>
      <c r="D411" s="34"/>
      <c r="E411" s="34"/>
      <c r="F411" s="34"/>
      <c r="G411" s="20"/>
      <c r="H411" s="73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>
      <c r="A412" s="20"/>
      <c r="B412" s="34"/>
      <c r="C412" s="34"/>
      <c r="D412" s="34"/>
      <c r="E412" s="34"/>
      <c r="F412" s="34"/>
      <c r="G412" s="20"/>
      <c r="H412" s="73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>
      <c r="A413" s="20"/>
      <c r="B413" s="34"/>
      <c r="C413" s="34"/>
      <c r="D413" s="34"/>
      <c r="E413" s="34"/>
      <c r="F413" s="34"/>
      <c r="G413" s="20"/>
      <c r="H413" s="73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>
      <c r="A414" s="20"/>
      <c r="B414" s="34"/>
      <c r="C414" s="34"/>
      <c r="D414" s="34"/>
      <c r="E414" s="34"/>
      <c r="F414" s="34"/>
      <c r="G414" s="20"/>
      <c r="H414" s="73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>
      <c r="A415" s="20"/>
      <c r="B415" s="34"/>
      <c r="C415" s="34"/>
      <c r="D415" s="34"/>
      <c r="E415" s="34"/>
      <c r="F415" s="34"/>
      <c r="G415" s="20"/>
      <c r="H415" s="73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>
      <c r="A416" s="20"/>
      <c r="B416" s="34"/>
      <c r="C416" s="34"/>
      <c r="D416" s="34"/>
      <c r="E416" s="34"/>
      <c r="F416" s="34"/>
      <c r="G416" s="20"/>
      <c r="H416" s="73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>
      <c r="A417" s="20"/>
      <c r="B417" s="34"/>
      <c r="C417" s="34"/>
      <c r="D417" s="34"/>
      <c r="E417" s="34"/>
      <c r="F417" s="34"/>
      <c r="G417" s="20"/>
      <c r="H417" s="73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>
      <c r="A418" s="20"/>
      <c r="B418" s="34"/>
      <c r="C418" s="34"/>
      <c r="D418" s="34"/>
      <c r="E418" s="34"/>
      <c r="F418" s="34"/>
      <c r="G418" s="20"/>
      <c r="H418" s="73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>
      <c r="A419" s="20"/>
      <c r="B419" s="34"/>
      <c r="C419" s="34"/>
      <c r="D419" s="34"/>
      <c r="E419" s="34"/>
      <c r="F419" s="34"/>
      <c r="G419" s="20"/>
      <c r="H419" s="73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>
      <c r="A420" s="20"/>
      <c r="B420" s="34"/>
      <c r="C420" s="34"/>
      <c r="D420" s="34"/>
      <c r="E420" s="34"/>
      <c r="F420" s="34"/>
      <c r="G420" s="20"/>
      <c r="H420" s="73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>
      <c r="A421" s="20"/>
      <c r="B421" s="34"/>
      <c r="C421" s="34"/>
      <c r="D421" s="34"/>
      <c r="E421" s="34"/>
      <c r="F421" s="34"/>
      <c r="G421" s="20"/>
      <c r="H421" s="73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>
      <c r="A422" s="20"/>
      <c r="B422" s="34"/>
      <c r="C422" s="34"/>
      <c r="D422" s="34"/>
      <c r="E422" s="34"/>
      <c r="F422" s="34"/>
      <c r="G422" s="20"/>
      <c r="H422" s="73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>
      <c r="A423" s="20"/>
      <c r="B423" s="34"/>
      <c r="C423" s="34"/>
      <c r="D423" s="34"/>
      <c r="E423" s="34"/>
      <c r="F423" s="34"/>
      <c r="G423" s="20"/>
      <c r="H423" s="73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>
      <c r="A424" s="20"/>
      <c r="B424" s="34"/>
      <c r="C424" s="34"/>
      <c r="D424" s="34"/>
      <c r="E424" s="34"/>
      <c r="F424" s="34"/>
      <c r="G424" s="20"/>
      <c r="H424" s="73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>
      <c r="A425" s="20"/>
      <c r="B425" s="34"/>
      <c r="C425" s="34"/>
      <c r="D425" s="34"/>
      <c r="E425" s="34"/>
      <c r="F425" s="34"/>
      <c r="G425" s="20"/>
      <c r="H425" s="73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>
      <c r="A426" s="20"/>
      <c r="B426" s="34"/>
      <c r="C426" s="34"/>
      <c r="D426" s="34"/>
      <c r="E426" s="34"/>
      <c r="F426" s="34"/>
      <c r="G426" s="20"/>
      <c r="H426" s="73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>
      <c r="A427" s="20"/>
      <c r="B427" s="34"/>
      <c r="C427" s="34"/>
      <c r="D427" s="34"/>
      <c r="E427" s="34"/>
      <c r="F427" s="34"/>
      <c r="G427" s="20"/>
      <c r="H427" s="73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>
      <c r="A428" s="20"/>
      <c r="B428" s="34"/>
      <c r="C428" s="34"/>
      <c r="D428" s="34"/>
      <c r="E428" s="34"/>
      <c r="F428" s="34"/>
      <c r="G428" s="20"/>
      <c r="H428" s="73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>
      <c r="A429" s="20"/>
      <c r="B429" s="34"/>
      <c r="C429" s="34"/>
      <c r="D429" s="34"/>
      <c r="E429" s="34"/>
      <c r="F429" s="34"/>
      <c r="G429" s="20"/>
      <c r="H429" s="73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>
      <c r="A430" s="20"/>
      <c r="B430" s="34"/>
      <c r="C430" s="34"/>
      <c r="D430" s="34"/>
      <c r="E430" s="34"/>
      <c r="F430" s="34"/>
      <c r="G430" s="20"/>
      <c r="H430" s="73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>
      <c r="A431" s="20"/>
      <c r="B431" s="34"/>
      <c r="C431" s="34"/>
      <c r="D431" s="34"/>
      <c r="E431" s="34"/>
      <c r="F431" s="34"/>
      <c r="G431" s="20"/>
      <c r="H431" s="73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>
      <c r="A432" s="20"/>
      <c r="B432" s="34"/>
      <c r="C432" s="34"/>
      <c r="D432" s="34"/>
      <c r="E432" s="34"/>
      <c r="F432" s="34"/>
      <c r="G432" s="20"/>
      <c r="H432" s="73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>
      <c r="A433" s="20"/>
      <c r="B433" s="34"/>
      <c r="C433" s="34"/>
      <c r="D433" s="34"/>
      <c r="E433" s="34"/>
      <c r="F433" s="34"/>
      <c r="G433" s="20"/>
      <c r="H433" s="73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>
      <c r="A434" s="20"/>
      <c r="B434" s="34"/>
      <c r="C434" s="34"/>
      <c r="D434" s="34"/>
      <c r="E434" s="34"/>
      <c r="F434" s="34"/>
      <c r="G434" s="20"/>
      <c r="H434" s="73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>
      <c r="A435" s="20"/>
      <c r="B435" s="34"/>
      <c r="C435" s="34"/>
      <c r="D435" s="34"/>
      <c r="E435" s="34"/>
      <c r="F435" s="34"/>
      <c r="G435" s="20"/>
      <c r="H435" s="73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>
      <c r="A436" s="20"/>
      <c r="B436" s="34"/>
      <c r="C436" s="34"/>
      <c r="D436" s="34"/>
      <c r="E436" s="34"/>
      <c r="F436" s="34"/>
      <c r="G436" s="20"/>
      <c r="H436" s="73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>
      <c r="A437" s="20"/>
      <c r="B437" s="34"/>
      <c r="C437" s="34"/>
      <c r="D437" s="34"/>
      <c r="E437" s="34"/>
      <c r="F437" s="34"/>
      <c r="G437" s="20"/>
      <c r="H437" s="73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>
      <c r="A438" s="20"/>
      <c r="B438" s="34"/>
      <c r="C438" s="34"/>
      <c r="D438" s="34"/>
      <c r="E438" s="34"/>
      <c r="F438" s="34"/>
      <c r="G438" s="20"/>
      <c r="H438" s="73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>
      <c r="A439" s="20"/>
      <c r="B439" s="34"/>
      <c r="C439" s="34"/>
      <c r="D439" s="34"/>
      <c r="E439" s="34"/>
      <c r="F439" s="34"/>
      <c r="G439" s="20"/>
      <c r="H439" s="73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>
      <c r="A440" s="20"/>
      <c r="B440" s="34"/>
      <c r="C440" s="34"/>
      <c r="D440" s="34"/>
      <c r="E440" s="34"/>
      <c r="F440" s="34"/>
      <c r="G440" s="20"/>
      <c r="H440" s="73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>
      <c r="A441" s="20"/>
      <c r="B441" s="34"/>
      <c r="C441" s="34"/>
      <c r="D441" s="34"/>
      <c r="E441" s="34"/>
      <c r="F441" s="34"/>
      <c r="G441" s="20"/>
      <c r="H441" s="73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>
      <c r="A442" s="20"/>
      <c r="B442" s="34"/>
      <c r="C442" s="34"/>
      <c r="D442" s="34"/>
      <c r="E442" s="34"/>
      <c r="F442" s="34"/>
      <c r="G442" s="20"/>
      <c r="H442" s="73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>
      <c r="A443" s="20"/>
      <c r="B443" s="34"/>
      <c r="C443" s="34"/>
      <c r="D443" s="34"/>
      <c r="E443" s="34"/>
      <c r="F443" s="34"/>
      <c r="G443" s="20"/>
      <c r="H443" s="73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>
      <c r="A444" s="20"/>
      <c r="B444" s="34"/>
      <c r="C444" s="34"/>
      <c r="D444" s="34"/>
      <c r="E444" s="34"/>
      <c r="F444" s="34"/>
      <c r="G444" s="20"/>
      <c r="H444" s="73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>
      <c r="A445" s="20"/>
      <c r="B445" s="34"/>
      <c r="C445" s="34"/>
      <c r="D445" s="34"/>
      <c r="E445" s="34"/>
      <c r="F445" s="34"/>
      <c r="G445" s="20"/>
      <c r="H445" s="73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>
      <c r="A446" s="20"/>
      <c r="B446" s="34"/>
      <c r="C446" s="34"/>
      <c r="D446" s="34"/>
      <c r="E446" s="34"/>
      <c r="F446" s="34"/>
      <c r="G446" s="20"/>
      <c r="H446" s="73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>
      <c r="A447" s="20"/>
      <c r="B447" s="34"/>
      <c r="C447" s="34"/>
      <c r="D447" s="34"/>
      <c r="E447" s="34"/>
      <c r="F447" s="34"/>
      <c r="G447" s="20"/>
      <c r="H447" s="73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>
      <c r="A448" s="20"/>
      <c r="B448" s="34"/>
      <c r="C448" s="34"/>
      <c r="D448" s="34"/>
      <c r="E448" s="34"/>
      <c r="F448" s="34"/>
      <c r="G448" s="20"/>
      <c r="H448" s="73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>
      <c r="A449" s="20"/>
      <c r="B449" s="34"/>
      <c r="C449" s="34"/>
      <c r="D449" s="34"/>
      <c r="E449" s="34"/>
      <c r="F449" s="34"/>
      <c r="G449" s="20"/>
      <c r="H449" s="73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>
      <c r="A450" s="20"/>
      <c r="B450" s="34"/>
      <c r="C450" s="34"/>
      <c r="D450" s="34"/>
      <c r="E450" s="34"/>
      <c r="F450" s="34"/>
      <c r="G450" s="20"/>
      <c r="H450" s="73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>
      <c r="A451" s="20"/>
      <c r="B451" s="34"/>
      <c r="C451" s="34"/>
      <c r="D451" s="34"/>
      <c r="E451" s="34"/>
      <c r="F451" s="34"/>
      <c r="G451" s="20"/>
      <c r="H451" s="73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>
      <c r="A452" s="20"/>
      <c r="B452" s="34"/>
      <c r="C452" s="34"/>
      <c r="D452" s="34"/>
      <c r="E452" s="34"/>
      <c r="F452" s="34"/>
      <c r="G452" s="20"/>
      <c r="H452" s="73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>
      <c r="A453" s="20"/>
      <c r="B453" s="34"/>
      <c r="C453" s="34"/>
      <c r="D453" s="34"/>
      <c r="E453" s="34"/>
      <c r="F453" s="34"/>
      <c r="G453" s="20"/>
      <c r="H453" s="73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>
      <c r="A454" s="20"/>
      <c r="B454" s="34"/>
      <c r="C454" s="34"/>
      <c r="D454" s="34"/>
      <c r="E454" s="34"/>
      <c r="F454" s="34"/>
      <c r="G454" s="20"/>
      <c r="H454" s="73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>
      <c r="A455" s="20"/>
      <c r="B455" s="34"/>
      <c r="C455" s="34"/>
      <c r="D455" s="34"/>
      <c r="E455" s="34"/>
      <c r="F455" s="34"/>
      <c r="G455" s="20"/>
      <c r="H455" s="73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>
      <c r="A456" s="20"/>
      <c r="B456" s="34"/>
      <c r="C456" s="34"/>
      <c r="D456" s="34"/>
      <c r="E456" s="34"/>
      <c r="F456" s="34"/>
      <c r="G456" s="20"/>
      <c r="H456" s="73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>
      <c r="A457" s="20"/>
      <c r="B457" s="34"/>
      <c r="C457" s="34"/>
      <c r="D457" s="34"/>
      <c r="E457" s="34"/>
      <c r="F457" s="34"/>
      <c r="G457" s="20"/>
      <c r="H457" s="73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>
      <c r="A458" s="20"/>
      <c r="B458" s="34"/>
      <c r="C458" s="34"/>
      <c r="D458" s="34"/>
      <c r="E458" s="34"/>
      <c r="F458" s="34"/>
      <c r="G458" s="20"/>
      <c r="H458" s="73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>
      <c r="A459" s="20"/>
      <c r="B459" s="34"/>
      <c r="C459" s="34"/>
      <c r="D459" s="34"/>
      <c r="E459" s="34"/>
      <c r="F459" s="34"/>
      <c r="G459" s="20"/>
      <c r="H459" s="73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>
      <c r="A460" s="20"/>
      <c r="B460" s="34"/>
      <c r="C460" s="34"/>
      <c r="D460" s="34"/>
      <c r="E460" s="34"/>
      <c r="F460" s="34"/>
      <c r="G460" s="20"/>
      <c r="H460" s="73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>
      <c r="A461" s="20"/>
      <c r="B461" s="34"/>
      <c r="C461" s="34"/>
      <c r="D461" s="34"/>
      <c r="E461" s="34"/>
      <c r="F461" s="34"/>
      <c r="G461" s="20"/>
      <c r="H461" s="73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>
      <c r="A462" s="20"/>
      <c r="B462" s="34"/>
      <c r="C462" s="34"/>
      <c r="D462" s="34"/>
      <c r="E462" s="34"/>
      <c r="F462" s="34"/>
      <c r="G462" s="20"/>
      <c r="H462" s="73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>
      <c r="A463" s="20"/>
      <c r="B463" s="34"/>
      <c r="C463" s="34"/>
      <c r="D463" s="34"/>
      <c r="E463" s="34"/>
      <c r="F463" s="34"/>
      <c r="G463" s="20"/>
      <c r="H463" s="73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>
      <c r="A464" s="20"/>
      <c r="B464" s="34"/>
      <c r="C464" s="34"/>
      <c r="D464" s="34"/>
      <c r="E464" s="34"/>
      <c r="F464" s="34"/>
      <c r="G464" s="20"/>
      <c r="H464" s="73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>
      <c r="A465" s="20"/>
      <c r="B465" s="34"/>
      <c r="C465" s="34"/>
      <c r="D465" s="34"/>
      <c r="E465" s="34"/>
      <c r="F465" s="34"/>
      <c r="G465" s="20"/>
      <c r="H465" s="73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>
      <c r="A466" s="20"/>
      <c r="B466" s="34"/>
      <c r="C466" s="34"/>
      <c r="D466" s="34"/>
      <c r="E466" s="34"/>
      <c r="F466" s="34"/>
      <c r="G466" s="20"/>
      <c r="H466" s="73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>
      <c r="A467" s="20"/>
      <c r="B467" s="34"/>
      <c r="C467" s="34"/>
      <c r="D467" s="34"/>
      <c r="E467" s="34"/>
      <c r="F467" s="34"/>
      <c r="G467" s="20"/>
      <c r="H467" s="73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>
      <c r="A468" s="20"/>
      <c r="B468" s="34"/>
      <c r="C468" s="34"/>
      <c r="D468" s="34"/>
      <c r="E468" s="34"/>
      <c r="F468" s="34"/>
      <c r="G468" s="20"/>
      <c r="H468" s="73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>
      <c r="A469" s="20"/>
      <c r="B469" s="34"/>
      <c r="C469" s="34"/>
      <c r="D469" s="34"/>
      <c r="E469" s="34"/>
      <c r="F469" s="34"/>
      <c r="G469" s="20"/>
      <c r="H469" s="73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>
      <c r="A470" s="20"/>
      <c r="B470" s="34"/>
      <c r="C470" s="34"/>
      <c r="D470" s="34"/>
      <c r="E470" s="34"/>
      <c r="F470" s="34"/>
      <c r="G470" s="20"/>
      <c r="H470" s="73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>
      <c r="A471" s="20"/>
      <c r="B471" s="34"/>
      <c r="C471" s="34"/>
      <c r="D471" s="34"/>
      <c r="E471" s="34"/>
      <c r="F471" s="34"/>
      <c r="G471" s="20"/>
      <c r="H471" s="73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>
      <c r="A472" s="20"/>
      <c r="B472" s="34"/>
      <c r="C472" s="34"/>
      <c r="D472" s="34"/>
      <c r="E472" s="34"/>
      <c r="F472" s="34"/>
      <c r="G472" s="20"/>
      <c r="H472" s="73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>
      <c r="A473" s="20"/>
      <c r="B473" s="34"/>
      <c r="C473" s="34"/>
      <c r="D473" s="34"/>
      <c r="E473" s="34"/>
      <c r="F473" s="34"/>
      <c r="G473" s="20"/>
      <c r="H473" s="73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>
      <c r="A474" s="20"/>
      <c r="B474" s="34"/>
      <c r="C474" s="34"/>
      <c r="D474" s="34"/>
      <c r="E474" s="34"/>
      <c r="F474" s="34"/>
      <c r="G474" s="20"/>
      <c r="H474" s="73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>
      <c r="A475" s="20"/>
      <c r="B475" s="34"/>
      <c r="C475" s="34"/>
      <c r="D475" s="34"/>
      <c r="E475" s="34"/>
      <c r="F475" s="34"/>
      <c r="G475" s="20"/>
      <c r="H475" s="73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>
      <c r="A476" s="20"/>
      <c r="B476" s="34"/>
      <c r="C476" s="34"/>
      <c r="D476" s="34"/>
      <c r="E476" s="34"/>
      <c r="F476" s="34"/>
      <c r="G476" s="20"/>
      <c r="H476" s="73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>
      <c r="A477" s="20"/>
      <c r="B477" s="34"/>
      <c r="C477" s="34"/>
      <c r="D477" s="34"/>
      <c r="E477" s="34"/>
      <c r="F477" s="34"/>
      <c r="G477" s="20"/>
      <c r="H477" s="73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>
      <c r="A478" s="20"/>
      <c r="B478" s="34"/>
      <c r="C478" s="34"/>
      <c r="D478" s="34"/>
      <c r="E478" s="34"/>
      <c r="F478" s="34"/>
      <c r="G478" s="20"/>
      <c r="H478" s="73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>
      <c r="A479" s="20"/>
      <c r="B479" s="34"/>
      <c r="C479" s="34"/>
      <c r="D479" s="34"/>
      <c r="E479" s="34"/>
      <c r="F479" s="34"/>
      <c r="G479" s="20"/>
      <c r="H479" s="73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>
      <c r="A480" s="20"/>
      <c r="B480" s="34"/>
      <c r="C480" s="34"/>
      <c r="D480" s="34"/>
      <c r="E480" s="34"/>
      <c r="F480" s="34"/>
      <c r="G480" s="20"/>
      <c r="H480" s="73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>
      <c r="A481" s="20"/>
      <c r="B481" s="34"/>
      <c r="C481" s="34"/>
      <c r="D481" s="34"/>
      <c r="E481" s="34"/>
      <c r="F481" s="34"/>
      <c r="G481" s="20"/>
      <c r="H481" s="73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>
      <c r="A482" s="20"/>
      <c r="B482" s="34"/>
      <c r="C482" s="34"/>
      <c r="D482" s="34"/>
      <c r="E482" s="34"/>
      <c r="F482" s="34"/>
      <c r="G482" s="20"/>
      <c r="H482" s="73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>
      <c r="A483" s="20"/>
      <c r="B483" s="34"/>
      <c r="C483" s="34"/>
      <c r="D483" s="34"/>
      <c r="E483" s="34"/>
      <c r="F483" s="34"/>
      <c r="G483" s="20"/>
      <c r="H483" s="73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>
      <c r="A484" s="20"/>
      <c r="B484" s="34"/>
      <c r="C484" s="34"/>
      <c r="D484" s="34"/>
      <c r="E484" s="34"/>
      <c r="F484" s="34"/>
      <c r="G484" s="20"/>
      <c r="H484" s="73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>
      <c r="A485" s="20"/>
      <c r="B485" s="34"/>
      <c r="C485" s="34"/>
      <c r="D485" s="34"/>
      <c r="E485" s="34"/>
      <c r="F485" s="34"/>
      <c r="G485" s="20"/>
      <c r="H485" s="73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>
      <c r="A486" s="20"/>
      <c r="B486" s="34"/>
      <c r="C486" s="34"/>
      <c r="D486" s="34"/>
      <c r="E486" s="34"/>
      <c r="F486" s="34"/>
      <c r="G486" s="20"/>
      <c r="H486" s="73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>
      <c r="A487" s="20"/>
      <c r="B487" s="34"/>
      <c r="C487" s="34"/>
      <c r="D487" s="34"/>
      <c r="E487" s="34"/>
      <c r="F487" s="34"/>
      <c r="G487" s="20"/>
      <c r="H487" s="73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>
      <c r="A488" s="20"/>
      <c r="B488" s="34"/>
      <c r="C488" s="34"/>
      <c r="D488" s="34"/>
      <c r="E488" s="34"/>
      <c r="F488" s="34"/>
      <c r="G488" s="20"/>
      <c r="H488" s="73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>
      <c r="A489" s="20"/>
      <c r="B489" s="34"/>
      <c r="C489" s="34"/>
      <c r="D489" s="34"/>
      <c r="E489" s="34"/>
      <c r="F489" s="34"/>
      <c r="G489" s="20"/>
      <c r="H489" s="73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>
      <c r="A490" s="20"/>
      <c r="B490" s="34"/>
      <c r="C490" s="34"/>
      <c r="D490" s="34"/>
      <c r="E490" s="34"/>
      <c r="F490" s="34"/>
      <c r="G490" s="20"/>
      <c r="H490" s="73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>
      <c r="A491" s="20"/>
      <c r="B491" s="34"/>
      <c r="C491" s="34"/>
      <c r="D491" s="34"/>
      <c r="E491" s="34"/>
      <c r="F491" s="34"/>
      <c r="G491" s="20"/>
      <c r="H491" s="73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>
      <c r="A492" s="20"/>
      <c r="B492" s="34"/>
      <c r="C492" s="34"/>
      <c r="D492" s="34"/>
      <c r="E492" s="34"/>
      <c r="F492" s="34"/>
      <c r="G492" s="20"/>
      <c r="H492" s="73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>
      <c r="A493" s="20"/>
      <c r="B493" s="34"/>
      <c r="C493" s="34"/>
      <c r="D493" s="34"/>
      <c r="E493" s="34"/>
      <c r="F493" s="34"/>
      <c r="G493" s="20"/>
      <c r="H493" s="73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>
      <c r="A494" s="20"/>
      <c r="B494" s="34"/>
      <c r="C494" s="34"/>
      <c r="D494" s="34"/>
      <c r="E494" s="34"/>
      <c r="F494" s="34"/>
      <c r="G494" s="20"/>
      <c r="H494" s="73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>
      <c r="A495" s="20"/>
      <c r="B495" s="34"/>
      <c r="C495" s="34"/>
      <c r="D495" s="34"/>
      <c r="E495" s="34"/>
      <c r="F495" s="34"/>
      <c r="G495" s="20"/>
      <c r="H495" s="73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>
      <c r="A496" s="20"/>
      <c r="B496" s="34"/>
      <c r="C496" s="34"/>
      <c r="D496" s="34"/>
      <c r="E496" s="34"/>
      <c r="F496" s="34"/>
      <c r="G496" s="20"/>
      <c r="H496" s="73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>
      <c r="A497" s="20"/>
      <c r="B497" s="34"/>
      <c r="C497" s="34"/>
      <c r="D497" s="34"/>
      <c r="E497" s="34"/>
      <c r="F497" s="34"/>
      <c r="G497" s="20"/>
      <c r="H497" s="73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>
      <c r="A498" s="20"/>
      <c r="B498" s="34"/>
      <c r="C498" s="34"/>
      <c r="D498" s="34"/>
      <c r="E498" s="34"/>
      <c r="F498" s="34"/>
      <c r="G498" s="20"/>
      <c r="H498" s="73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>
      <c r="A499" s="20"/>
      <c r="B499" s="34"/>
      <c r="C499" s="34"/>
      <c r="D499" s="34"/>
      <c r="E499" s="34"/>
      <c r="F499" s="34"/>
      <c r="G499" s="20"/>
      <c r="H499" s="73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>
      <c r="A500" s="20"/>
      <c r="B500" s="34"/>
      <c r="C500" s="34"/>
      <c r="D500" s="34"/>
      <c r="E500" s="34"/>
      <c r="F500" s="34"/>
      <c r="G500" s="20"/>
      <c r="H500" s="73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>
      <c r="A501" s="20"/>
      <c r="B501" s="34"/>
      <c r="C501" s="34"/>
      <c r="D501" s="34"/>
      <c r="E501" s="34"/>
      <c r="F501" s="34"/>
      <c r="G501" s="20"/>
      <c r="H501" s="73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>
      <c r="A502" s="20"/>
      <c r="B502" s="34"/>
      <c r="C502" s="34"/>
      <c r="D502" s="34"/>
      <c r="E502" s="34"/>
      <c r="F502" s="34"/>
      <c r="G502" s="20"/>
      <c r="H502" s="73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>
      <c r="A503" s="20"/>
      <c r="B503" s="34"/>
      <c r="C503" s="34"/>
      <c r="D503" s="34"/>
      <c r="E503" s="34"/>
      <c r="F503" s="34"/>
      <c r="G503" s="20"/>
      <c r="H503" s="73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>
      <c r="A504" s="20"/>
      <c r="B504" s="34"/>
      <c r="C504" s="34"/>
      <c r="D504" s="34"/>
      <c r="E504" s="34"/>
      <c r="F504" s="34"/>
      <c r="G504" s="20"/>
      <c r="H504" s="73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>
      <c r="A505" s="20"/>
      <c r="B505" s="34"/>
      <c r="C505" s="34"/>
      <c r="D505" s="34"/>
      <c r="E505" s="34"/>
      <c r="F505" s="34"/>
      <c r="G505" s="20"/>
      <c r="H505" s="73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>
      <c r="A506" s="20"/>
      <c r="B506" s="34"/>
      <c r="C506" s="34"/>
      <c r="D506" s="34"/>
      <c r="E506" s="34"/>
      <c r="F506" s="34"/>
      <c r="G506" s="20"/>
      <c r="H506" s="73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>
      <c r="A507" s="20"/>
      <c r="B507" s="34"/>
      <c r="C507" s="34"/>
      <c r="D507" s="34"/>
      <c r="E507" s="34"/>
      <c r="F507" s="34"/>
      <c r="G507" s="20"/>
      <c r="H507" s="73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>
      <c r="A508" s="20"/>
      <c r="B508" s="34"/>
      <c r="C508" s="34"/>
      <c r="D508" s="34"/>
      <c r="E508" s="34"/>
      <c r="F508" s="34"/>
      <c r="G508" s="20"/>
      <c r="H508" s="73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>
      <c r="A509" s="20"/>
      <c r="B509" s="34"/>
      <c r="C509" s="34"/>
      <c r="D509" s="34"/>
      <c r="E509" s="34"/>
      <c r="F509" s="34"/>
      <c r="G509" s="20"/>
      <c r="H509" s="73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>
      <c r="A510" s="20"/>
      <c r="B510" s="34"/>
      <c r="C510" s="34"/>
      <c r="D510" s="34"/>
      <c r="E510" s="34"/>
      <c r="F510" s="34"/>
      <c r="G510" s="20"/>
      <c r="H510" s="73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>
      <c r="A511" s="20"/>
      <c r="B511" s="34"/>
      <c r="C511" s="34"/>
      <c r="D511" s="34"/>
      <c r="E511" s="34"/>
      <c r="F511" s="34"/>
      <c r="G511" s="20"/>
      <c r="H511" s="73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>
      <c r="A512" s="20"/>
      <c r="B512" s="34"/>
      <c r="C512" s="34"/>
      <c r="D512" s="34"/>
      <c r="E512" s="34"/>
      <c r="F512" s="34"/>
      <c r="G512" s="20"/>
      <c r="H512" s="73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>
      <c r="A513" s="20"/>
      <c r="B513" s="34"/>
      <c r="C513" s="34"/>
      <c r="D513" s="34"/>
      <c r="E513" s="34"/>
      <c r="F513" s="34"/>
      <c r="G513" s="20"/>
      <c r="H513" s="73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>
      <c r="A514" s="20"/>
      <c r="B514" s="34"/>
      <c r="C514" s="34"/>
      <c r="D514" s="34"/>
      <c r="E514" s="34"/>
      <c r="F514" s="34"/>
      <c r="G514" s="20"/>
      <c r="H514" s="73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>
      <c r="A515" s="20"/>
      <c r="B515" s="34"/>
      <c r="C515" s="34"/>
      <c r="D515" s="34"/>
      <c r="E515" s="34"/>
      <c r="F515" s="34"/>
      <c r="G515" s="20"/>
      <c r="H515" s="73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>
      <c r="A516" s="20"/>
      <c r="B516" s="34"/>
      <c r="C516" s="34"/>
      <c r="D516" s="34"/>
      <c r="E516" s="34"/>
      <c r="F516" s="34"/>
      <c r="G516" s="20"/>
      <c r="H516" s="73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>
      <c r="A517" s="20"/>
      <c r="B517" s="34"/>
      <c r="C517" s="34"/>
      <c r="D517" s="34"/>
      <c r="E517" s="34"/>
      <c r="F517" s="34"/>
      <c r="G517" s="20"/>
      <c r="H517" s="73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>
      <c r="A518" s="20"/>
      <c r="B518" s="34"/>
      <c r="C518" s="34"/>
      <c r="D518" s="34"/>
      <c r="E518" s="34"/>
      <c r="F518" s="34"/>
      <c r="G518" s="20"/>
      <c r="H518" s="73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>
      <c r="A519" s="20"/>
      <c r="B519" s="34"/>
      <c r="C519" s="34"/>
      <c r="D519" s="34"/>
      <c r="E519" s="34"/>
      <c r="F519" s="34"/>
      <c r="G519" s="20"/>
      <c r="H519" s="73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>
      <c r="A520" s="20"/>
      <c r="B520" s="34"/>
      <c r="C520" s="34"/>
      <c r="D520" s="34"/>
      <c r="E520" s="34"/>
      <c r="F520" s="34"/>
      <c r="G520" s="20"/>
      <c r="H520" s="73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>
      <c r="A521" s="20"/>
      <c r="B521" s="34"/>
      <c r="C521" s="34"/>
      <c r="D521" s="34"/>
      <c r="E521" s="34"/>
      <c r="F521" s="34"/>
      <c r="G521" s="20"/>
      <c r="H521" s="73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>
      <c r="A522" s="20"/>
      <c r="B522" s="34"/>
      <c r="C522" s="34"/>
      <c r="D522" s="34"/>
      <c r="E522" s="34"/>
      <c r="F522" s="34"/>
      <c r="G522" s="20"/>
      <c r="H522" s="73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>
      <c r="A523" s="20"/>
      <c r="B523" s="34"/>
      <c r="C523" s="34"/>
      <c r="D523" s="34"/>
      <c r="E523" s="34"/>
      <c r="F523" s="34"/>
      <c r="G523" s="20"/>
      <c r="H523" s="73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>
      <c r="A524" s="20"/>
      <c r="B524" s="34"/>
      <c r="C524" s="34"/>
      <c r="D524" s="34"/>
      <c r="E524" s="34"/>
      <c r="F524" s="34"/>
      <c r="G524" s="20"/>
      <c r="H524" s="73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>
      <c r="A525" s="20"/>
      <c r="B525" s="34"/>
      <c r="C525" s="34"/>
      <c r="D525" s="34"/>
      <c r="E525" s="34"/>
      <c r="F525" s="34"/>
      <c r="G525" s="20"/>
      <c r="H525" s="73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>
      <c r="A526" s="20"/>
      <c r="B526" s="34"/>
      <c r="C526" s="34"/>
      <c r="D526" s="34"/>
      <c r="E526" s="34"/>
      <c r="F526" s="34"/>
      <c r="G526" s="20"/>
      <c r="H526" s="73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>
      <c r="A527" s="20"/>
      <c r="B527" s="34"/>
      <c r="C527" s="34"/>
      <c r="D527" s="34"/>
      <c r="E527" s="34"/>
      <c r="F527" s="34"/>
      <c r="G527" s="20"/>
      <c r="H527" s="73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>
      <c r="A528" s="20"/>
      <c r="B528" s="34"/>
      <c r="C528" s="34"/>
      <c r="D528" s="34"/>
      <c r="E528" s="34"/>
      <c r="F528" s="34"/>
      <c r="G528" s="20"/>
      <c r="H528" s="73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>
      <c r="A529" s="20"/>
      <c r="B529" s="34"/>
      <c r="C529" s="34"/>
      <c r="D529" s="34"/>
      <c r="E529" s="34"/>
      <c r="F529" s="34"/>
      <c r="G529" s="20"/>
      <c r="H529" s="73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>
      <c r="A530" s="20"/>
      <c r="B530" s="34"/>
      <c r="C530" s="34"/>
      <c r="D530" s="34"/>
      <c r="E530" s="34"/>
      <c r="F530" s="34"/>
      <c r="G530" s="20"/>
      <c r="H530" s="73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>
      <c r="A531" s="20"/>
      <c r="B531" s="34"/>
      <c r="C531" s="34"/>
      <c r="D531" s="34"/>
      <c r="E531" s="34"/>
      <c r="F531" s="34"/>
      <c r="G531" s="20"/>
      <c r="H531" s="73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>
      <c r="A532" s="20"/>
      <c r="B532" s="34"/>
      <c r="C532" s="34"/>
      <c r="D532" s="34"/>
      <c r="E532" s="34"/>
      <c r="F532" s="34"/>
      <c r="G532" s="20"/>
      <c r="H532" s="73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>
      <c r="A533" s="20"/>
      <c r="B533" s="34"/>
      <c r="C533" s="34"/>
      <c r="D533" s="34"/>
      <c r="E533" s="34"/>
      <c r="F533" s="34"/>
      <c r="G533" s="20"/>
      <c r="H533" s="73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>
      <c r="A534" s="20"/>
      <c r="B534" s="34"/>
      <c r="C534" s="34"/>
      <c r="D534" s="34"/>
      <c r="E534" s="34"/>
      <c r="F534" s="34"/>
      <c r="G534" s="20"/>
      <c r="H534" s="73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>
      <c r="A535" s="20"/>
      <c r="B535" s="34"/>
      <c r="C535" s="34"/>
      <c r="D535" s="34"/>
      <c r="E535" s="34"/>
      <c r="F535" s="34"/>
      <c r="G535" s="20"/>
      <c r="H535" s="73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>
      <c r="A536" s="20"/>
      <c r="B536" s="34"/>
      <c r="C536" s="34"/>
      <c r="D536" s="34"/>
      <c r="E536" s="34"/>
      <c r="F536" s="34"/>
      <c r="G536" s="20"/>
      <c r="H536" s="73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>
      <c r="A537" s="20"/>
      <c r="B537" s="34"/>
      <c r="C537" s="34"/>
      <c r="D537" s="34"/>
      <c r="E537" s="34"/>
      <c r="F537" s="34"/>
      <c r="G537" s="20"/>
      <c r="H537" s="73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>
      <c r="A538" s="20"/>
      <c r="B538" s="34"/>
      <c r="C538" s="34"/>
      <c r="D538" s="34"/>
      <c r="E538" s="34"/>
      <c r="F538" s="34"/>
      <c r="G538" s="20"/>
      <c r="H538" s="73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>
      <c r="A539" s="20"/>
      <c r="B539" s="34"/>
      <c r="C539" s="34"/>
      <c r="D539" s="34"/>
      <c r="E539" s="34"/>
      <c r="F539" s="34"/>
      <c r="G539" s="20"/>
      <c r="H539" s="73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>
      <c r="A540" s="20"/>
      <c r="B540" s="34"/>
      <c r="C540" s="34"/>
      <c r="D540" s="34"/>
      <c r="E540" s="34"/>
      <c r="F540" s="34"/>
      <c r="G540" s="20"/>
      <c r="H540" s="73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>
      <c r="A541" s="20"/>
      <c r="B541" s="34"/>
      <c r="C541" s="34"/>
      <c r="D541" s="34"/>
      <c r="E541" s="34"/>
      <c r="F541" s="34"/>
      <c r="G541" s="20"/>
      <c r="H541" s="73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>
      <c r="A542" s="20"/>
      <c r="B542" s="34"/>
      <c r="C542" s="34"/>
      <c r="D542" s="34"/>
      <c r="E542" s="34"/>
      <c r="F542" s="34"/>
      <c r="G542" s="20"/>
      <c r="H542" s="73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>
      <c r="A543" s="20"/>
      <c r="B543" s="34"/>
      <c r="C543" s="34"/>
      <c r="D543" s="34"/>
      <c r="E543" s="34"/>
      <c r="F543" s="34"/>
      <c r="G543" s="20"/>
      <c r="H543" s="73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>
      <c r="A544" s="20"/>
      <c r="B544" s="34"/>
      <c r="C544" s="34"/>
      <c r="D544" s="34"/>
      <c r="E544" s="34"/>
      <c r="F544" s="34"/>
      <c r="G544" s="20"/>
      <c r="H544" s="73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>
      <c r="A545" s="20"/>
      <c r="B545" s="34"/>
      <c r="C545" s="34"/>
      <c r="D545" s="34"/>
      <c r="E545" s="34"/>
      <c r="F545" s="34"/>
      <c r="G545" s="20"/>
      <c r="H545" s="73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>
      <c r="A546" s="20"/>
      <c r="B546" s="34"/>
      <c r="C546" s="34"/>
      <c r="D546" s="34"/>
      <c r="E546" s="34"/>
      <c r="F546" s="34"/>
      <c r="G546" s="20"/>
      <c r="H546" s="73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>
      <c r="A547" s="20"/>
      <c r="B547" s="34"/>
      <c r="C547" s="34"/>
      <c r="D547" s="34"/>
      <c r="E547" s="34"/>
      <c r="F547" s="34"/>
      <c r="G547" s="20"/>
      <c r="H547" s="73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>
      <c r="A548" s="20"/>
      <c r="B548" s="34"/>
      <c r="C548" s="34"/>
      <c r="D548" s="34"/>
      <c r="E548" s="34"/>
      <c r="F548" s="34"/>
      <c r="G548" s="20"/>
      <c r="H548" s="73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>
      <c r="A549" s="20"/>
      <c r="B549" s="34"/>
      <c r="C549" s="34"/>
      <c r="D549" s="34"/>
      <c r="E549" s="34"/>
      <c r="F549" s="34"/>
      <c r="G549" s="20"/>
      <c r="H549" s="73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>
      <c r="A550" s="20"/>
      <c r="B550" s="34"/>
      <c r="C550" s="34"/>
      <c r="D550" s="34"/>
      <c r="E550" s="34"/>
      <c r="F550" s="34"/>
      <c r="G550" s="20"/>
      <c r="H550" s="73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>
      <c r="A551" s="20"/>
      <c r="B551" s="34"/>
      <c r="C551" s="34"/>
      <c r="D551" s="34"/>
      <c r="E551" s="34"/>
      <c r="F551" s="34"/>
      <c r="G551" s="20"/>
      <c r="H551" s="73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>
      <c r="A552" s="20"/>
      <c r="B552" s="34"/>
      <c r="C552" s="34"/>
      <c r="D552" s="34"/>
      <c r="E552" s="34"/>
      <c r="F552" s="34"/>
      <c r="G552" s="20"/>
      <c r="H552" s="73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>
      <c r="A553" s="20"/>
      <c r="B553" s="34"/>
      <c r="C553" s="34"/>
      <c r="D553" s="34"/>
      <c r="E553" s="34"/>
      <c r="F553" s="34"/>
      <c r="G553" s="20"/>
      <c r="H553" s="73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>
      <c r="A554" s="20"/>
      <c r="B554" s="34"/>
      <c r="C554" s="34"/>
      <c r="D554" s="34"/>
      <c r="E554" s="34"/>
      <c r="F554" s="34"/>
      <c r="G554" s="20"/>
      <c r="H554" s="73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>
      <c r="A555" s="20"/>
      <c r="B555" s="34"/>
      <c r="C555" s="34"/>
      <c r="D555" s="34"/>
      <c r="E555" s="34"/>
      <c r="F555" s="34"/>
      <c r="G555" s="20"/>
      <c r="H555" s="73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>
      <c r="A556" s="20"/>
      <c r="B556" s="34"/>
      <c r="C556" s="34"/>
      <c r="D556" s="34"/>
      <c r="E556" s="34"/>
      <c r="F556" s="34"/>
      <c r="G556" s="20"/>
      <c r="H556" s="73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>
      <c r="A557" s="20"/>
      <c r="B557" s="34"/>
      <c r="C557" s="34"/>
      <c r="D557" s="34"/>
      <c r="E557" s="34"/>
      <c r="F557" s="34"/>
      <c r="G557" s="20"/>
      <c r="H557" s="73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>
      <c r="A558" s="20"/>
      <c r="B558" s="34"/>
      <c r="C558" s="34"/>
      <c r="D558" s="34"/>
      <c r="E558" s="34"/>
      <c r="F558" s="34"/>
      <c r="G558" s="20"/>
      <c r="H558" s="73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>
      <c r="A559" s="20"/>
      <c r="B559" s="34"/>
      <c r="C559" s="34"/>
      <c r="D559" s="34"/>
      <c r="E559" s="34"/>
      <c r="F559" s="34"/>
      <c r="G559" s="20"/>
      <c r="H559" s="73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>
      <c r="A560" s="20"/>
      <c r="B560" s="34"/>
      <c r="C560" s="34"/>
      <c r="D560" s="34"/>
      <c r="E560" s="34"/>
      <c r="F560" s="34"/>
      <c r="G560" s="20"/>
      <c r="H560" s="73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>
      <c r="A561" s="20"/>
      <c r="B561" s="34"/>
      <c r="C561" s="34"/>
      <c r="D561" s="34"/>
      <c r="E561" s="34"/>
      <c r="F561" s="34"/>
      <c r="G561" s="20"/>
      <c r="H561" s="73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>
      <c r="A562" s="20"/>
      <c r="B562" s="34"/>
      <c r="C562" s="34"/>
      <c r="D562" s="34"/>
      <c r="E562" s="34"/>
      <c r="F562" s="34"/>
      <c r="G562" s="20"/>
      <c r="H562" s="73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>
      <c r="A563" s="20"/>
      <c r="B563" s="34"/>
      <c r="C563" s="34"/>
      <c r="D563" s="34"/>
      <c r="E563" s="34"/>
      <c r="F563" s="34"/>
      <c r="G563" s="20"/>
      <c r="H563" s="73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>
      <c r="A564" s="20"/>
      <c r="B564" s="34"/>
      <c r="C564" s="34"/>
      <c r="D564" s="34"/>
      <c r="E564" s="34"/>
      <c r="F564" s="34"/>
      <c r="G564" s="20"/>
      <c r="H564" s="73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>
      <c r="A565" s="20"/>
      <c r="B565" s="34"/>
      <c r="C565" s="34"/>
      <c r="D565" s="34"/>
      <c r="E565" s="34"/>
      <c r="F565" s="34"/>
      <c r="G565" s="20"/>
      <c r="H565" s="73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>
      <c r="A566" s="20"/>
      <c r="B566" s="34"/>
      <c r="C566" s="34"/>
      <c r="D566" s="34"/>
      <c r="E566" s="34"/>
      <c r="F566" s="34"/>
      <c r="G566" s="20"/>
      <c r="H566" s="73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>
      <c r="A567" s="20"/>
      <c r="B567" s="34"/>
      <c r="C567" s="34"/>
      <c r="D567" s="34"/>
      <c r="E567" s="34"/>
      <c r="F567" s="34"/>
      <c r="G567" s="20"/>
      <c r="H567" s="73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>
      <c r="A568" s="20"/>
      <c r="B568" s="34"/>
      <c r="C568" s="34"/>
      <c r="D568" s="34"/>
      <c r="E568" s="34"/>
      <c r="F568" s="34"/>
      <c r="G568" s="20"/>
      <c r="H568" s="73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>
      <c r="A569" s="20"/>
      <c r="B569" s="34"/>
      <c r="C569" s="34"/>
      <c r="D569" s="34"/>
      <c r="E569" s="34"/>
      <c r="F569" s="34"/>
      <c r="G569" s="20"/>
      <c r="H569" s="73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>
      <c r="A570" s="20"/>
      <c r="B570" s="34"/>
      <c r="C570" s="34"/>
      <c r="D570" s="34"/>
      <c r="E570" s="34"/>
      <c r="F570" s="34"/>
      <c r="G570" s="20"/>
      <c r="H570" s="73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>
      <c r="A571" s="20"/>
      <c r="B571" s="34"/>
      <c r="C571" s="34"/>
      <c r="D571" s="34"/>
      <c r="E571" s="34"/>
      <c r="F571" s="34"/>
      <c r="G571" s="20"/>
      <c r="H571" s="73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>
      <c r="A572" s="20"/>
      <c r="B572" s="34"/>
      <c r="C572" s="34"/>
      <c r="D572" s="34"/>
      <c r="E572" s="34"/>
      <c r="F572" s="34"/>
      <c r="G572" s="20"/>
      <c r="H572" s="73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>
      <c r="A573" s="20"/>
      <c r="B573" s="34"/>
      <c r="C573" s="34"/>
      <c r="D573" s="34"/>
      <c r="E573" s="34"/>
      <c r="F573" s="34"/>
      <c r="G573" s="20"/>
      <c r="H573" s="73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>
      <c r="A574" s="20"/>
      <c r="B574" s="34"/>
      <c r="C574" s="34"/>
      <c r="D574" s="34"/>
      <c r="E574" s="34"/>
      <c r="F574" s="34"/>
      <c r="G574" s="20"/>
      <c r="H574" s="73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>
      <c r="A575" s="20"/>
      <c r="B575" s="34"/>
      <c r="C575" s="34"/>
      <c r="D575" s="34"/>
      <c r="E575" s="34"/>
      <c r="F575" s="34"/>
      <c r="G575" s="20"/>
      <c r="H575" s="73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>
      <c r="A576" s="20"/>
      <c r="B576" s="34"/>
      <c r="C576" s="34"/>
      <c r="D576" s="34"/>
      <c r="E576" s="34"/>
      <c r="F576" s="34"/>
      <c r="G576" s="20"/>
      <c r="H576" s="73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>
      <c r="A577" s="20"/>
      <c r="B577" s="34"/>
      <c r="C577" s="34"/>
      <c r="D577" s="34"/>
      <c r="E577" s="34"/>
      <c r="F577" s="34"/>
      <c r="G577" s="20"/>
      <c r="H577" s="73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>
      <c r="A578" s="20"/>
      <c r="B578" s="34"/>
      <c r="C578" s="34"/>
      <c r="D578" s="34"/>
      <c r="E578" s="34"/>
      <c r="F578" s="34"/>
      <c r="G578" s="20"/>
      <c r="H578" s="73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>
      <c r="A579" s="20"/>
      <c r="B579" s="34"/>
      <c r="C579" s="34"/>
      <c r="D579" s="34"/>
      <c r="E579" s="34"/>
      <c r="F579" s="34"/>
      <c r="G579" s="20"/>
      <c r="H579" s="73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>
      <c r="A580" s="20"/>
      <c r="B580" s="34"/>
      <c r="C580" s="34"/>
      <c r="D580" s="34"/>
      <c r="E580" s="34"/>
      <c r="F580" s="34"/>
      <c r="G580" s="20"/>
      <c r="H580" s="73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>
      <c r="A581" s="20"/>
      <c r="B581" s="34"/>
      <c r="C581" s="34"/>
      <c r="D581" s="34"/>
      <c r="E581" s="34"/>
      <c r="F581" s="34"/>
      <c r="G581" s="20"/>
      <c r="H581" s="73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>
      <c r="A582" s="20"/>
      <c r="B582" s="34"/>
      <c r="C582" s="34"/>
      <c r="D582" s="34"/>
      <c r="E582" s="34"/>
      <c r="F582" s="34"/>
      <c r="G582" s="20"/>
      <c r="H582" s="73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>
      <c r="A583" s="20"/>
      <c r="B583" s="34"/>
      <c r="C583" s="34"/>
      <c r="D583" s="34"/>
      <c r="E583" s="34"/>
      <c r="F583" s="34"/>
      <c r="G583" s="20"/>
      <c r="H583" s="73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>
      <c r="A584" s="20"/>
      <c r="B584" s="34"/>
      <c r="C584" s="34"/>
      <c r="D584" s="34"/>
      <c r="E584" s="34"/>
      <c r="F584" s="34"/>
      <c r="G584" s="20"/>
      <c r="H584" s="73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>
      <c r="A585" s="20"/>
      <c r="B585" s="34"/>
      <c r="C585" s="34"/>
      <c r="D585" s="34"/>
      <c r="E585" s="34"/>
      <c r="F585" s="34"/>
      <c r="G585" s="20"/>
      <c r="H585" s="73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>
      <c r="A586" s="20"/>
      <c r="B586" s="34"/>
      <c r="C586" s="34"/>
      <c r="D586" s="34"/>
      <c r="E586" s="34"/>
      <c r="F586" s="34"/>
      <c r="G586" s="20"/>
      <c r="H586" s="73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>
      <c r="A587" s="20"/>
      <c r="B587" s="34"/>
      <c r="C587" s="34"/>
      <c r="D587" s="34"/>
      <c r="E587" s="34"/>
      <c r="F587" s="34"/>
      <c r="G587" s="20"/>
      <c r="H587" s="73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>
      <c r="A588" s="20"/>
      <c r="B588" s="34"/>
      <c r="C588" s="34"/>
      <c r="D588" s="34"/>
      <c r="E588" s="34"/>
      <c r="F588" s="34"/>
      <c r="G588" s="20"/>
      <c r="H588" s="73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>
      <c r="A589" s="20"/>
      <c r="B589" s="34"/>
      <c r="C589" s="34"/>
      <c r="D589" s="34"/>
      <c r="E589" s="34"/>
      <c r="F589" s="34"/>
      <c r="G589" s="20"/>
      <c r="H589" s="73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>
      <c r="A590" s="20"/>
      <c r="B590" s="34"/>
      <c r="C590" s="34"/>
      <c r="D590" s="34"/>
      <c r="E590" s="34"/>
      <c r="F590" s="34"/>
      <c r="G590" s="20"/>
      <c r="H590" s="73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>
      <c r="A591" s="20"/>
      <c r="B591" s="34"/>
      <c r="C591" s="34"/>
      <c r="D591" s="34"/>
      <c r="E591" s="34"/>
      <c r="F591" s="34"/>
      <c r="G591" s="20"/>
      <c r="H591" s="73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>
      <c r="A592" s="20"/>
      <c r="B592" s="34"/>
      <c r="C592" s="34"/>
      <c r="D592" s="34"/>
      <c r="E592" s="34"/>
      <c r="F592" s="34"/>
      <c r="G592" s="20"/>
      <c r="H592" s="73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>
      <c r="A593" s="20"/>
      <c r="B593" s="34"/>
      <c r="C593" s="34"/>
      <c r="D593" s="34"/>
      <c r="E593" s="34"/>
      <c r="F593" s="34"/>
      <c r="G593" s="20"/>
      <c r="H593" s="73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>
      <c r="A594" s="20"/>
      <c r="B594" s="34"/>
      <c r="C594" s="34"/>
      <c r="D594" s="34"/>
      <c r="E594" s="34"/>
      <c r="F594" s="34"/>
      <c r="G594" s="20"/>
      <c r="H594" s="73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>
      <c r="A595" s="20"/>
      <c r="B595" s="34"/>
      <c r="C595" s="34"/>
      <c r="D595" s="34"/>
      <c r="E595" s="34"/>
      <c r="F595" s="34"/>
      <c r="G595" s="20"/>
      <c r="H595" s="73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>
      <c r="A596" s="20"/>
      <c r="B596" s="34"/>
      <c r="C596" s="34"/>
      <c r="D596" s="34"/>
      <c r="E596" s="34"/>
      <c r="F596" s="34"/>
      <c r="G596" s="20"/>
      <c r="H596" s="73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>
      <c r="A597" s="20"/>
      <c r="B597" s="34"/>
      <c r="C597" s="34"/>
      <c r="D597" s="34"/>
      <c r="E597" s="34"/>
      <c r="F597" s="34"/>
      <c r="G597" s="20"/>
      <c r="H597" s="73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>
      <c r="A598" s="20"/>
      <c r="B598" s="34"/>
      <c r="C598" s="34"/>
      <c r="D598" s="34"/>
      <c r="E598" s="34"/>
      <c r="F598" s="34"/>
      <c r="G598" s="20"/>
      <c r="H598" s="73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>
      <c r="A599" s="20"/>
      <c r="B599" s="34"/>
      <c r="C599" s="34"/>
      <c r="D599" s="34"/>
      <c r="E599" s="34"/>
      <c r="F599" s="34"/>
      <c r="G599" s="20"/>
      <c r="H599" s="73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>
      <c r="A600" s="20"/>
      <c r="B600" s="34"/>
      <c r="C600" s="34"/>
      <c r="D600" s="34"/>
      <c r="E600" s="34"/>
      <c r="F600" s="34"/>
      <c r="G600" s="20"/>
      <c r="H600" s="73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>
      <c r="A601" s="20"/>
      <c r="B601" s="34"/>
      <c r="C601" s="34"/>
      <c r="D601" s="34"/>
      <c r="E601" s="34"/>
      <c r="F601" s="34"/>
      <c r="G601" s="20"/>
      <c r="H601" s="73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>
      <c r="A602" s="20"/>
      <c r="B602" s="34"/>
      <c r="C602" s="34"/>
      <c r="D602" s="34"/>
      <c r="E602" s="34"/>
      <c r="F602" s="34"/>
      <c r="G602" s="20"/>
      <c r="H602" s="73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>
      <c r="A603" s="20"/>
      <c r="B603" s="34"/>
      <c r="C603" s="34"/>
      <c r="D603" s="34"/>
      <c r="E603" s="34"/>
      <c r="F603" s="34"/>
      <c r="G603" s="20"/>
      <c r="H603" s="73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>
      <c r="A604" s="20"/>
      <c r="B604" s="34"/>
      <c r="C604" s="34"/>
      <c r="D604" s="34"/>
      <c r="E604" s="34"/>
      <c r="F604" s="34"/>
      <c r="G604" s="20"/>
      <c r="H604" s="73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>
      <c r="A605" s="20"/>
      <c r="B605" s="34"/>
      <c r="C605" s="34"/>
      <c r="D605" s="34"/>
      <c r="E605" s="34"/>
      <c r="F605" s="34"/>
      <c r="G605" s="20"/>
      <c r="H605" s="73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>
      <c r="A606" s="20"/>
      <c r="B606" s="34"/>
      <c r="C606" s="34"/>
      <c r="D606" s="34"/>
      <c r="E606" s="34"/>
      <c r="F606" s="34"/>
      <c r="G606" s="20"/>
      <c r="H606" s="73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>
      <c r="A607" s="20"/>
      <c r="B607" s="34"/>
      <c r="C607" s="34"/>
      <c r="D607" s="34"/>
      <c r="E607" s="34"/>
      <c r="F607" s="34"/>
      <c r="G607" s="20"/>
      <c r="H607" s="73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>
      <c r="A608" s="20"/>
      <c r="B608" s="34"/>
      <c r="C608" s="34"/>
      <c r="D608" s="34"/>
      <c r="E608" s="34"/>
      <c r="F608" s="34"/>
      <c r="G608" s="20"/>
      <c r="H608" s="73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>
      <c r="A609" s="20"/>
      <c r="B609" s="34"/>
      <c r="C609" s="34"/>
      <c r="D609" s="34"/>
      <c r="E609" s="34"/>
      <c r="F609" s="34"/>
      <c r="G609" s="20"/>
      <c r="H609" s="73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>
      <c r="A610" s="20"/>
      <c r="B610" s="34"/>
      <c r="C610" s="34"/>
      <c r="D610" s="34"/>
      <c r="E610" s="34"/>
      <c r="F610" s="34"/>
      <c r="G610" s="20"/>
      <c r="H610" s="73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>
      <c r="A611" s="20"/>
      <c r="B611" s="34"/>
      <c r="C611" s="34"/>
      <c r="D611" s="34"/>
      <c r="E611" s="34"/>
      <c r="F611" s="34"/>
      <c r="G611" s="20"/>
      <c r="H611" s="73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>
      <c r="A612" s="20"/>
      <c r="B612" s="34"/>
      <c r="C612" s="34"/>
      <c r="D612" s="34"/>
      <c r="E612" s="34"/>
      <c r="F612" s="34"/>
      <c r="G612" s="20"/>
      <c r="H612" s="73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>
      <c r="A613" s="20"/>
      <c r="B613" s="34"/>
      <c r="C613" s="34"/>
      <c r="D613" s="34"/>
      <c r="E613" s="34"/>
      <c r="F613" s="34"/>
      <c r="G613" s="20"/>
      <c r="H613" s="73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>
      <c r="A614" s="20"/>
      <c r="B614" s="34"/>
      <c r="C614" s="34"/>
      <c r="D614" s="34"/>
      <c r="E614" s="34"/>
      <c r="F614" s="34"/>
      <c r="G614" s="20"/>
      <c r="H614" s="73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>
      <c r="A615" s="20"/>
      <c r="B615" s="34"/>
      <c r="C615" s="34"/>
      <c r="D615" s="34"/>
      <c r="E615" s="34"/>
      <c r="F615" s="34"/>
      <c r="G615" s="20"/>
      <c r="H615" s="73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>
      <c r="A616" s="20"/>
      <c r="B616" s="34"/>
      <c r="C616" s="34"/>
      <c r="D616" s="34"/>
      <c r="E616" s="34"/>
      <c r="F616" s="34"/>
      <c r="G616" s="20"/>
      <c r="H616" s="73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>
      <c r="A617" s="20"/>
      <c r="B617" s="34"/>
      <c r="C617" s="34"/>
      <c r="D617" s="34"/>
      <c r="E617" s="34"/>
      <c r="F617" s="34"/>
      <c r="G617" s="20"/>
      <c r="H617" s="73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>
      <c r="A618" s="20"/>
      <c r="B618" s="34"/>
      <c r="C618" s="34"/>
      <c r="D618" s="34"/>
      <c r="E618" s="34"/>
      <c r="F618" s="34"/>
      <c r="G618" s="20"/>
      <c r="H618" s="73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>
      <c r="A619" s="20"/>
      <c r="B619" s="34"/>
      <c r="C619" s="34"/>
      <c r="D619" s="34"/>
      <c r="E619" s="34"/>
      <c r="F619" s="34"/>
      <c r="G619" s="20"/>
      <c r="H619" s="73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>
      <c r="A620" s="20"/>
      <c r="B620" s="34"/>
      <c r="C620" s="34"/>
      <c r="D620" s="34"/>
      <c r="E620" s="34"/>
      <c r="F620" s="34"/>
      <c r="G620" s="20"/>
      <c r="H620" s="73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>
      <c r="A621" s="20"/>
      <c r="B621" s="34"/>
      <c r="C621" s="34"/>
      <c r="D621" s="34"/>
      <c r="E621" s="34"/>
      <c r="F621" s="34"/>
      <c r="G621" s="20"/>
      <c r="H621" s="73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>
      <c r="A622" s="20"/>
      <c r="B622" s="34"/>
      <c r="C622" s="34"/>
      <c r="D622" s="34"/>
      <c r="E622" s="34"/>
      <c r="F622" s="34"/>
      <c r="G622" s="20"/>
      <c r="H622" s="73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>
      <c r="A623" s="20"/>
      <c r="B623" s="34"/>
      <c r="C623" s="34"/>
      <c r="D623" s="34"/>
      <c r="E623" s="34"/>
      <c r="F623" s="34"/>
      <c r="G623" s="20"/>
      <c r="H623" s="73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>
      <c r="A624" s="20"/>
      <c r="B624" s="34"/>
      <c r="C624" s="34"/>
      <c r="D624" s="34"/>
      <c r="E624" s="34"/>
      <c r="F624" s="34"/>
      <c r="G624" s="20"/>
      <c r="H624" s="73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>
      <c r="A625" s="20"/>
      <c r="B625" s="34"/>
      <c r="C625" s="34"/>
      <c r="D625" s="34"/>
      <c r="E625" s="34"/>
      <c r="F625" s="34"/>
      <c r="G625" s="20"/>
      <c r="H625" s="73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>
      <c r="A626" s="20"/>
      <c r="B626" s="34"/>
      <c r="C626" s="34"/>
      <c r="D626" s="34"/>
      <c r="E626" s="34"/>
      <c r="F626" s="34"/>
      <c r="G626" s="20"/>
      <c r="H626" s="73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>
      <c r="A627" s="20"/>
      <c r="B627" s="34"/>
      <c r="C627" s="34"/>
      <c r="D627" s="34"/>
      <c r="E627" s="34"/>
      <c r="F627" s="34"/>
      <c r="G627" s="20"/>
      <c r="H627" s="73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>
      <c r="A628" s="20"/>
      <c r="B628" s="34"/>
      <c r="C628" s="34"/>
      <c r="D628" s="34"/>
      <c r="E628" s="34"/>
      <c r="F628" s="34"/>
      <c r="G628" s="20"/>
      <c r="H628" s="73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>
      <c r="A629" s="20"/>
      <c r="B629" s="34"/>
      <c r="C629" s="34"/>
      <c r="D629" s="34"/>
      <c r="E629" s="34"/>
      <c r="F629" s="34"/>
      <c r="G629" s="20"/>
      <c r="H629" s="73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>
      <c r="A630" s="20"/>
      <c r="B630" s="34"/>
      <c r="C630" s="34"/>
      <c r="D630" s="34"/>
      <c r="E630" s="34"/>
      <c r="F630" s="34"/>
      <c r="G630" s="20"/>
      <c r="H630" s="73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>
      <c r="A631" s="20"/>
      <c r="B631" s="34"/>
      <c r="C631" s="34"/>
      <c r="D631" s="34"/>
      <c r="E631" s="34"/>
      <c r="F631" s="34"/>
      <c r="G631" s="20"/>
      <c r="H631" s="73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>
      <c r="A632" s="20"/>
      <c r="B632" s="34"/>
      <c r="C632" s="34"/>
      <c r="D632" s="34"/>
      <c r="E632" s="34"/>
      <c r="F632" s="34"/>
      <c r="G632" s="20"/>
      <c r="H632" s="73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>
      <c r="A633" s="20"/>
      <c r="B633" s="34"/>
      <c r="C633" s="34"/>
      <c r="D633" s="34"/>
      <c r="E633" s="34"/>
      <c r="F633" s="34"/>
      <c r="G633" s="20"/>
      <c r="H633" s="73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>
      <c r="A634" s="20"/>
      <c r="B634" s="34"/>
      <c r="C634" s="34"/>
      <c r="D634" s="34"/>
      <c r="E634" s="34"/>
      <c r="F634" s="34"/>
      <c r="G634" s="20"/>
      <c r="H634" s="73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>
      <c r="A635" s="20"/>
      <c r="B635" s="34"/>
      <c r="C635" s="34"/>
      <c r="D635" s="34"/>
      <c r="E635" s="34"/>
      <c r="F635" s="34"/>
      <c r="G635" s="20"/>
      <c r="H635" s="73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>
      <c r="A636" s="20"/>
      <c r="B636" s="34"/>
      <c r="C636" s="34"/>
      <c r="D636" s="34"/>
      <c r="E636" s="34"/>
      <c r="F636" s="34"/>
      <c r="G636" s="20"/>
      <c r="H636" s="73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>
      <c r="A637" s="20"/>
      <c r="B637" s="34"/>
      <c r="C637" s="34"/>
      <c r="D637" s="34"/>
      <c r="E637" s="34"/>
      <c r="F637" s="34"/>
      <c r="G637" s="20"/>
      <c r="H637" s="73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>
      <c r="A638" s="20"/>
      <c r="B638" s="34"/>
      <c r="C638" s="34"/>
      <c r="D638" s="34"/>
      <c r="E638" s="34"/>
      <c r="F638" s="34"/>
      <c r="G638" s="20"/>
      <c r="H638" s="73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>
      <c r="A639" s="20"/>
      <c r="B639" s="34"/>
      <c r="C639" s="34"/>
      <c r="D639" s="34"/>
      <c r="E639" s="34"/>
      <c r="F639" s="34"/>
      <c r="G639" s="20"/>
      <c r="H639" s="73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>
      <c r="A640" s="20"/>
      <c r="B640" s="34"/>
      <c r="C640" s="34"/>
      <c r="D640" s="34"/>
      <c r="E640" s="34"/>
      <c r="F640" s="34"/>
      <c r="G640" s="20"/>
      <c r="H640" s="73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>
      <c r="A641" s="20"/>
      <c r="B641" s="34"/>
      <c r="C641" s="34"/>
      <c r="D641" s="34"/>
      <c r="E641" s="34"/>
      <c r="F641" s="34"/>
      <c r="G641" s="20"/>
      <c r="H641" s="73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>
      <c r="A642" s="20"/>
      <c r="B642" s="34"/>
      <c r="C642" s="34"/>
      <c r="D642" s="34"/>
      <c r="E642" s="34"/>
      <c r="F642" s="34"/>
      <c r="G642" s="20"/>
      <c r="H642" s="73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>
      <c r="A643" s="20"/>
      <c r="B643" s="34"/>
      <c r="C643" s="34"/>
      <c r="D643" s="34"/>
      <c r="E643" s="34"/>
      <c r="F643" s="34"/>
      <c r="G643" s="20"/>
      <c r="H643" s="73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>
      <c r="A644" s="20"/>
      <c r="B644" s="34"/>
      <c r="C644" s="34"/>
      <c r="D644" s="34"/>
      <c r="E644" s="34"/>
      <c r="F644" s="34"/>
      <c r="G644" s="20"/>
      <c r="H644" s="73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>
      <c r="A645" s="20"/>
      <c r="B645" s="34"/>
      <c r="C645" s="34"/>
      <c r="D645" s="34"/>
      <c r="E645" s="34"/>
      <c r="F645" s="34"/>
      <c r="G645" s="20"/>
      <c r="H645" s="73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>
      <c r="A646" s="20"/>
      <c r="B646" s="34"/>
      <c r="C646" s="34"/>
      <c r="D646" s="34"/>
      <c r="E646" s="34"/>
      <c r="F646" s="34"/>
      <c r="G646" s="20"/>
      <c r="H646" s="73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>
      <c r="A647" s="20"/>
      <c r="B647" s="34"/>
      <c r="C647" s="34"/>
      <c r="D647" s="34"/>
      <c r="E647" s="34"/>
      <c r="F647" s="34"/>
      <c r="G647" s="20"/>
      <c r="H647" s="73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>
      <c r="A648" s="20"/>
      <c r="B648" s="34"/>
      <c r="C648" s="34"/>
      <c r="D648" s="34"/>
      <c r="E648" s="34"/>
      <c r="F648" s="34"/>
      <c r="G648" s="20"/>
      <c r="H648" s="73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>
      <c r="A649" s="20"/>
      <c r="B649" s="34"/>
      <c r="C649" s="34"/>
      <c r="D649" s="34"/>
      <c r="E649" s="34"/>
      <c r="F649" s="34"/>
      <c r="G649" s="20"/>
      <c r="H649" s="73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>
      <c r="A650" s="20"/>
      <c r="B650" s="34"/>
      <c r="C650" s="34"/>
      <c r="D650" s="34"/>
      <c r="E650" s="34"/>
      <c r="F650" s="34"/>
      <c r="G650" s="20"/>
      <c r="H650" s="73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>
      <c r="A651" s="20"/>
      <c r="B651" s="34"/>
      <c r="C651" s="34"/>
      <c r="D651" s="34"/>
      <c r="E651" s="34"/>
      <c r="F651" s="34"/>
      <c r="G651" s="20"/>
      <c r="H651" s="73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>
      <c r="A652" s="20"/>
      <c r="B652" s="34"/>
      <c r="C652" s="34"/>
      <c r="D652" s="34"/>
      <c r="E652" s="34"/>
      <c r="F652" s="34"/>
      <c r="G652" s="20"/>
      <c r="H652" s="73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>
      <c r="A653" s="20"/>
      <c r="B653" s="34"/>
      <c r="C653" s="34"/>
      <c r="D653" s="34"/>
      <c r="E653" s="34"/>
      <c r="F653" s="34"/>
      <c r="G653" s="20"/>
      <c r="H653" s="73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>
      <c r="A654" s="20"/>
      <c r="B654" s="34"/>
      <c r="C654" s="34"/>
      <c r="D654" s="34"/>
      <c r="E654" s="34"/>
      <c r="F654" s="34"/>
      <c r="G654" s="20"/>
      <c r="H654" s="73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>
      <c r="A655" s="20"/>
      <c r="B655" s="34"/>
      <c r="C655" s="34"/>
      <c r="D655" s="34"/>
      <c r="E655" s="34"/>
      <c r="F655" s="34"/>
      <c r="G655" s="20"/>
      <c r="H655" s="73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>
      <c r="A656" s="20"/>
      <c r="B656" s="34"/>
      <c r="C656" s="34"/>
      <c r="D656" s="34"/>
      <c r="E656" s="34"/>
      <c r="F656" s="34"/>
      <c r="G656" s="20"/>
      <c r="H656" s="73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>
      <c r="A657" s="20"/>
      <c r="B657" s="34"/>
      <c r="C657" s="34"/>
      <c r="D657" s="34"/>
      <c r="E657" s="34"/>
      <c r="F657" s="34"/>
      <c r="G657" s="20"/>
      <c r="H657" s="73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>
      <c r="A658" s="20"/>
      <c r="B658" s="34"/>
      <c r="C658" s="34"/>
      <c r="D658" s="34"/>
      <c r="E658" s="34"/>
      <c r="F658" s="34"/>
      <c r="G658" s="20"/>
      <c r="H658" s="73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>
      <c r="A659" s="20"/>
      <c r="B659" s="34"/>
      <c r="C659" s="34"/>
      <c r="D659" s="34"/>
      <c r="E659" s="34"/>
      <c r="F659" s="34"/>
      <c r="G659" s="20"/>
      <c r="H659" s="73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>
      <c r="A660" s="20"/>
      <c r="B660" s="34"/>
      <c r="C660" s="34"/>
      <c r="D660" s="34"/>
      <c r="E660" s="34"/>
      <c r="F660" s="34"/>
      <c r="G660" s="20"/>
      <c r="H660" s="73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>
      <c r="A661" s="20"/>
      <c r="B661" s="34"/>
      <c r="C661" s="34"/>
      <c r="D661" s="34"/>
      <c r="E661" s="34"/>
      <c r="F661" s="34"/>
      <c r="G661" s="20"/>
      <c r="H661" s="73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>
      <c r="A662" s="20"/>
      <c r="B662" s="34"/>
      <c r="C662" s="34"/>
      <c r="D662" s="34"/>
      <c r="E662" s="34"/>
      <c r="F662" s="34"/>
      <c r="G662" s="20"/>
      <c r="H662" s="73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>
      <c r="A663" s="20"/>
      <c r="B663" s="34"/>
      <c r="C663" s="34"/>
      <c r="D663" s="34"/>
      <c r="E663" s="34"/>
      <c r="F663" s="34"/>
      <c r="G663" s="20"/>
      <c r="H663" s="73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>
      <c r="A664" s="20"/>
      <c r="B664" s="34"/>
      <c r="C664" s="34"/>
      <c r="D664" s="34"/>
      <c r="E664" s="34"/>
      <c r="F664" s="34"/>
      <c r="G664" s="20"/>
      <c r="H664" s="73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>
      <c r="A665" s="20"/>
      <c r="B665" s="34"/>
      <c r="C665" s="34"/>
      <c r="D665" s="34"/>
      <c r="E665" s="34"/>
      <c r="F665" s="34"/>
      <c r="G665" s="20"/>
      <c r="H665" s="73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>
      <c r="A666" s="20"/>
      <c r="B666" s="34"/>
      <c r="C666" s="34"/>
      <c r="D666" s="34"/>
      <c r="E666" s="34"/>
      <c r="F666" s="34"/>
      <c r="G666" s="20"/>
      <c r="H666" s="73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>
      <c r="A667" s="20"/>
      <c r="B667" s="34"/>
      <c r="C667" s="34"/>
      <c r="D667" s="34"/>
      <c r="E667" s="34"/>
      <c r="F667" s="34"/>
      <c r="G667" s="20"/>
      <c r="H667" s="73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>
      <c r="A668" s="20"/>
      <c r="B668" s="34"/>
      <c r="C668" s="34"/>
      <c r="D668" s="34"/>
      <c r="E668" s="34"/>
      <c r="F668" s="34"/>
      <c r="G668" s="20"/>
      <c r="H668" s="73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>
      <c r="A669" s="20"/>
      <c r="B669" s="34"/>
      <c r="C669" s="34"/>
      <c r="D669" s="34"/>
      <c r="E669" s="34"/>
      <c r="F669" s="34"/>
      <c r="G669" s="20"/>
      <c r="H669" s="73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>
      <c r="A670" s="20"/>
      <c r="B670" s="34"/>
      <c r="C670" s="34"/>
      <c r="D670" s="34"/>
      <c r="E670" s="34"/>
      <c r="F670" s="34"/>
      <c r="G670" s="20"/>
      <c r="H670" s="73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>
      <c r="A671" s="20"/>
      <c r="B671" s="34"/>
      <c r="C671" s="34"/>
      <c r="D671" s="34"/>
      <c r="E671" s="34"/>
      <c r="F671" s="34"/>
      <c r="G671" s="20"/>
      <c r="H671" s="73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>
      <c r="A672" s="20"/>
      <c r="B672" s="34"/>
      <c r="C672" s="34"/>
      <c r="D672" s="34"/>
      <c r="E672" s="34"/>
      <c r="F672" s="34"/>
      <c r="G672" s="20"/>
      <c r="H672" s="73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>
      <c r="A673" s="20"/>
      <c r="B673" s="34"/>
      <c r="C673" s="34"/>
      <c r="D673" s="34"/>
      <c r="E673" s="34"/>
      <c r="F673" s="34"/>
      <c r="G673" s="20"/>
      <c r="H673" s="73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>
      <c r="A674" s="20"/>
      <c r="B674" s="34"/>
      <c r="C674" s="34"/>
      <c r="D674" s="34"/>
      <c r="E674" s="34"/>
      <c r="F674" s="34"/>
      <c r="G674" s="20"/>
      <c r="H674" s="73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>
      <c r="A675" s="20"/>
      <c r="B675" s="34"/>
      <c r="C675" s="34"/>
      <c r="D675" s="34"/>
      <c r="E675" s="34"/>
      <c r="F675" s="34"/>
      <c r="G675" s="20"/>
      <c r="H675" s="73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>
      <c r="A676" s="20"/>
      <c r="B676" s="34"/>
      <c r="C676" s="34"/>
      <c r="D676" s="34"/>
      <c r="E676" s="34"/>
      <c r="F676" s="34"/>
      <c r="G676" s="20"/>
      <c r="H676" s="73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>
      <c r="A677" s="20"/>
      <c r="B677" s="34"/>
      <c r="C677" s="34"/>
      <c r="D677" s="34"/>
      <c r="E677" s="34"/>
      <c r="F677" s="34"/>
      <c r="G677" s="20"/>
      <c r="H677" s="73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>
      <c r="A678" s="20"/>
      <c r="B678" s="34"/>
      <c r="C678" s="34"/>
      <c r="D678" s="34"/>
      <c r="E678" s="34"/>
      <c r="F678" s="34"/>
      <c r="G678" s="20"/>
      <c r="H678" s="73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>
      <c r="A679" s="20"/>
      <c r="B679" s="34"/>
      <c r="C679" s="34"/>
      <c r="D679" s="34"/>
      <c r="E679" s="34"/>
      <c r="F679" s="34"/>
      <c r="G679" s="20"/>
      <c r="H679" s="73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>
      <c r="A680" s="20"/>
      <c r="B680" s="34"/>
      <c r="C680" s="34"/>
      <c r="D680" s="34"/>
      <c r="E680" s="34"/>
      <c r="F680" s="34"/>
      <c r="G680" s="20"/>
      <c r="H680" s="73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>
      <c r="A681" s="20"/>
      <c r="B681" s="34"/>
      <c r="C681" s="34"/>
      <c r="D681" s="34"/>
      <c r="E681" s="34"/>
      <c r="F681" s="34"/>
      <c r="G681" s="20"/>
      <c r="H681" s="73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>
      <c r="A682" s="20"/>
      <c r="B682" s="34"/>
      <c r="C682" s="34"/>
      <c r="D682" s="34"/>
      <c r="E682" s="34"/>
      <c r="F682" s="34"/>
      <c r="G682" s="20"/>
      <c r="H682" s="73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>
      <c r="A683" s="20"/>
      <c r="B683" s="34"/>
      <c r="C683" s="34"/>
      <c r="D683" s="34"/>
      <c r="E683" s="34"/>
      <c r="F683" s="34"/>
      <c r="G683" s="20"/>
      <c r="H683" s="73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>
      <c r="A684" s="20"/>
      <c r="B684" s="34"/>
      <c r="C684" s="34"/>
      <c r="D684" s="34"/>
      <c r="E684" s="34"/>
      <c r="F684" s="34"/>
      <c r="G684" s="20"/>
      <c r="H684" s="73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>
      <c r="A685" s="20"/>
      <c r="B685" s="34"/>
      <c r="C685" s="34"/>
      <c r="D685" s="34"/>
      <c r="E685" s="34"/>
      <c r="F685" s="34"/>
      <c r="G685" s="20"/>
      <c r="H685" s="73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>
      <c r="A686" s="20"/>
      <c r="B686" s="34"/>
      <c r="C686" s="34"/>
      <c r="D686" s="34"/>
      <c r="E686" s="34"/>
      <c r="F686" s="34"/>
      <c r="G686" s="20"/>
      <c r="H686" s="73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>
      <c r="A687" s="20"/>
      <c r="B687" s="34"/>
      <c r="C687" s="34"/>
      <c r="D687" s="34"/>
      <c r="E687" s="34"/>
      <c r="F687" s="34"/>
      <c r="G687" s="20"/>
      <c r="H687" s="73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>
      <c r="A688" s="20"/>
      <c r="B688" s="34"/>
      <c r="C688" s="34"/>
      <c r="D688" s="34"/>
      <c r="E688" s="34"/>
      <c r="F688" s="34"/>
      <c r="G688" s="20"/>
      <c r="H688" s="73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>
      <c r="A689" s="20"/>
      <c r="B689" s="34"/>
      <c r="C689" s="34"/>
      <c r="D689" s="34"/>
      <c r="E689" s="34"/>
      <c r="F689" s="34"/>
      <c r="G689" s="20"/>
      <c r="H689" s="73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>
      <c r="A690" s="20"/>
      <c r="B690" s="34"/>
      <c r="C690" s="34"/>
      <c r="D690" s="34"/>
      <c r="E690" s="34"/>
      <c r="F690" s="34"/>
      <c r="G690" s="20"/>
      <c r="H690" s="73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>
      <c r="A691" s="20"/>
      <c r="B691" s="34"/>
      <c r="C691" s="34"/>
      <c r="D691" s="34"/>
      <c r="E691" s="34"/>
      <c r="F691" s="34"/>
      <c r="G691" s="20"/>
      <c r="H691" s="73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>
      <c r="A692" s="20"/>
      <c r="B692" s="34"/>
      <c r="C692" s="34"/>
      <c r="D692" s="34"/>
      <c r="E692" s="34"/>
      <c r="F692" s="34"/>
      <c r="G692" s="20"/>
      <c r="H692" s="73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>
      <c r="A693" s="20"/>
      <c r="B693" s="34"/>
      <c r="C693" s="34"/>
      <c r="D693" s="34"/>
      <c r="E693" s="34"/>
      <c r="F693" s="34"/>
      <c r="G693" s="20"/>
      <c r="H693" s="73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>
      <c r="A694" s="20"/>
      <c r="B694" s="34"/>
      <c r="C694" s="34"/>
      <c r="D694" s="34"/>
      <c r="E694" s="34"/>
      <c r="F694" s="34"/>
      <c r="G694" s="20"/>
      <c r="H694" s="73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>
      <c r="A695" s="20"/>
      <c r="B695" s="34"/>
      <c r="C695" s="34"/>
      <c r="D695" s="34"/>
      <c r="E695" s="34"/>
      <c r="F695" s="34"/>
      <c r="G695" s="20"/>
      <c r="H695" s="73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>
      <c r="A696" s="20"/>
      <c r="B696" s="34"/>
      <c r="C696" s="34"/>
      <c r="D696" s="34"/>
      <c r="E696" s="34"/>
      <c r="F696" s="34"/>
      <c r="G696" s="20"/>
      <c r="H696" s="73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>
      <c r="A697" s="20"/>
      <c r="B697" s="34"/>
      <c r="C697" s="34"/>
      <c r="D697" s="34"/>
      <c r="E697" s="34"/>
      <c r="F697" s="34"/>
      <c r="G697" s="20"/>
      <c r="H697" s="73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>
      <c r="A698" s="20"/>
      <c r="B698" s="34"/>
      <c r="C698" s="34"/>
      <c r="D698" s="34"/>
      <c r="E698" s="34"/>
      <c r="F698" s="34"/>
      <c r="G698" s="20"/>
      <c r="H698" s="73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>
      <c r="A699" s="20"/>
      <c r="B699" s="34"/>
      <c r="C699" s="34"/>
      <c r="D699" s="34"/>
      <c r="E699" s="34"/>
      <c r="F699" s="34"/>
      <c r="G699" s="20"/>
      <c r="H699" s="73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>
      <c r="A700" s="20"/>
      <c r="B700" s="34"/>
      <c r="C700" s="34"/>
      <c r="D700" s="34"/>
      <c r="E700" s="34"/>
      <c r="F700" s="34"/>
      <c r="G700" s="20"/>
      <c r="H700" s="73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>
      <c r="A701" s="20"/>
      <c r="B701" s="34"/>
      <c r="C701" s="34"/>
      <c r="D701" s="34"/>
      <c r="E701" s="34"/>
      <c r="F701" s="34"/>
      <c r="G701" s="20"/>
      <c r="H701" s="73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>
      <c r="A702" s="20"/>
      <c r="B702" s="34"/>
      <c r="C702" s="34"/>
      <c r="D702" s="34"/>
      <c r="E702" s="34"/>
      <c r="F702" s="34"/>
      <c r="G702" s="20"/>
      <c r="H702" s="73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>
      <c r="A703" s="20"/>
      <c r="B703" s="34"/>
      <c r="C703" s="34"/>
      <c r="D703" s="34"/>
      <c r="E703" s="34"/>
      <c r="F703" s="34"/>
      <c r="G703" s="20"/>
      <c r="H703" s="73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>
      <c r="A704" s="20"/>
      <c r="B704" s="34"/>
      <c r="C704" s="34"/>
      <c r="D704" s="34"/>
      <c r="E704" s="34"/>
      <c r="F704" s="34"/>
      <c r="G704" s="20"/>
      <c r="H704" s="73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>
      <c r="A705" s="20"/>
      <c r="B705" s="34"/>
      <c r="C705" s="34"/>
      <c r="D705" s="34"/>
      <c r="E705" s="34"/>
      <c r="F705" s="34"/>
      <c r="G705" s="20"/>
      <c r="H705" s="73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>
      <c r="A706" s="20"/>
      <c r="B706" s="34"/>
      <c r="C706" s="34"/>
      <c r="D706" s="34"/>
      <c r="E706" s="34"/>
      <c r="F706" s="34"/>
      <c r="G706" s="20"/>
      <c r="H706" s="73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>
      <c r="A707" s="20"/>
      <c r="B707" s="34"/>
      <c r="C707" s="34"/>
      <c r="D707" s="34"/>
      <c r="E707" s="34"/>
      <c r="F707" s="34"/>
      <c r="G707" s="20"/>
      <c r="H707" s="73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>
      <c r="A708" s="20"/>
      <c r="B708" s="34"/>
      <c r="C708" s="34"/>
      <c r="D708" s="34"/>
      <c r="E708" s="34"/>
      <c r="F708" s="34"/>
      <c r="G708" s="20"/>
      <c r="H708" s="73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>
      <c r="A709" s="20"/>
      <c r="B709" s="34"/>
      <c r="C709" s="34"/>
      <c r="D709" s="34"/>
      <c r="E709" s="34"/>
      <c r="F709" s="34"/>
      <c r="G709" s="20"/>
      <c r="H709" s="73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>
      <c r="A710" s="20"/>
      <c r="B710" s="34"/>
      <c r="C710" s="34"/>
      <c r="D710" s="34"/>
      <c r="E710" s="34"/>
      <c r="F710" s="34"/>
      <c r="G710" s="20"/>
      <c r="H710" s="73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>
      <c r="A711" s="20"/>
      <c r="B711" s="34"/>
      <c r="C711" s="34"/>
      <c r="D711" s="34"/>
      <c r="E711" s="34"/>
      <c r="F711" s="34"/>
      <c r="G711" s="20"/>
      <c r="H711" s="73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>
      <c r="A712" s="20"/>
      <c r="B712" s="34"/>
      <c r="C712" s="34"/>
      <c r="D712" s="34"/>
      <c r="E712" s="34"/>
      <c r="F712" s="34"/>
      <c r="G712" s="20"/>
      <c r="H712" s="73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>
      <c r="A713" s="20"/>
      <c r="B713" s="34"/>
      <c r="C713" s="34"/>
      <c r="D713" s="34"/>
      <c r="E713" s="34"/>
      <c r="F713" s="34"/>
      <c r="G713" s="20"/>
      <c r="H713" s="73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>
      <c r="A714" s="20"/>
      <c r="B714" s="34"/>
      <c r="C714" s="34"/>
      <c r="D714" s="34"/>
      <c r="E714" s="34"/>
      <c r="F714" s="34"/>
      <c r="G714" s="20"/>
      <c r="H714" s="73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>
      <c r="A715" s="20"/>
      <c r="B715" s="34"/>
      <c r="C715" s="34"/>
      <c r="D715" s="34"/>
      <c r="E715" s="34"/>
      <c r="F715" s="34"/>
      <c r="G715" s="20"/>
      <c r="H715" s="73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>
      <c r="A716" s="20"/>
      <c r="B716" s="34"/>
      <c r="C716" s="34"/>
      <c r="D716" s="34"/>
      <c r="E716" s="34"/>
      <c r="F716" s="34"/>
      <c r="G716" s="20"/>
      <c r="H716" s="73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>
      <c r="A717" s="20"/>
      <c r="B717" s="34"/>
      <c r="C717" s="34"/>
      <c r="D717" s="34"/>
      <c r="E717" s="34"/>
      <c r="F717" s="34"/>
      <c r="G717" s="20"/>
      <c r="H717" s="73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>
      <c r="A718" s="20"/>
      <c r="B718" s="34"/>
      <c r="C718" s="34"/>
      <c r="D718" s="34"/>
      <c r="E718" s="34"/>
      <c r="F718" s="34"/>
      <c r="G718" s="20"/>
      <c r="H718" s="73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>
      <c r="A719" s="20"/>
      <c r="B719" s="34"/>
      <c r="C719" s="34"/>
      <c r="D719" s="34"/>
      <c r="E719" s="34"/>
      <c r="F719" s="34"/>
      <c r="G719" s="20"/>
      <c r="H719" s="73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>
      <c r="A720" s="20"/>
      <c r="B720" s="34"/>
      <c r="C720" s="34"/>
      <c r="D720" s="34"/>
      <c r="E720" s="34"/>
      <c r="F720" s="34"/>
      <c r="G720" s="20"/>
      <c r="H720" s="73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>
      <c r="A721" s="20"/>
      <c r="B721" s="34"/>
      <c r="C721" s="34"/>
      <c r="D721" s="34"/>
      <c r="E721" s="34"/>
      <c r="F721" s="34"/>
      <c r="G721" s="20"/>
      <c r="H721" s="73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>
      <c r="A722" s="20"/>
      <c r="B722" s="34"/>
      <c r="C722" s="34"/>
      <c r="D722" s="34"/>
      <c r="E722" s="34"/>
      <c r="F722" s="34"/>
      <c r="G722" s="20"/>
      <c r="H722" s="73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>
      <c r="A723" s="20"/>
      <c r="B723" s="34"/>
      <c r="C723" s="34"/>
      <c r="D723" s="34"/>
      <c r="E723" s="34"/>
      <c r="F723" s="34"/>
      <c r="G723" s="20"/>
      <c r="H723" s="73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>
      <c r="A724" s="20"/>
      <c r="B724" s="34"/>
      <c r="C724" s="34"/>
      <c r="D724" s="34"/>
      <c r="E724" s="34"/>
      <c r="F724" s="34"/>
      <c r="G724" s="20"/>
      <c r="H724" s="73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>
      <c r="A725" s="20"/>
      <c r="B725" s="34"/>
      <c r="C725" s="34"/>
      <c r="D725" s="34"/>
      <c r="E725" s="34"/>
      <c r="F725" s="34"/>
      <c r="G725" s="20"/>
      <c r="H725" s="73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>
      <c r="A726" s="20"/>
      <c r="B726" s="34"/>
      <c r="C726" s="34"/>
      <c r="D726" s="34"/>
      <c r="E726" s="34"/>
      <c r="F726" s="34"/>
      <c r="G726" s="20"/>
      <c r="H726" s="73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>
      <c r="A727" s="20"/>
      <c r="B727" s="34"/>
      <c r="C727" s="34"/>
      <c r="D727" s="34"/>
      <c r="E727" s="34"/>
      <c r="F727" s="34"/>
      <c r="G727" s="20"/>
      <c r="H727" s="73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>
      <c r="A728" s="20"/>
      <c r="B728" s="34"/>
      <c r="C728" s="34"/>
      <c r="D728" s="34"/>
      <c r="E728" s="34"/>
      <c r="F728" s="34"/>
      <c r="G728" s="20"/>
      <c r="H728" s="73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>
      <c r="A729" s="20"/>
      <c r="B729" s="34"/>
      <c r="C729" s="34"/>
      <c r="D729" s="34"/>
      <c r="E729" s="34"/>
      <c r="F729" s="34"/>
      <c r="G729" s="20"/>
      <c r="H729" s="73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>
      <c r="A730" s="20"/>
      <c r="B730" s="34"/>
      <c r="C730" s="34"/>
      <c r="D730" s="34"/>
      <c r="E730" s="34"/>
      <c r="F730" s="34"/>
      <c r="G730" s="20"/>
      <c r="H730" s="73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>
      <c r="A731" s="20"/>
      <c r="B731" s="34"/>
      <c r="C731" s="34"/>
      <c r="D731" s="34"/>
      <c r="E731" s="34"/>
      <c r="F731" s="34"/>
      <c r="G731" s="20"/>
      <c r="H731" s="73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>
      <c r="A732" s="20"/>
      <c r="B732" s="34"/>
      <c r="C732" s="34"/>
      <c r="D732" s="34"/>
      <c r="E732" s="34"/>
      <c r="F732" s="34"/>
      <c r="G732" s="20"/>
      <c r="H732" s="73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>
      <c r="A733" s="20"/>
      <c r="B733" s="34"/>
      <c r="C733" s="34"/>
      <c r="D733" s="34"/>
      <c r="E733" s="34"/>
      <c r="F733" s="34"/>
      <c r="G733" s="20"/>
      <c r="H733" s="73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>
      <c r="A734" s="20"/>
      <c r="B734" s="34"/>
      <c r="C734" s="34"/>
      <c r="D734" s="34"/>
      <c r="E734" s="34"/>
      <c r="F734" s="34"/>
      <c r="G734" s="20"/>
      <c r="H734" s="73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>
      <c r="A735" s="20"/>
      <c r="B735" s="34"/>
      <c r="C735" s="34"/>
      <c r="D735" s="34"/>
      <c r="E735" s="34"/>
      <c r="F735" s="34"/>
      <c r="G735" s="20"/>
      <c r="H735" s="73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>
      <c r="A736" s="20"/>
      <c r="B736" s="34"/>
      <c r="C736" s="34"/>
      <c r="D736" s="34"/>
      <c r="E736" s="34"/>
      <c r="F736" s="34"/>
      <c r="G736" s="20"/>
      <c r="H736" s="73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>
      <c r="A737" s="20"/>
      <c r="B737" s="34"/>
      <c r="C737" s="34"/>
      <c r="D737" s="34"/>
      <c r="E737" s="34"/>
      <c r="F737" s="34"/>
      <c r="G737" s="20"/>
      <c r="H737" s="73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>
      <c r="A738" s="20"/>
      <c r="B738" s="34"/>
      <c r="C738" s="34"/>
      <c r="D738" s="34"/>
      <c r="E738" s="34"/>
      <c r="F738" s="34"/>
      <c r="G738" s="20"/>
      <c r="H738" s="73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>
      <c r="A739" s="20"/>
      <c r="B739" s="34"/>
      <c r="C739" s="34"/>
      <c r="D739" s="34"/>
      <c r="E739" s="34"/>
      <c r="F739" s="34"/>
      <c r="G739" s="20"/>
      <c r="H739" s="73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>
      <c r="A740" s="20"/>
      <c r="B740" s="34"/>
      <c r="C740" s="34"/>
      <c r="D740" s="34"/>
      <c r="E740" s="34"/>
      <c r="F740" s="34"/>
      <c r="G740" s="20"/>
      <c r="H740" s="73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>
      <c r="A741" s="20"/>
      <c r="B741" s="34"/>
      <c r="C741" s="34"/>
      <c r="D741" s="34"/>
      <c r="E741" s="34"/>
      <c r="F741" s="34"/>
      <c r="G741" s="20"/>
      <c r="H741" s="73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>
      <c r="A742" s="20"/>
      <c r="B742" s="34"/>
      <c r="C742" s="34"/>
      <c r="D742" s="34"/>
      <c r="E742" s="34"/>
      <c r="F742" s="34"/>
      <c r="G742" s="20"/>
      <c r="H742" s="73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>
      <c r="A743" s="20"/>
      <c r="B743" s="34"/>
      <c r="C743" s="34"/>
      <c r="D743" s="34"/>
      <c r="E743" s="34"/>
      <c r="F743" s="34"/>
      <c r="G743" s="20"/>
      <c r="H743" s="73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>
      <c r="A744" s="20"/>
      <c r="B744" s="34"/>
      <c r="C744" s="34"/>
      <c r="D744" s="34"/>
      <c r="E744" s="34"/>
      <c r="F744" s="34"/>
      <c r="G744" s="20"/>
      <c r="H744" s="73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>
      <c r="A745" s="20"/>
      <c r="B745" s="34"/>
      <c r="C745" s="34"/>
      <c r="D745" s="34"/>
      <c r="E745" s="34"/>
      <c r="F745" s="34"/>
      <c r="G745" s="20"/>
      <c r="H745" s="73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>
      <c r="A746" s="20"/>
      <c r="B746" s="34"/>
      <c r="C746" s="34"/>
      <c r="D746" s="34"/>
      <c r="E746" s="34"/>
      <c r="F746" s="34"/>
      <c r="G746" s="20"/>
      <c r="H746" s="73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>
      <c r="A747" s="20"/>
      <c r="B747" s="34"/>
      <c r="C747" s="34"/>
      <c r="D747" s="34"/>
      <c r="E747" s="34"/>
      <c r="F747" s="34"/>
      <c r="G747" s="20"/>
      <c r="H747" s="73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>
      <c r="A748" s="20"/>
      <c r="B748" s="34"/>
      <c r="C748" s="34"/>
      <c r="D748" s="34"/>
      <c r="E748" s="34"/>
      <c r="F748" s="34"/>
      <c r="G748" s="20"/>
      <c r="H748" s="73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>
      <c r="A749" s="20"/>
      <c r="B749" s="34"/>
      <c r="C749" s="34"/>
      <c r="D749" s="34"/>
      <c r="E749" s="34"/>
      <c r="F749" s="34"/>
      <c r="G749" s="20"/>
      <c r="H749" s="73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>
      <c r="A750" s="20"/>
      <c r="B750" s="34"/>
      <c r="C750" s="34"/>
      <c r="D750" s="34"/>
      <c r="E750" s="34"/>
      <c r="F750" s="34"/>
      <c r="G750" s="20"/>
      <c r="H750" s="73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>
      <c r="A751" s="20"/>
      <c r="B751" s="34"/>
      <c r="C751" s="34"/>
      <c r="D751" s="34"/>
      <c r="E751" s="34"/>
      <c r="F751" s="34"/>
      <c r="G751" s="20"/>
      <c r="H751" s="73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>
      <c r="A752" s="20"/>
      <c r="B752" s="34"/>
      <c r="C752" s="34"/>
      <c r="D752" s="34"/>
      <c r="E752" s="34"/>
      <c r="F752" s="34"/>
      <c r="G752" s="20"/>
      <c r="H752" s="73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>
      <c r="A753" s="20"/>
      <c r="B753" s="34"/>
      <c r="C753" s="34"/>
      <c r="D753" s="34"/>
      <c r="E753" s="34"/>
      <c r="F753" s="34"/>
      <c r="G753" s="20"/>
      <c r="H753" s="73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>
      <c r="A754" s="20"/>
      <c r="B754" s="34"/>
      <c r="C754" s="34"/>
      <c r="D754" s="34"/>
      <c r="E754" s="34"/>
      <c r="F754" s="34"/>
      <c r="G754" s="20"/>
      <c r="H754" s="73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>
      <c r="A755" s="20"/>
      <c r="B755" s="34"/>
      <c r="C755" s="34"/>
      <c r="D755" s="34"/>
      <c r="E755" s="34"/>
      <c r="F755" s="34"/>
      <c r="G755" s="20"/>
      <c r="H755" s="73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>
      <c r="A756" s="20"/>
      <c r="B756" s="34"/>
      <c r="C756" s="34"/>
      <c r="D756" s="34"/>
      <c r="E756" s="34"/>
      <c r="F756" s="34"/>
      <c r="G756" s="20"/>
      <c r="H756" s="73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>
      <c r="A757" s="20"/>
      <c r="B757" s="34"/>
      <c r="C757" s="34"/>
      <c r="D757" s="34"/>
      <c r="E757" s="34"/>
      <c r="F757" s="34"/>
      <c r="G757" s="20"/>
      <c r="H757" s="73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>
      <c r="A758" s="20"/>
      <c r="B758" s="34"/>
      <c r="C758" s="34"/>
      <c r="D758" s="34"/>
      <c r="E758" s="34"/>
      <c r="F758" s="34"/>
      <c r="G758" s="20"/>
      <c r="H758" s="73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>
      <c r="A759" s="20"/>
      <c r="B759" s="34"/>
      <c r="C759" s="34"/>
      <c r="D759" s="34"/>
      <c r="E759" s="34"/>
      <c r="F759" s="34"/>
      <c r="G759" s="20"/>
      <c r="H759" s="73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>
      <c r="A760" s="20"/>
      <c r="B760" s="34"/>
      <c r="C760" s="34"/>
      <c r="D760" s="34"/>
      <c r="E760" s="34"/>
      <c r="F760" s="34"/>
      <c r="G760" s="20"/>
      <c r="H760" s="73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>
      <c r="A761" s="20"/>
      <c r="B761" s="34"/>
      <c r="C761" s="34"/>
      <c r="D761" s="34"/>
      <c r="E761" s="34"/>
      <c r="F761" s="34"/>
      <c r="G761" s="20"/>
      <c r="H761" s="73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>
      <c r="A762" s="20"/>
      <c r="B762" s="34"/>
      <c r="C762" s="34"/>
      <c r="D762" s="34"/>
      <c r="E762" s="34"/>
      <c r="F762" s="34"/>
      <c r="G762" s="20"/>
      <c r="H762" s="73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>
      <c r="A763" s="20"/>
      <c r="B763" s="34"/>
      <c r="C763" s="34"/>
      <c r="D763" s="34"/>
      <c r="E763" s="34"/>
      <c r="F763" s="34"/>
      <c r="G763" s="20"/>
      <c r="H763" s="73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>
      <c r="A764" s="20"/>
      <c r="B764" s="34"/>
      <c r="C764" s="34"/>
      <c r="D764" s="34"/>
      <c r="E764" s="34"/>
      <c r="F764" s="34"/>
      <c r="G764" s="20"/>
      <c r="H764" s="73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>
      <c r="A765" s="20"/>
      <c r="B765" s="34"/>
      <c r="C765" s="34"/>
      <c r="D765" s="34"/>
      <c r="E765" s="34"/>
      <c r="F765" s="34"/>
      <c r="G765" s="20"/>
      <c r="H765" s="73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>
      <c r="A766" s="20"/>
      <c r="B766" s="34"/>
      <c r="C766" s="34"/>
      <c r="D766" s="34"/>
      <c r="E766" s="34"/>
      <c r="F766" s="34"/>
      <c r="G766" s="20"/>
      <c r="H766" s="73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>
      <c r="A767" s="20"/>
      <c r="B767" s="34"/>
      <c r="C767" s="34"/>
      <c r="D767" s="34"/>
      <c r="E767" s="34"/>
      <c r="F767" s="34"/>
      <c r="G767" s="20"/>
      <c r="H767" s="73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>
      <c r="A768" s="20"/>
      <c r="B768" s="34"/>
      <c r="C768" s="34"/>
      <c r="D768" s="34"/>
      <c r="E768" s="34"/>
      <c r="F768" s="34"/>
      <c r="G768" s="20"/>
      <c r="H768" s="73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>
      <c r="A769" s="20"/>
      <c r="B769" s="34"/>
      <c r="C769" s="34"/>
      <c r="D769" s="34"/>
      <c r="E769" s="34"/>
      <c r="F769" s="34"/>
      <c r="G769" s="20"/>
      <c r="H769" s="73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>
      <c r="A770" s="20"/>
      <c r="B770" s="34"/>
      <c r="C770" s="34"/>
      <c r="D770" s="34"/>
      <c r="E770" s="34"/>
      <c r="F770" s="34"/>
      <c r="G770" s="20"/>
      <c r="H770" s="73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>
      <c r="A771" s="20"/>
      <c r="B771" s="34"/>
      <c r="C771" s="34"/>
      <c r="D771" s="34"/>
      <c r="E771" s="34"/>
      <c r="F771" s="34"/>
      <c r="G771" s="20"/>
      <c r="H771" s="73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>
      <c r="A772" s="20"/>
      <c r="B772" s="34"/>
      <c r="C772" s="34"/>
      <c r="D772" s="34"/>
      <c r="E772" s="34"/>
      <c r="F772" s="34"/>
      <c r="G772" s="20"/>
      <c r="H772" s="73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>
      <c r="A773" s="20"/>
      <c r="B773" s="34"/>
      <c r="C773" s="34"/>
      <c r="D773" s="34"/>
      <c r="E773" s="34"/>
      <c r="F773" s="34"/>
      <c r="G773" s="20"/>
      <c r="H773" s="73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>
      <c r="A774" s="20"/>
      <c r="B774" s="34"/>
      <c r="C774" s="34"/>
      <c r="D774" s="34"/>
      <c r="E774" s="34"/>
      <c r="F774" s="34"/>
      <c r="G774" s="20"/>
      <c r="H774" s="73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>
      <c r="A775" s="20"/>
      <c r="B775" s="34"/>
      <c r="C775" s="34"/>
      <c r="D775" s="34"/>
      <c r="E775" s="34"/>
      <c r="F775" s="34"/>
      <c r="G775" s="20"/>
      <c r="H775" s="73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>
      <c r="A776" s="20"/>
      <c r="B776" s="34"/>
      <c r="C776" s="34"/>
      <c r="D776" s="34"/>
      <c r="E776" s="34"/>
      <c r="F776" s="34"/>
      <c r="G776" s="20"/>
      <c r="H776" s="73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>
      <c r="A777" s="20"/>
      <c r="B777" s="34"/>
      <c r="C777" s="34"/>
      <c r="D777" s="34"/>
      <c r="E777" s="34"/>
      <c r="F777" s="34"/>
      <c r="G777" s="20"/>
      <c r="H777" s="73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>
      <c r="A778" s="20"/>
      <c r="B778" s="34"/>
      <c r="C778" s="34"/>
      <c r="D778" s="34"/>
      <c r="E778" s="34"/>
      <c r="F778" s="34"/>
      <c r="G778" s="20"/>
      <c r="H778" s="73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>
      <c r="A779" s="20"/>
      <c r="B779" s="34"/>
      <c r="C779" s="34"/>
      <c r="D779" s="34"/>
      <c r="E779" s="34"/>
      <c r="F779" s="34"/>
      <c r="G779" s="20"/>
      <c r="H779" s="73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>
      <c r="A780" s="20"/>
      <c r="B780" s="34"/>
      <c r="C780" s="34"/>
      <c r="D780" s="34"/>
      <c r="E780" s="34"/>
      <c r="F780" s="34"/>
      <c r="G780" s="20"/>
      <c r="H780" s="73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>
      <c r="A781" s="20"/>
      <c r="B781" s="34"/>
      <c r="C781" s="34"/>
      <c r="D781" s="34"/>
      <c r="E781" s="34"/>
      <c r="F781" s="34"/>
      <c r="G781" s="20"/>
      <c r="H781" s="73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>
      <c r="A782" s="20"/>
      <c r="B782" s="34"/>
      <c r="C782" s="34"/>
      <c r="D782" s="34"/>
      <c r="E782" s="34"/>
      <c r="F782" s="34"/>
      <c r="G782" s="20"/>
      <c r="H782" s="73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>
      <c r="A783" s="20"/>
      <c r="B783" s="34"/>
      <c r="C783" s="34"/>
      <c r="D783" s="34"/>
      <c r="E783" s="34"/>
      <c r="F783" s="34"/>
      <c r="G783" s="20"/>
      <c r="H783" s="73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>
      <c r="A784" s="20"/>
      <c r="B784" s="34"/>
      <c r="C784" s="34"/>
      <c r="D784" s="34"/>
      <c r="E784" s="34"/>
      <c r="F784" s="34"/>
      <c r="G784" s="20"/>
      <c r="H784" s="73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>
      <c r="A785" s="20"/>
      <c r="B785" s="34"/>
      <c r="C785" s="34"/>
      <c r="D785" s="34"/>
      <c r="E785" s="34"/>
      <c r="F785" s="34"/>
      <c r="G785" s="20"/>
      <c r="H785" s="73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>
      <c r="A786" s="20"/>
      <c r="B786" s="34"/>
      <c r="C786" s="34"/>
      <c r="D786" s="34"/>
      <c r="E786" s="34"/>
      <c r="F786" s="34"/>
      <c r="G786" s="20"/>
      <c r="H786" s="73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>
      <c r="A787" s="20"/>
      <c r="B787" s="34"/>
      <c r="C787" s="34"/>
      <c r="D787" s="34"/>
      <c r="E787" s="34"/>
      <c r="F787" s="34"/>
      <c r="G787" s="20"/>
      <c r="H787" s="73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>
      <c r="A788" s="20"/>
      <c r="B788" s="34"/>
      <c r="C788" s="34"/>
      <c r="D788" s="34"/>
      <c r="E788" s="34"/>
      <c r="F788" s="34"/>
      <c r="G788" s="20"/>
      <c r="H788" s="73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>
      <c r="A789" s="20"/>
      <c r="B789" s="34"/>
      <c r="C789" s="34"/>
      <c r="D789" s="34"/>
      <c r="E789" s="34"/>
      <c r="F789" s="34"/>
      <c r="G789" s="20"/>
      <c r="H789" s="73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>
      <c r="A790" s="20"/>
      <c r="B790" s="34"/>
      <c r="C790" s="34"/>
      <c r="D790" s="34"/>
      <c r="E790" s="34"/>
      <c r="F790" s="34"/>
      <c r="G790" s="20"/>
      <c r="H790" s="73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>
      <c r="A791" s="20"/>
      <c r="B791" s="34"/>
      <c r="C791" s="34"/>
      <c r="D791" s="34"/>
      <c r="E791" s="34"/>
      <c r="F791" s="34"/>
      <c r="G791" s="20"/>
      <c r="H791" s="73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>
      <c r="A792" s="20"/>
      <c r="B792" s="34"/>
      <c r="C792" s="34"/>
      <c r="D792" s="34"/>
      <c r="E792" s="34"/>
      <c r="F792" s="34"/>
      <c r="G792" s="20"/>
      <c r="H792" s="73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>
      <c r="A793" s="20"/>
      <c r="B793" s="34"/>
      <c r="C793" s="34"/>
      <c r="D793" s="34"/>
      <c r="E793" s="34"/>
      <c r="F793" s="34"/>
      <c r="G793" s="20"/>
      <c r="H793" s="73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>
      <c r="A794" s="20"/>
      <c r="B794" s="34"/>
      <c r="C794" s="34"/>
      <c r="D794" s="34"/>
      <c r="E794" s="34"/>
      <c r="F794" s="34"/>
      <c r="G794" s="20"/>
      <c r="H794" s="73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>
      <c r="A795" s="20"/>
      <c r="B795" s="34"/>
      <c r="C795" s="34"/>
      <c r="D795" s="34"/>
      <c r="E795" s="34"/>
      <c r="F795" s="34"/>
      <c r="G795" s="20"/>
      <c r="H795" s="73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>
      <c r="A796" s="20"/>
      <c r="B796" s="34"/>
      <c r="C796" s="34"/>
      <c r="D796" s="34"/>
      <c r="E796" s="34"/>
      <c r="F796" s="34"/>
      <c r="G796" s="20"/>
      <c r="H796" s="73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>
      <c r="A797" s="20"/>
      <c r="B797" s="34"/>
      <c r="C797" s="34"/>
      <c r="D797" s="34"/>
      <c r="E797" s="34"/>
      <c r="F797" s="34"/>
      <c r="G797" s="20"/>
      <c r="H797" s="73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>
      <c r="A798" s="20"/>
      <c r="B798" s="34"/>
      <c r="C798" s="34"/>
      <c r="D798" s="34"/>
      <c r="E798" s="34"/>
      <c r="F798" s="34"/>
      <c r="G798" s="20"/>
      <c r="H798" s="73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>
      <c r="A799" s="20"/>
      <c r="B799" s="34"/>
      <c r="C799" s="34"/>
      <c r="D799" s="34"/>
      <c r="E799" s="34"/>
      <c r="F799" s="34"/>
      <c r="G799" s="20"/>
      <c r="H799" s="73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>
      <c r="A800" s="20"/>
      <c r="B800" s="34"/>
      <c r="C800" s="34"/>
      <c r="D800" s="34"/>
      <c r="E800" s="34"/>
      <c r="F800" s="34"/>
      <c r="G800" s="20"/>
      <c r="H800" s="73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>
      <c r="A801" s="20"/>
      <c r="B801" s="34"/>
      <c r="C801" s="34"/>
      <c r="D801" s="34"/>
      <c r="E801" s="34"/>
      <c r="F801" s="34"/>
      <c r="G801" s="20"/>
      <c r="H801" s="73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>
      <c r="A802" s="20"/>
      <c r="B802" s="34"/>
      <c r="C802" s="34"/>
      <c r="D802" s="34"/>
      <c r="E802" s="34"/>
      <c r="F802" s="34"/>
      <c r="G802" s="20"/>
      <c r="H802" s="73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>
      <c r="A803" s="20"/>
      <c r="B803" s="34"/>
      <c r="C803" s="34"/>
      <c r="D803" s="34"/>
      <c r="E803" s="34"/>
      <c r="F803" s="34"/>
      <c r="G803" s="20"/>
      <c r="H803" s="73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>
      <c r="A804" s="20"/>
      <c r="B804" s="34"/>
      <c r="C804" s="34"/>
      <c r="D804" s="34"/>
      <c r="E804" s="34"/>
      <c r="F804" s="34"/>
      <c r="G804" s="20"/>
      <c r="H804" s="73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>
      <c r="A805" s="20"/>
      <c r="B805" s="34"/>
      <c r="C805" s="34"/>
      <c r="D805" s="34"/>
      <c r="E805" s="34"/>
      <c r="F805" s="34"/>
      <c r="G805" s="20"/>
      <c r="H805" s="73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>
      <c r="A806" s="20"/>
      <c r="B806" s="34"/>
      <c r="C806" s="34"/>
      <c r="D806" s="34"/>
      <c r="E806" s="34"/>
      <c r="F806" s="34"/>
      <c r="G806" s="20"/>
      <c r="H806" s="73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>
      <c r="A807" s="20"/>
      <c r="B807" s="34"/>
      <c r="C807" s="34"/>
      <c r="D807" s="34"/>
      <c r="E807" s="34"/>
      <c r="F807" s="34"/>
      <c r="G807" s="20"/>
      <c r="H807" s="73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>
      <c r="A808" s="20"/>
      <c r="B808" s="34"/>
      <c r="C808" s="34"/>
      <c r="D808" s="34"/>
      <c r="E808" s="34"/>
      <c r="F808" s="34"/>
      <c r="G808" s="20"/>
      <c r="H808" s="73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>
      <c r="A809" s="20"/>
      <c r="B809" s="34"/>
      <c r="C809" s="34"/>
      <c r="D809" s="34"/>
      <c r="E809" s="34"/>
      <c r="F809" s="34"/>
      <c r="G809" s="20"/>
      <c r="H809" s="73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>
      <c r="A810" s="20"/>
      <c r="B810" s="34"/>
      <c r="C810" s="34"/>
      <c r="D810" s="34"/>
      <c r="E810" s="34"/>
      <c r="F810" s="34"/>
      <c r="G810" s="20"/>
      <c r="H810" s="73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>
      <c r="A811" s="20"/>
      <c r="B811" s="34"/>
      <c r="C811" s="34"/>
      <c r="D811" s="34"/>
      <c r="E811" s="34"/>
      <c r="F811" s="34"/>
      <c r="G811" s="20"/>
      <c r="H811" s="73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>
      <c r="A812" s="20"/>
      <c r="B812" s="34"/>
      <c r="C812" s="34"/>
      <c r="D812" s="34"/>
      <c r="E812" s="34"/>
      <c r="F812" s="34"/>
      <c r="G812" s="20"/>
      <c r="H812" s="73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>
      <c r="A813" s="20"/>
      <c r="B813" s="34"/>
      <c r="C813" s="34"/>
      <c r="D813" s="34"/>
      <c r="E813" s="34"/>
      <c r="F813" s="34"/>
      <c r="G813" s="20"/>
      <c r="H813" s="73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>
      <c r="A814" s="20"/>
      <c r="B814" s="34"/>
      <c r="C814" s="34"/>
      <c r="D814" s="34"/>
      <c r="E814" s="34"/>
      <c r="F814" s="34"/>
      <c r="G814" s="20"/>
      <c r="H814" s="73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>
      <c r="A815" s="20"/>
      <c r="B815" s="34"/>
      <c r="C815" s="34"/>
      <c r="D815" s="34"/>
      <c r="E815" s="34"/>
      <c r="F815" s="34"/>
      <c r="G815" s="20"/>
      <c r="H815" s="73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>
      <c r="A816" s="20"/>
      <c r="B816" s="34"/>
      <c r="C816" s="34"/>
      <c r="D816" s="34"/>
      <c r="E816" s="34"/>
      <c r="F816" s="34"/>
      <c r="G816" s="20"/>
      <c r="H816" s="73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>
      <c r="A817" s="20"/>
      <c r="B817" s="34"/>
      <c r="C817" s="34"/>
      <c r="D817" s="34"/>
      <c r="E817" s="34"/>
      <c r="F817" s="34"/>
      <c r="G817" s="20"/>
      <c r="H817" s="73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>
      <c r="A818" s="20"/>
      <c r="B818" s="34"/>
      <c r="C818" s="34"/>
      <c r="D818" s="34"/>
      <c r="E818" s="34"/>
      <c r="F818" s="34"/>
      <c r="G818" s="20"/>
      <c r="H818" s="73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>
      <c r="A819" s="20"/>
      <c r="B819" s="34"/>
      <c r="C819" s="34"/>
      <c r="D819" s="34"/>
      <c r="E819" s="34"/>
      <c r="F819" s="34"/>
      <c r="G819" s="20"/>
      <c r="H819" s="73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>
      <c r="A820" s="20"/>
      <c r="B820" s="34"/>
      <c r="C820" s="34"/>
      <c r="D820" s="34"/>
      <c r="E820" s="34"/>
      <c r="F820" s="34"/>
      <c r="G820" s="20"/>
      <c r="H820" s="73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>
      <c r="A821" s="20"/>
      <c r="B821" s="34"/>
      <c r="C821" s="34"/>
      <c r="D821" s="34"/>
      <c r="E821" s="34"/>
      <c r="F821" s="34"/>
      <c r="G821" s="20"/>
      <c r="H821" s="73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>
      <c r="A822" s="20"/>
      <c r="B822" s="34"/>
      <c r="C822" s="34"/>
      <c r="D822" s="34"/>
      <c r="E822" s="34"/>
      <c r="F822" s="34"/>
      <c r="G822" s="20"/>
      <c r="H822" s="73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>
      <c r="A823" s="20"/>
      <c r="B823" s="34"/>
      <c r="C823" s="34"/>
      <c r="D823" s="34"/>
      <c r="E823" s="34"/>
      <c r="F823" s="34"/>
      <c r="G823" s="20"/>
      <c r="H823" s="73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>
      <c r="A824" s="20"/>
      <c r="B824" s="34"/>
      <c r="C824" s="34"/>
      <c r="D824" s="34"/>
      <c r="E824" s="34"/>
      <c r="F824" s="34"/>
      <c r="G824" s="20"/>
      <c r="H824" s="73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>
      <c r="A825" s="20"/>
      <c r="B825" s="34"/>
      <c r="C825" s="34"/>
      <c r="D825" s="34"/>
      <c r="E825" s="34"/>
      <c r="F825" s="34"/>
      <c r="G825" s="20"/>
      <c r="H825" s="73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>
      <c r="A826" s="20"/>
      <c r="B826" s="34"/>
      <c r="C826" s="34"/>
      <c r="D826" s="34"/>
      <c r="E826" s="34"/>
      <c r="F826" s="34"/>
      <c r="G826" s="20"/>
      <c r="H826" s="73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>
      <c r="A827" s="20"/>
      <c r="B827" s="34"/>
      <c r="C827" s="34"/>
      <c r="D827" s="34"/>
      <c r="E827" s="34"/>
      <c r="F827" s="34"/>
      <c r="G827" s="20"/>
      <c r="H827" s="73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>
      <c r="A828" s="20"/>
      <c r="B828" s="34"/>
      <c r="C828" s="34"/>
      <c r="D828" s="34"/>
      <c r="E828" s="34"/>
      <c r="F828" s="34"/>
      <c r="G828" s="20"/>
      <c r="H828" s="73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>
      <c r="A829" s="20"/>
      <c r="B829" s="34"/>
      <c r="C829" s="34"/>
      <c r="D829" s="34"/>
      <c r="E829" s="34"/>
      <c r="F829" s="34"/>
      <c r="G829" s="20"/>
      <c r="H829" s="73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>
      <c r="A830" s="20"/>
      <c r="B830" s="34"/>
      <c r="C830" s="34"/>
      <c r="D830" s="34"/>
      <c r="E830" s="34"/>
      <c r="F830" s="34"/>
      <c r="G830" s="20"/>
      <c r="H830" s="73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>
      <c r="A831" s="20"/>
      <c r="B831" s="34"/>
      <c r="C831" s="34"/>
      <c r="D831" s="34"/>
      <c r="E831" s="34"/>
      <c r="F831" s="34"/>
      <c r="G831" s="20"/>
      <c r="H831" s="73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>
      <c r="A832" s="20"/>
      <c r="B832" s="34"/>
      <c r="C832" s="34"/>
      <c r="D832" s="34"/>
      <c r="E832" s="34"/>
      <c r="F832" s="34"/>
      <c r="G832" s="20"/>
      <c r="H832" s="73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>
      <c r="A833" s="20"/>
      <c r="B833" s="34"/>
      <c r="C833" s="34"/>
      <c r="D833" s="34"/>
      <c r="E833" s="34"/>
      <c r="F833" s="34"/>
      <c r="G833" s="20"/>
      <c r="H833" s="73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>
      <c r="A834" s="20"/>
      <c r="B834" s="34"/>
      <c r="C834" s="34"/>
      <c r="D834" s="34"/>
      <c r="E834" s="34"/>
      <c r="F834" s="34"/>
      <c r="G834" s="20"/>
      <c r="H834" s="73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>
      <c r="A835" s="20"/>
      <c r="B835" s="34"/>
      <c r="C835" s="34"/>
      <c r="D835" s="34"/>
      <c r="E835" s="34"/>
      <c r="F835" s="34"/>
      <c r="G835" s="20"/>
      <c r="H835" s="73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>
      <c r="A836" s="20"/>
      <c r="B836" s="34"/>
      <c r="C836" s="34"/>
      <c r="D836" s="34"/>
      <c r="E836" s="34"/>
      <c r="F836" s="34"/>
      <c r="G836" s="20"/>
      <c r="H836" s="73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>
      <c r="A837" s="20"/>
      <c r="B837" s="34"/>
      <c r="C837" s="34"/>
      <c r="D837" s="34"/>
      <c r="E837" s="34"/>
      <c r="F837" s="34"/>
      <c r="G837" s="20"/>
      <c r="H837" s="73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>
      <c r="A838" s="20"/>
      <c r="B838" s="34"/>
      <c r="C838" s="34"/>
      <c r="D838" s="34"/>
      <c r="E838" s="34"/>
      <c r="F838" s="34"/>
      <c r="G838" s="20"/>
      <c r="H838" s="73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>
      <c r="A839" s="20"/>
      <c r="B839" s="34"/>
      <c r="C839" s="34"/>
      <c r="D839" s="34"/>
      <c r="E839" s="34"/>
      <c r="F839" s="34"/>
      <c r="G839" s="20"/>
      <c r="H839" s="73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>
      <c r="A840" s="20"/>
      <c r="B840" s="34"/>
      <c r="C840" s="34"/>
      <c r="D840" s="34"/>
      <c r="E840" s="34"/>
      <c r="F840" s="34"/>
      <c r="G840" s="20"/>
      <c r="H840" s="73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>
      <c r="A841" s="20"/>
      <c r="B841" s="34"/>
      <c r="C841" s="34"/>
      <c r="D841" s="34"/>
      <c r="E841" s="34"/>
      <c r="F841" s="34"/>
      <c r="G841" s="20"/>
      <c r="H841" s="73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>
      <c r="A842" s="20"/>
      <c r="B842" s="34"/>
      <c r="C842" s="34"/>
      <c r="D842" s="34"/>
      <c r="E842" s="34"/>
      <c r="F842" s="34"/>
      <c r="G842" s="20"/>
      <c r="H842" s="73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>
      <c r="A843" s="20"/>
      <c r="B843" s="34"/>
      <c r="C843" s="34"/>
      <c r="D843" s="34"/>
      <c r="E843" s="34"/>
      <c r="F843" s="34"/>
      <c r="G843" s="20"/>
      <c r="H843" s="73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>
      <c r="A844" s="20"/>
      <c r="B844" s="34"/>
      <c r="C844" s="34"/>
      <c r="D844" s="34"/>
      <c r="E844" s="34"/>
      <c r="F844" s="34"/>
      <c r="G844" s="20"/>
      <c r="H844" s="73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>
      <c r="A845" s="20"/>
      <c r="B845" s="34"/>
      <c r="C845" s="34"/>
      <c r="D845" s="34"/>
      <c r="E845" s="34"/>
      <c r="F845" s="34"/>
      <c r="G845" s="20"/>
      <c r="H845" s="73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>
      <c r="A846" s="20"/>
      <c r="B846" s="34"/>
      <c r="C846" s="34"/>
      <c r="D846" s="34"/>
      <c r="E846" s="34"/>
      <c r="F846" s="34"/>
      <c r="G846" s="20"/>
      <c r="H846" s="73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>
      <c r="A847" s="20"/>
      <c r="B847" s="34"/>
      <c r="C847" s="34"/>
      <c r="D847" s="34"/>
      <c r="E847" s="34"/>
      <c r="F847" s="34"/>
      <c r="G847" s="20"/>
      <c r="H847" s="73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>
      <c r="A848" s="20"/>
      <c r="B848" s="34"/>
      <c r="C848" s="34"/>
      <c r="D848" s="34"/>
      <c r="E848" s="34"/>
      <c r="F848" s="34"/>
      <c r="G848" s="20"/>
      <c r="H848" s="73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>
      <c r="A849" s="20"/>
      <c r="B849" s="34"/>
      <c r="C849" s="34"/>
      <c r="D849" s="34"/>
      <c r="E849" s="34"/>
      <c r="F849" s="34"/>
      <c r="G849" s="20"/>
      <c r="H849" s="73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>
      <c r="A850" s="20"/>
      <c r="B850" s="34"/>
      <c r="C850" s="34"/>
      <c r="D850" s="34"/>
      <c r="E850" s="34"/>
      <c r="F850" s="34"/>
      <c r="G850" s="20"/>
      <c r="H850" s="73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>
      <c r="A851" s="20"/>
      <c r="B851" s="34"/>
      <c r="C851" s="34"/>
      <c r="D851" s="34"/>
      <c r="E851" s="34"/>
      <c r="F851" s="34"/>
      <c r="G851" s="20"/>
      <c r="H851" s="73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>
      <c r="A852" s="20"/>
      <c r="B852" s="34"/>
      <c r="C852" s="34"/>
      <c r="D852" s="34"/>
      <c r="E852" s="34"/>
      <c r="F852" s="34"/>
      <c r="G852" s="20"/>
      <c r="H852" s="73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>
      <c r="A853" s="20"/>
      <c r="B853" s="34"/>
      <c r="C853" s="34"/>
      <c r="D853" s="34"/>
      <c r="E853" s="34"/>
      <c r="F853" s="34"/>
      <c r="G853" s="20"/>
      <c r="H853" s="73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>
      <c r="A854" s="20"/>
      <c r="B854" s="34"/>
      <c r="C854" s="34"/>
      <c r="D854" s="34"/>
      <c r="E854" s="34"/>
      <c r="F854" s="34"/>
      <c r="G854" s="20"/>
      <c r="H854" s="73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>
      <c r="A855" s="20"/>
      <c r="B855" s="34"/>
      <c r="C855" s="34"/>
      <c r="D855" s="34"/>
      <c r="E855" s="34"/>
      <c r="F855" s="34"/>
      <c r="G855" s="20"/>
      <c r="H855" s="73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>
      <c r="A856" s="20"/>
      <c r="B856" s="34"/>
      <c r="C856" s="34"/>
      <c r="D856" s="34"/>
      <c r="E856" s="34"/>
      <c r="F856" s="34"/>
      <c r="G856" s="20"/>
      <c r="H856" s="73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>
      <c r="A857" s="20"/>
      <c r="B857" s="34"/>
      <c r="C857" s="34"/>
      <c r="D857" s="34"/>
      <c r="E857" s="34"/>
      <c r="F857" s="34"/>
      <c r="G857" s="20"/>
      <c r="H857" s="73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>
      <c r="A858" s="20"/>
      <c r="B858" s="34"/>
      <c r="C858" s="34"/>
      <c r="D858" s="34"/>
      <c r="E858" s="34"/>
      <c r="F858" s="34"/>
      <c r="G858" s="20"/>
      <c r="H858" s="73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>
      <c r="A859" s="20"/>
      <c r="B859" s="34"/>
      <c r="C859" s="34"/>
      <c r="D859" s="34"/>
      <c r="E859" s="34"/>
      <c r="F859" s="34"/>
      <c r="G859" s="20"/>
      <c r="H859" s="73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>
      <c r="A860" s="20"/>
      <c r="B860" s="34"/>
      <c r="C860" s="34"/>
      <c r="D860" s="34"/>
      <c r="E860" s="34"/>
      <c r="F860" s="34"/>
      <c r="G860" s="20"/>
      <c r="H860" s="73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>
      <c r="A861" s="20"/>
      <c r="B861" s="34"/>
      <c r="C861" s="34"/>
      <c r="D861" s="34"/>
      <c r="E861" s="34"/>
      <c r="F861" s="34"/>
      <c r="G861" s="20"/>
      <c r="H861" s="73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>
      <c r="A862" s="20"/>
      <c r="B862" s="34"/>
      <c r="C862" s="34"/>
      <c r="D862" s="34"/>
      <c r="E862" s="34"/>
      <c r="F862" s="34"/>
      <c r="G862" s="20"/>
      <c r="H862" s="73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>
      <c r="A863" s="20"/>
      <c r="B863" s="34"/>
      <c r="C863" s="34"/>
      <c r="D863" s="34"/>
      <c r="E863" s="34"/>
      <c r="F863" s="34"/>
      <c r="G863" s="20"/>
      <c r="H863" s="73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>
      <c r="A864" s="20"/>
      <c r="B864" s="34"/>
      <c r="C864" s="34"/>
      <c r="D864" s="34"/>
      <c r="E864" s="34"/>
      <c r="F864" s="34"/>
      <c r="G864" s="20"/>
      <c r="H864" s="73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>
      <c r="A865" s="20"/>
      <c r="B865" s="34"/>
      <c r="C865" s="34"/>
      <c r="D865" s="34"/>
      <c r="E865" s="34"/>
      <c r="F865" s="34"/>
      <c r="G865" s="20"/>
      <c r="H865" s="73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>
      <c r="A866" s="20"/>
      <c r="B866" s="34"/>
      <c r="C866" s="34"/>
      <c r="D866" s="34"/>
      <c r="E866" s="34"/>
      <c r="F866" s="34"/>
      <c r="G866" s="20"/>
      <c r="H866" s="73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>
      <c r="A867" s="20"/>
      <c r="B867" s="34"/>
      <c r="C867" s="34"/>
      <c r="D867" s="34"/>
      <c r="E867" s="34"/>
      <c r="F867" s="34"/>
      <c r="G867" s="20"/>
      <c r="H867" s="73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>
      <c r="A868" s="20"/>
      <c r="B868" s="34"/>
      <c r="C868" s="34"/>
      <c r="D868" s="34"/>
      <c r="E868" s="34"/>
      <c r="F868" s="34"/>
      <c r="G868" s="20"/>
      <c r="H868" s="73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>
      <c r="A869" s="20"/>
      <c r="B869" s="34"/>
      <c r="C869" s="34"/>
      <c r="D869" s="34"/>
      <c r="E869" s="34"/>
      <c r="F869" s="34"/>
      <c r="G869" s="20"/>
      <c r="H869" s="73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>
      <c r="A870" s="20"/>
      <c r="B870" s="34"/>
      <c r="C870" s="34"/>
      <c r="D870" s="34"/>
      <c r="E870" s="34"/>
      <c r="F870" s="34"/>
      <c r="G870" s="20"/>
      <c r="H870" s="73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>
      <c r="A871" s="20"/>
      <c r="B871" s="34"/>
      <c r="C871" s="34"/>
      <c r="D871" s="34"/>
      <c r="E871" s="34"/>
      <c r="F871" s="34"/>
      <c r="G871" s="20"/>
      <c r="H871" s="73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>
      <c r="A872" s="20"/>
      <c r="B872" s="34"/>
      <c r="C872" s="34"/>
      <c r="D872" s="34"/>
      <c r="E872" s="34"/>
      <c r="F872" s="34"/>
      <c r="G872" s="20"/>
      <c r="H872" s="73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>
      <c r="A873" s="20"/>
      <c r="B873" s="34"/>
      <c r="C873" s="34"/>
      <c r="D873" s="34"/>
      <c r="E873" s="34"/>
      <c r="F873" s="34"/>
      <c r="G873" s="20"/>
      <c r="H873" s="73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>
      <c r="A874" s="20"/>
      <c r="B874" s="34"/>
      <c r="C874" s="34"/>
      <c r="D874" s="34"/>
      <c r="E874" s="34"/>
      <c r="F874" s="34"/>
      <c r="G874" s="20"/>
      <c r="H874" s="73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>
      <c r="A875" s="20"/>
      <c r="B875" s="34"/>
      <c r="C875" s="34"/>
      <c r="D875" s="34"/>
      <c r="E875" s="34"/>
      <c r="F875" s="34"/>
      <c r="G875" s="20"/>
      <c r="H875" s="73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>
      <c r="A876" s="20"/>
      <c r="B876" s="34"/>
      <c r="C876" s="34"/>
      <c r="D876" s="34"/>
      <c r="E876" s="34"/>
      <c r="F876" s="34"/>
      <c r="G876" s="20"/>
      <c r="H876" s="73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>
      <c r="A877" s="20"/>
      <c r="B877" s="34"/>
      <c r="C877" s="34"/>
      <c r="D877" s="34"/>
      <c r="E877" s="34"/>
      <c r="F877" s="34"/>
      <c r="G877" s="20"/>
      <c r="H877" s="73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>
      <c r="A878" s="20"/>
      <c r="B878" s="34"/>
      <c r="C878" s="34"/>
      <c r="D878" s="34"/>
      <c r="E878" s="34"/>
      <c r="F878" s="34"/>
      <c r="G878" s="20"/>
      <c r="H878" s="73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>
      <c r="A879" s="20"/>
      <c r="B879" s="34"/>
      <c r="C879" s="34"/>
      <c r="D879" s="34"/>
      <c r="E879" s="34"/>
      <c r="F879" s="34"/>
      <c r="G879" s="20"/>
      <c r="H879" s="73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>
      <c r="A880" s="20"/>
      <c r="B880" s="34"/>
      <c r="C880" s="34"/>
      <c r="D880" s="34"/>
      <c r="E880" s="34"/>
      <c r="F880" s="34"/>
      <c r="G880" s="20"/>
      <c r="H880" s="73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>
      <c r="A881" s="20"/>
      <c r="B881" s="34"/>
      <c r="C881" s="34"/>
      <c r="D881" s="34"/>
      <c r="E881" s="34"/>
      <c r="F881" s="34"/>
      <c r="G881" s="20"/>
      <c r="H881" s="73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>
      <c r="A882" s="20"/>
      <c r="B882" s="34"/>
      <c r="C882" s="34"/>
      <c r="D882" s="34"/>
      <c r="E882" s="34"/>
      <c r="F882" s="34"/>
      <c r="G882" s="20"/>
      <c r="H882" s="73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>
      <c r="A883" s="20"/>
      <c r="B883" s="34"/>
      <c r="C883" s="34"/>
      <c r="D883" s="34"/>
      <c r="E883" s="34"/>
      <c r="F883" s="34"/>
      <c r="G883" s="20"/>
      <c r="H883" s="73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>
      <c r="A884" s="20"/>
      <c r="B884" s="34"/>
      <c r="C884" s="34"/>
      <c r="D884" s="34"/>
      <c r="E884" s="34"/>
      <c r="F884" s="34"/>
      <c r="G884" s="20"/>
      <c r="H884" s="73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>
      <c r="A885" s="20"/>
      <c r="B885" s="34"/>
      <c r="C885" s="34"/>
      <c r="D885" s="34"/>
      <c r="E885" s="34"/>
      <c r="F885" s="34"/>
      <c r="G885" s="20"/>
      <c r="H885" s="73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>
      <c r="A886" s="20"/>
      <c r="B886" s="34"/>
      <c r="C886" s="34"/>
      <c r="D886" s="34"/>
      <c r="E886" s="34"/>
      <c r="F886" s="34"/>
      <c r="G886" s="20"/>
      <c r="H886" s="73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>
      <c r="A887" s="20"/>
      <c r="B887" s="34"/>
      <c r="C887" s="34"/>
      <c r="D887" s="34"/>
      <c r="E887" s="34"/>
      <c r="F887" s="34"/>
      <c r="G887" s="20"/>
      <c r="H887" s="73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>
      <c r="A888" s="20"/>
      <c r="B888" s="34"/>
      <c r="C888" s="34"/>
      <c r="D888" s="34"/>
      <c r="E888" s="34"/>
      <c r="F888" s="34"/>
      <c r="G888" s="20"/>
      <c r="H888" s="73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>
      <c r="A889" s="20"/>
      <c r="B889" s="34"/>
      <c r="C889" s="34"/>
      <c r="D889" s="34"/>
      <c r="E889" s="34"/>
      <c r="F889" s="34"/>
      <c r="G889" s="20"/>
      <c r="H889" s="73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>
      <c r="A890" s="20"/>
      <c r="B890" s="34"/>
      <c r="C890" s="34"/>
      <c r="D890" s="34"/>
      <c r="E890" s="34"/>
      <c r="F890" s="34"/>
      <c r="G890" s="20"/>
      <c r="H890" s="73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>
      <c r="A891" s="20"/>
      <c r="B891" s="34"/>
      <c r="C891" s="34"/>
      <c r="D891" s="34"/>
      <c r="E891" s="34"/>
      <c r="F891" s="34"/>
      <c r="G891" s="20"/>
      <c r="H891" s="73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>
      <c r="A892" s="20"/>
      <c r="B892" s="34"/>
      <c r="C892" s="34"/>
      <c r="D892" s="34"/>
      <c r="E892" s="34"/>
      <c r="F892" s="34"/>
      <c r="G892" s="20"/>
      <c r="H892" s="73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>
      <c r="A893" s="20"/>
      <c r="B893" s="34"/>
      <c r="C893" s="34"/>
      <c r="D893" s="34"/>
      <c r="E893" s="34"/>
      <c r="F893" s="34"/>
      <c r="G893" s="20"/>
      <c r="H893" s="73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>
      <c r="A894" s="20"/>
      <c r="B894" s="34"/>
      <c r="C894" s="34"/>
      <c r="D894" s="34"/>
      <c r="E894" s="34"/>
      <c r="F894" s="34"/>
      <c r="G894" s="20"/>
      <c r="H894" s="73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>
      <c r="A895" s="20"/>
      <c r="B895" s="34"/>
      <c r="C895" s="34"/>
      <c r="D895" s="34"/>
      <c r="E895" s="34"/>
      <c r="F895" s="34"/>
      <c r="G895" s="20"/>
      <c r="H895" s="73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>
      <c r="A896" s="20"/>
      <c r="B896" s="34"/>
      <c r="C896" s="34"/>
      <c r="D896" s="34"/>
      <c r="E896" s="34"/>
      <c r="F896" s="34"/>
      <c r="G896" s="20"/>
      <c r="H896" s="73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>
      <c r="A897" s="20"/>
      <c r="B897" s="34"/>
      <c r="C897" s="34"/>
      <c r="D897" s="34"/>
      <c r="E897" s="34"/>
      <c r="F897" s="34"/>
      <c r="G897" s="20"/>
      <c r="H897" s="73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>
      <c r="A898" s="20"/>
      <c r="B898" s="34"/>
      <c r="C898" s="34"/>
      <c r="D898" s="34"/>
      <c r="E898" s="34"/>
      <c r="F898" s="34"/>
      <c r="G898" s="20"/>
      <c r="H898" s="73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>
      <c r="A899" s="20"/>
      <c r="B899" s="34"/>
      <c r="C899" s="34"/>
      <c r="D899" s="34"/>
      <c r="E899" s="34"/>
      <c r="F899" s="34"/>
      <c r="G899" s="20"/>
      <c r="H899" s="73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>
      <c r="A900" s="20"/>
      <c r="B900" s="34"/>
      <c r="C900" s="34"/>
      <c r="D900" s="34"/>
      <c r="E900" s="34"/>
      <c r="F900" s="34"/>
      <c r="G900" s="20"/>
      <c r="H900" s="73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>
      <c r="A901" s="20"/>
      <c r="B901" s="34"/>
      <c r="C901" s="34"/>
      <c r="D901" s="34"/>
      <c r="E901" s="34"/>
      <c r="F901" s="34"/>
      <c r="G901" s="20"/>
      <c r="H901" s="73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>
      <c r="A902" s="20"/>
      <c r="B902" s="34"/>
      <c r="C902" s="34"/>
      <c r="D902" s="34"/>
      <c r="E902" s="34"/>
      <c r="F902" s="34"/>
      <c r="G902" s="20"/>
      <c r="H902" s="73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>
      <c r="A903" s="20"/>
      <c r="B903" s="34"/>
      <c r="C903" s="34"/>
      <c r="D903" s="34"/>
      <c r="E903" s="34"/>
      <c r="F903" s="34"/>
      <c r="G903" s="20"/>
      <c r="H903" s="73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>
      <c r="A904" s="20"/>
      <c r="B904" s="34"/>
      <c r="C904" s="34"/>
      <c r="D904" s="34"/>
      <c r="E904" s="34"/>
      <c r="F904" s="34"/>
      <c r="G904" s="20"/>
      <c r="H904" s="73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>
      <c r="A905" s="20"/>
      <c r="B905" s="34"/>
      <c r="C905" s="34"/>
      <c r="D905" s="34"/>
      <c r="E905" s="34"/>
      <c r="F905" s="34"/>
      <c r="G905" s="20"/>
      <c r="H905" s="73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>
      <c r="A906" s="20"/>
      <c r="B906" s="34"/>
      <c r="C906" s="34"/>
      <c r="D906" s="34"/>
      <c r="E906" s="34"/>
      <c r="F906" s="34"/>
      <c r="G906" s="20"/>
      <c r="H906" s="73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>
      <c r="A907" s="20"/>
      <c r="B907" s="34"/>
      <c r="C907" s="34"/>
      <c r="D907" s="34"/>
      <c r="E907" s="34"/>
      <c r="F907" s="34"/>
      <c r="G907" s="20"/>
      <c r="H907" s="73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>
      <c r="A908" s="20"/>
      <c r="B908" s="34"/>
      <c r="C908" s="34"/>
      <c r="D908" s="34"/>
      <c r="E908" s="34"/>
      <c r="F908" s="34"/>
      <c r="G908" s="20"/>
      <c r="H908" s="73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>
      <c r="A909" s="20"/>
      <c r="B909" s="34"/>
      <c r="C909" s="34"/>
      <c r="D909" s="34"/>
      <c r="E909" s="34"/>
      <c r="F909" s="34"/>
      <c r="G909" s="20"/>
      <c r="H909" s="73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>
      <c r="A910" s="20"/>
      <c r="B910" s="34"/>
      <c r="C910" s="34"/>
      <c r="D910" s="34"/>
      <c r="E910" s="34"/>
      <c r="F910" s="34"/>
      <c r="G910" s="20"/>
      <c r="H910" s="73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>
      <c r="A911" s="20"/>
      <c r="B911" s="34"/>
      <c r="C911" s="34"/>
      <c r="D911" s="34"/>
      <c r="E911" s="34"/>
      <c r="F911" s="34"/>
      <c r="G911" s="20"/>
      <c r="H911" s="73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>
      <c r="A912" s="20"/>
      <c r="B912" s="34"/>
      <c r="C912" s="34"/>
      <c r="D912" s="34"/>
      <c r="E912" s="34"/>
      <c r="F912" s="34"/>
      <c r="G912" s="20"/>
      <c r="H912" s="73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>
      <c r="A913" s="20"/>
      <c r="B913" s="34"/>
      <c r="C913" s="34"/>
      <c r="D913" s="34"/>
      <c r="E913" s="34"/>
      <c r="F913" s="34"/>
      <c r="G913" s="20"/>
      <c r="H913" s="73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>
      <c r="A914" s="20"/>
      <c r="B914" s="34"/>
      <c r="C914" s="34"/>
      <c r="D914" s="34"/>
      <c r="E914" s="34"/>
      <c r="F914" s="34"/>
      <c r="G914" s="20"/>
      <c r="H914" s="73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>
      <c r="A915" s="20"/>
      <c r="B915" s="34"/>
      <c r="C915" s="34"/>
      <c r="D915" s="34"/>
      <c r="E915" s="34"/>
      <c r="F915" s="34"/>
      <c r="G915" s="20"/>
      <c r="H915" s="73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>
      <c r="A916" s="20"/>
      <c r="B916" s="34"/>
      <c r="C916" s="34"/>
      <c r="D916" s="34"/>
      <c r="E916" s="34"/>
      <c r="F916" s="34"/>
      <c r="G916" s="20"/>
      <c r="H916" s="73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>
      <c r="A917" s="20"/>
      <c r="B917" s="34"/>
      <c r="C917" s="34"/>
      <c r="D917" s="34"/>
      <c r="E917" s="34"/>
      <c r="F917" s="34"/>
      <c r="G917" s="20"/>
      <c r="H917" s="73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>
      <c r="A918" s="20"/>
      <c r="B918" s="34"/>
      <c r="C918" s="34"/>
      <c r="D918" s="34"/>
      <c r="E918" s="34"/>
      <c r="F918" s="34"/>
      <c r="G918" s="20"/>
      <c r="H918" s="73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>
      <c r="A919" s="20"/>
      <c r="B919" s="34"/>
      <c r="C919" s="34"/>
      <c r="D919" s="34"/>
      <c r="E919" s="34"/>
      <c r="F919" s="34"/>
      <c r="G919" s="20"/>
      <c r="H919" s="73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>
      <c r="A920" s="20"/>
      <c r="B920" s="34"/>
      <c r="C920" s="34"/>
      <c r="D920" s="34"/>
      <c r="E920" s="34"/>
      <c r="F920" s="34"/>
      <c r="G920" s="20"/>
      <c r="H920" s="73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>
      <c r="A921" s="20"/>
      <c r="B921" s="34"/>
      <c r="C921" s="34"/>
      <c r="D921" s="34"/>
      <c r="E921" s="34"/>
      <c r="F921" s="34"/>
      <c r="G921" s="20"/>
      <c r="H921" s="73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>
      <c r="A922" s="20"/>
      <c r="B922" s="34"/>
      <c r="C922" s="34"/>
      <c r="D922" s="34"/>
      <c r="E922" s="34"/>
      <c r="F922" s="34"/>
      <c r="G922" s="20"/>
      <c r="H922" s="73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>
      <c r="A923" s="20"/>
      <c r="B923" s="34"/>
      <c r="C923" s="34"/>
      <c r="D923" s="34"/>
      <c r="E923" s="34"/>
      <c r="F923" s="34"/>
      <c r="G923" s="20"/>
      <c r="H923" s="73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>
      <c r="A924" s="20"/>
      <c r="B924" s="34"/>
      <c r="C924" s="34"/>
      <c r="D924" s="34"/>
      <c r="E924" s="34"/>
      <c r="F924" s="34"/>
      <c r="G924" s="20"/>
      <c r="H924" s="73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>
      <c r="A925" s="20"/>
      <c r="B925" s="34"/>
      <c r="C925" s="34"/>
      <c r="D925" s="34"/>
      <c r="E925" s="34"/>
      <c r="F925" s="34"/>
      <c r="G925" s="20"/>
      <c r="H925" s="73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>
      <c r="A926" s="20"/>
      <c r="B926" s="34"/>
      <c r="C926" s="34"/>
      <c r="D926" s="34"/>
      <c r="E926" s="34"/>
      <c r="F926" s="34"/>
      <c r="G926" s="20"/>
      <c r="H926" s="73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>
      <c r="A927" s="20"/>
      <c r="B927" s="34"/>
      <c r="C927" s="34"/>
      <c r="D927" s="34"/>
      <c r="E927" s="34"/>
      <c r="F927" s="34"/>
      <c r="G927" s="20"/>
      <c r="H927" s="73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>
      <c r="A928" s="20"/>
      <c r="B928" s="34"/>
      <c r="C928" s="34"/>
      <c r="D928" s="34"/>
      <c r="E928" s="34"/>
      <c r="F928" s="34"/>
      <c r="G928" s="20"/>
      <c r="H928" s="73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>
      <c r="A929" s="20"/>
      <c r="B929" s="34"/>
      <c r="C929" s="34"/>
      <c r="D929" s="34"/>
      <c r="E929" s="34"/>
      <c r="F929" s="34"/>
      <c r="G929" s="20"/>
      <c r="H929" s="73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>
      <c r="A930" s="20"/>
      <c r="B930" s="34"/>
      <c r="C930" s="34"/>
      <c r="D930" s="34"/>
      <c r="E930" s="34"/>
      <c r="F930" s="34"/>
      <c r="G930" s="20"/>
      <c r="H930" s="73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>
      <c r="A931" s="20"/>
      <c r="B931" s="34"/>
      <c r="C931" s="34"/>
      <c r="D931" s="34"/>
      <c r="E931" s="34"/>
      <c r="F931" s="34"/>
      <c r="G931" s="20"/>
      <c r="H931" s="73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>
      <c r="A932" s="20"/>
      <c r="B932" s="34"/>
      <c r="C932" s="34"/>
      <c r="D932" s="34"/>
      <c r="E932" s="34"/>
      <c r="F932" s="34"/>
      <c r="G932" s="20"/>
      <c r="H932" s="73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>
      <c r="A933" s="20"/>
      <c r="B933" s="34"/>
      <c r="C933" s="34"/>
      <c r="D933" s="34"/>
      <c r="E933" s="34"/>
      <c r="F933" s="34"/>
      <c r="G933" s="20"/>
      <c r="H933" s="73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>
      <c r="A934" s="20"/>
      <c r="B934" s="34"/>
      <c r="C934" s="34"/>
      <c r="D934" s="34"/>
      <c r="E934" s="34"/>
      <c r="F934" s="34"/>
      <c r="G934" s="20"/>
      <c r="H934" s="73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>
      <c r="A935" s="20"/>
      <c r="B935" s="34"/>
      <c r="C935" s="34"/>
      <c r="D935" s="34"/>
      <c r="E935" s="34"/>
      <c r="F935" s="34"/>
      <c r="G935" s="20"/>
      <c r="H935" s="73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>
      <c r="A936" s="20"/>
      <c r="B936" s="34"/>
      <c r="C936" s="34"/>
      <c r="D936" s="34"/>
      <c r="E936" s="34"/>
      <c r="F936" s="34"/>
      <c r="G936" s="20"/>
      <c r="H936" s="73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>
      <c r="A937" s="20"/>
      <c r="B937" s="34"/>
      <c r="C937" s="34"/>
      <c r="D937" s="34"/>
      <c r="E937" s="34"/>
      <c r="F937" s="34"/>
      <c r="G937" s="20"/>
      <c r="H937" s="73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>
      <c r="A938" s="20"/>
      <c r="B938" s="34"/>
      <c r="C938" s="34"/>
      <c r="D938" s="34"/>
      <c r="E938" s="34"/>
      <c r="F938" s="34"/>
      <c r="G938" s="20"/>
      <c r="H938" s="73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>
      <c r="A939" s="20"/>
      <c r="B939" s="34"/>
      <c r="C939" s="34"/>
      <c r="D939" s="34"/>
      <c r="E939" s="34"/>
      <c r="F939" s="34"/>
      <c r="G939" s="20"/>
      <c r="H939" s="73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>
      <c r="A940" s="20"/>
      <c r="B940" s="34"/>
      <c r="C940" s="34"/>
      <c r="D940" s="34"/>
      <c r="E940" s="34"/>
      <c r="F940" s="34"/>
      <c r="G940" s="20"/>
      <c r="H940" s="73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>
      <c r="A941" s="20"/>
      <c r="B941" s="34"/>
      <c r="C941" s="34"/>
      <c r="D941" s="34"/>
      <c r="E941" s="34"/>
      <c r="F941" s="34"/>
      <c r="G941" s="20"/>
      <c r="H941" s="73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>
      <c r="A942" s="20"/>
      <c r="B942" s="34"/>
      <c r="C942" s="34"/>
      <c r="D942" s="34"/>
      <c r="E942" s="34"/>
      <c r="F942" s="34"/>
      <c r="G942" s="20"/>
      <c r="H942" s="73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>
      <c r="A943" s="20"/>
      <c r="B943" s="34"/>
      <c r="C943" s="34"/>
      <c r="D943" s="34"/>
      <c r="E943" s="34"/>
      <c r="F943" s="34"/>
      <c r="G943" s="20"/>
      <c r="H943" s="73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>
      <c r="A944" s="20"/>
      <c r="B944" s="34"/>
      <c r="C944" s="34"/>
      <c r="D944" s="34"/>
      <c r="E944" s="34"/>
      <c r="F944" s="34"/>
      <c r="G944" s="20"/>
      <c r="H944" s="73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>
      <c r="A945" s="20"/>
      <c r="B945" s="34"/>
      <c r="C945" s="34"/>
      <c r="D945" s="34"/>
      <c r="E945" s="34"/>
      <c r="F945" s="34"/>
      <c r="G945" s="20"/>
      <c r="H945" s="73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>
      <c r="A946" s="20"/>
      <c r="B946" s="34"/>
      <c r="C946" s="34"/>
      <c r="D946" s="34"/>
      <c r="E946" s="34"/>
      <c r="F946" s="34"/>
      <c r="G946" s="20"/>
      <c r="H946" s="73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>
      <c r="A947" s="20"/>
      <c r="B947" s="34"/>
      <c r="C947" s="34"/>
      <c r="D947" s="34"/>
      <c r="E947" s="34"/>
      <c r="F947" s="34"/>
      <c r="G947" s="20"/>
      <c r="H947" s="73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>
      <c r="A948" s="20"/>
      <c r="B948" s="34"/>
      <c r="C948" s="34"/>
      <c r="D948" s="34"/>
      <c r="E948" s="34"/>
      <c r="F948" s="34"/>
      <c r="G948" s="20"/>
      <c r="H948" s="73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>
      <c r="A949" s="20"/>
      <c r="B949" s="34"/>
      <c r="C949" s="34"/>
      <c r="D949" s="34"/>
      <c r="E949" s="34"/>
      <c r="F949" s="34"/>
      <c r="G949" s="20"/>
      <c r="H949" s="73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>
      <c r="A950" s="20"/>
      <c r="B950" s="34"/>
      <c r="C950" s="34"/>
      <c r="D950" s="34"/>
      <c r="E950" s="34"/>
      <c r="F950" s="34"/>
      <c r="G950" s="20"/>
      <c r="H950" s="73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>
      <c r="A951" s="20"/>
      <c r="B951" s="34"/>
      <c r="C951" s="34"/>
      <c r="D951" s="34"/>
      <c r="E951" s="34"/>
      <c r="F951" s="34"/>
      <c r="G951" s="20"/>
      <c r="H951" s="73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>
      <c r="A952" s="20"/>
      <c r="B952" s="34"/>
      <c r="C952" s="34"/>
      <c r="D952" s="34"/>
      <c r="E952" s="34"/>
      <c r="F952" s="34"/>
      <c r="G952" s="20"/>
      <c r="H952" s="73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>
      <c r="A953" s="20"/>
      <c r="B953" s="34"/>
      <c r="C953" s="34"/>
      <c r="D953" s="34"/>
      <c r="E953" s="34"/>
      <c r="F953" s="34"/>
      <c r="G953" s="20"/>
      <c r="H953" s="73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>
      <c r="A954" s="20"/>
      <c r="B954" s="34"/>
      <c r="C954" s="34"/>
      <c r="D954" s="34"/>
      <c r="E954" s="34"/>
      <c r="F954" s="34"/>
      <c r="G954" s="20"/>
      <c r="H954" s="73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>
      <c r="A955" s="20"/>
      <c r="B955" s="34"/>
      <c r="C955" s="34"/>
      <c r="D955" s="34"/>
      <c r="E955" s="34"/>
      <c r="F955" s="34"/>
      <c r="G955" s="20"/>
      <c r="H955" s="73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>
      <c r="A956" s="20"/>
      <c r="B956" s="34"/>
      <c r="C956" s="34"/>
      <c r="D956" s="34"/>
      <c r="E956" s="34"/>
      <c r="F956" s="34"/>
      <c r="G956" s="20"/>
      <c r="H956" s="73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>
      <c r="A957" s="20"/>
      <c r="B957" s="34"/>
      <c r="C957" s="34"/>
      <c r="D957" s="34"/>
      <c r="E957" s="34"/>
      <c r="F957" s="34"/>
      <c r="G957" s="20"/>
      <c r="H957" s="73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>
      <c r="A958" s="20"/>
      <c r="B958" s="34"/>
      <c r="C958" s="34"/>
      <c r="D958" s="34"/>
      <c r="E958" s="34"/>
      <c r="F958" s="34"/>
      <c r="G958" s="20"/>
      <c r="H958" s="73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>
      <c r="A959" s="20"/>
      <c r="B959" s="34"/>
      <c r="C959" s="34"/>
      <c r="D959" s="34"/>
      <c r="E959" s="34"/>
      <c r="F959" s="34"/>
      <c r="G959" s="20"/>
      <c r="H959" s="73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>
      <c r="A960" s="20"/>
      <c r="B960" s="34"/>
      <c r="C960" s="34"/>
      <c r="D960" s="34"/>
      <c r="E960" s="34"/>
      <c r="F960" s="34"/>
      <c r="G960" s="20"/>
      <c r="H960" s="73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>
      <c r="A961" s="20"/>
      <c r="B961" s="34"/>
      <c r="C961" s="34"/>
      <c r="D961" s="34"/>
      <c r="E961" s="34"/>
      <c r="F961" s="34"/>
      <c r="G961" s="20"/>
      <c r="H961" s="73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>
      <c r="A962" s="20"/>
      <c r="B962" s="34"/>
      <c r="C962" s="34"/>
      <c r="D962" s="34"/>
      <c r="E962" s="34"/>
      <c r="F962" s="34"/>
      <c r="G962" s="20"/>
      <c r="H962" s="73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>
      <c r="A963" s="20"/>
      <c r="B963" s="34"/>
      <c r="C963" s="34"/>
      <c r="D963" s="34"/>
      <c r="E963" s="34"/>
      <c r="F963" s="34"/>
      <c r="G963" s="20"/>
      <c r="H963" s="73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>
      <c r="A964" s="20"/>
      <c r="B964" s="34"/>
      <c r="C964" s="34"/>
      <c r="D964" s="34"/>
      <c r="E964" s="34"/>
      <c r="F964" s="34"/>
      <c r="G964" s="20"/>
      <c r="H964" s="73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>
      <c r="A965" s="20"/>
      <c r="B965" s="34"/>
      <c r="C965" s="34"/>
      <c r="D965" s="34"/>
      <c r="E965" s="34"/>
      <c r="F965" s="34"/>
      <c r="G965" s="20"/>
      <c r="H965" s="73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>
      <c r="A966" s="20"/>
      <c r="B966" s="34"/>
      <c r="C966" s="34"/>
      <c r="D966" s="34"/>
      <c r="E966" s="34"/>
      <c r="F966" s="34"/>
      <c r="G966" s="20"/>
      <c r="H966" s="73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>
      <c r="A967" s="20"/>
      <c r="B967" s="34"/>
      <c r="C967" s="34"/>
      <c r="D967" s="34"/>
      <c r="E967" s="34"/>
      <c r="F967" s="34"/>
      <c r="G967" s="20"/>
      <c r="H967" s="73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>
      <c r="A968" s="20"/>
      <c r="B968" s="34"/>
      <c r="C968" s="34"/>
      <c r="D968" s="34"/>
      <c r="E968" s="34"/>
      <c r="F968" s="34"/>
      <c r="G968" s="20"/>
      <c r="H968" s="73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>
      <c r="A969" s="20"/>
      <c r="B969" s="34"/>
      <c r="C969" s="34"/>
      <c r="D969" s="34"/>
      <c r="E969" s="34"/>
      <c r="F969" s="34"/>
      <c r="G969" s="20"/>
      <c r="H969" s="73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>
      <c r="A970" s="20"/>
      <c r="B970" s="34"/>
      <c r="C970" s="34"/>
      <c r="D970" s="34"/>
      <c r="E970" s="34"/>
      <c r="F970" s="34"/>
      <c r="G970" s="20"/>
      <c r="H970" s="73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>
      <c r="A971" s="20"/>
      <c r="B971" s="34"/>
      <c r="C971" s="34"/>
      <c r="D971" s="34"/>
      <c r="E971" s="34"/>
      <c r="F971" s="34"/>
      <c r="G971" s="20"/>
      <c r="H971" s="73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>
      <c r="A972" s="20"/>
      <c r="B972" s="34"/>
      <c r="C972" s="34"/>
      <c r="D972" s="34"/>
      <c r="E972" s="34"/>
      <c r="F972" s="34"/>
      <c r="G972" s="20"/>
      <c r="H972" s="73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>
      <c r="A973" s="20"/>
      <c r="B973" s="34"/>
      <c r="C973" s="34"/>
      <c r="D973" s="34"/>
      <c r="E973" s="34"/>
      <c r="F973" s="34"/>
      <c r="G973" s="20"/>
      <c r="H973" s="73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>
      <c r="A974" s="20"/>
      <c r="B974" s="34"/>
      <c r="C974" s="34"/>
      <c r="D974" s="34"/>
      <c r="E974" s="34"/>
      <c r="F974" s="34"/>
      <c r="G974" s="20"/>
      <c r="H974" s="73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>
      <c r="A975" s="20"/>
      <c r="B975" s="34"/>
      <c r="C975" s="34"/>
      <c r="D975" s="34"/>
      <c r="E975" s="34"/>
      <c r="F975" s="34"/>
      <c r="G975" s="20"/>
      <c r="H975" s="73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>
      <c r="A976" s="20"/>
      <c r="B976" s="34"/>
      <c r="C976" s="34"/>
      <c r="D976" s="34"/>
      <c r="E976" s="34"/>
      <c r="F976" s="34"/>
      <c r="G976" s="20"/>
      <c r="H976" s="73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>
      <c r="A977" s="20"/>
      <c r="B977" s="34"/>
      <c r="C977" s="34"/>
      <c r="D977" s="34"/>
      <c r="E977" s="34"/>
      <c r="F977" s="34"/>
      <c r="G977" s="20"/>
      <c r="H977" s="73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>
      <c r="A978" s="20"/>
      <c r="B978" s="34"/>
      <c r="C978" s="34"/>
      <c r="D978" s="34"/>
      <c r="E978" s="34"/>
      <c r="F978" s="34"/>
      <c r="G978" s="20"/>
      <c r="H978" s="73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>
      <c r="A979" s="20"/>
      <c r="B979" s="34"/>
      <c r="C979" s="34"/>
      <c r="D979" s="34"/>
      <c r="E979" s="34"/>
      <c r="F979" s="34"/>
      <c r="G979" s="20"/>
      <c r="H979" s="73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>
      <c r="A980" s="20"/>
      <c r="B980" s="34"/>
      <c r="C980" s="34"/>
      <c r="D980" s="34"/>
      <c r="E980" s="34"/>
      <c r="F980" s="34"/>
      <c r="G980" s="20"/>
      <c r="H980" s="73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>
      <c r="A981" s="20"/>
      <c r="B981" s="34"/>
      <c r="C981" s="34"/>
      <c r="D981" s="34"/>
      <c r="E981" s="34"/>
      <c r="F981" s="34"/>
      <c r="G981" s="20"/>
      <c r="H981" s="73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>
      <c r="A982" s="20"/>
      <c r="B982" s="34"/>
      <c r="C982" s="34"/>
      <c r="D982" s="34"/>
      <c r="E982" s="34"/>
      <c r="F982" s="34"/>
      <c r="G982" s="20"/>
      <c r="H982" s="73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>
      <c r="A983" s="20"/>
      <c r="B983" s="34"/>
      <c r="C983" s="34"/>
      <c r="D983" s="34"/>
      <c r="E983" s="34"/>
      <c r="F983" s="34"/>
      <c r="G983" s="20"/>
      <c r="H983" s="73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>
      <c r="A984" s="20"/>
      <c r="B984" s="34"/>
      <c r="C984" s="34"/>
      <c r="D984" s="34"/>
      <c r="E984" s="34"/>
      <c r="F984" s="34"/>
      <c r="G984" s="20"/>
      <c r="H984" s="73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>
      <c r="A985" s="20"/>
      <c r="B985" s="34"/>
      <c r="C985" s="34"/>
      <c r="D985" s="34"/>
      <c r="E985" s="34"/>
      <c r="F985" s="34"/>
      <c r="G985" s="20"/>
      <c r="H985" s="73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>
      <c r="A986" s="20"/>
      <c r="B986" s="34"/>
      <c r="C986" s="34"/>
      <c r="D986" s="34"/>
      <c r="E986" s="34"/>
      <c r="F986" s="34"/>
      <c r="G986" s="20"/>
      <c r="H986" s="73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>
      <c r="A987" s="20"/>
      <c r="B987" s="34"/>
      <c r="C987" s="34"/>
      <c r="D987" s="34"/>
      <c r="E987" s="34"/>
      <c r="F987" s="34"/>
      <c r="G987" s="20"/>
      <c r="H987" s="73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>
      <c r="A988" s="20"/>
      <c r="B988" s="34"/>
      <c r="C988" s="34"/>
      <c r="D988" s="34"/>
      <c r="E988" s="34"/>
      <c r="F988" s="34"/>
      <c r="G988" s="20"/>
      <c r="H988" s="73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>
      <c r="A989" s="20"/>
      <c r="B989" s="34"/>
      <c r="C989" s="34"/>
      <c r="D989" s="34"/>
      <c r="E989" s="34"/>
      <c r="F989" s="34"/>
      <c r="G989" s="20"/>
      <c r="H989" s="73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>
      <c r="A990" s="20"/>
      <c r="B990" s="34"/>
      <c r="C990" s="34"/>
      <c r="D990" s="34"/>
      <c r="E990" s="34"/>
      <c r="F990" s="34"/>
      <c r="G990" s="20"/>
      <c r="H990" s="73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>
      <c r="A991" s="20"/>
      <c r="B991" s="34"/>
      <c r="C991" s="34"/>
      <c r="D991" s="34"/>
      <c r="E991" s="34"/>
      <c r="F991" s="34"/>
      <c r="G991" s="20"/>
      <c r="H991" s="73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>
      <c r="A992" s="20"/>
      <c r="B992" s="34"/>
      <c r="C992" s="34"/>
      <c r="D992" s="34"/>
      <c r="E992" s="34"/>
      <c r="F992" s="34"/>
      <c r="G992" s="20"/>
      <c r="H992" s="73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>
      <c r="A993" s="20"/>
      <c r="B993" s="34"/>
      <c r="C993" s="34"/>
      <c r="D993" s="34"/>
      <c r="E993" s="34"/>
      <c r="F993" s="34"/>
      <c r="G993" s="20"/>
      <c r="H993" s="73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>
      <c r="A994" s="20"/>
      <c r="B994" s="34"/>
      <c r="C994" s="34"/>
      <c r="D994" s="34"/>
      <c r="E994" s="34"/>
      <c r="F994" s="34"/>
      <c r="G994" s="20"/>
      <c r="H994" s="73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>
      <c r="A995" s="20"/>
      <c r="B995" s="34"/>
      <c r="C995" s="34"/>
      <c r="D995" s="34"/>
      <c r="E995" s="34"/>
      <c r="F995" s="34"/>
      <c r="G995" s="20"/>
      <c r="H995" s="73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>
      <c r="A996" s="20"/>
      <c r="B996" s="34"/>
      <c r="C996" s="34"/>
      <c r="D996" s="34"/>
      <c r="E996" s="34"/>
      <c r="F996" s="34"/>
      <c r="G996" s="20"/>
      <c r="H996" s="73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>
      <c r="A997" s="20"/>
      <c r="B997" s="34"/>
      <c r="C997" s="34"/>
      <c r="D997" s="34"/>
      <c r="E997" s="34"/>
      <c r="F997" s="34"/>
      <c r="G997" s="20"/>
      <c r="H997" s="73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>
      <c r="A998" s="20"/>
      <c r="B998" s="34"/>
      <c r="C998" s="34"/>
      <c r="D998" s="34"/>
      <c r="E998" s="34"/>
      <c r="F998" s="34"/>
      <c r="G998" s="20"/>
      <c r="H998" s="73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>
      <c r="A999" s="20"/>
      <c r="B999" s="34"/>
      <c r="C999" s="34"/>
      <c r="D999" s="34"/>
      <c r="E999" s="34"/>
      <c r="F999" s="34"/>
      <c r="G999" s="20"/>
      <c r="H999" s="73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>
      <c r="A1000" s="20"/>
      <c r="B1000" s="34"/>
      <c r="C1000" s="34"/>
      <c r="D1000" s="34"/>
      <c r="E1000" s="34"/>
      <c r="F1000" s="34"/>
      <c r="G1000" s="20"/>
      <c r="H1000" s="73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>
      <c r="A1001" s="20"/>
      <c r="B1001" s="34"/>
      <c r="C1001" s="34"/>
      <c r="D1001" s="34"/>
      <c r="E1001" s="34"/>
      <c r="F1001" s="34"/>
      <c r="G1001" s="20"/>
      <c r="H1001" s="73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>
      <c r="A1002" s="20"/>
      <c r="B1002" s="34"/>
      <c r="C1002" s="34"/>
      <c r="D1002" s="34"/>
      <c r="E1002" s="34"/>
      <c r="F1002" s="34"/>
      <c r="G1002" s="20"/>
      <c r="H1002" s="73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  <row r="1003">
      <c r="A1003" s="20"/>
      <c r="B1003" s="34"/>
      <c r="C1003" s="34"/>
      <c r="D1003" s="34"/>
      <c r="E1003" s="34"/>
      <c r="F1003" s="34"/>
      <c r="G1003" s="20"/>
      <c r="H1003" s="73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</row>
  </sheetData>
  <mergeCells count="12">
    <mergeCell ref="C11:D11"/>
    <mergeCell ref="C13:D13"/>
    <mergeCell ref="C15:D15"/>
    <mergeCell ref="C17:D17"/>
    <mergeCell ref="C19:D19"/>
    <mergeCell ref="B1:F1"/>
    <mergeCell ref="C3:D3"/>
    <mergeCell ref="G3:H3"/>
    <mergeCell ref="C5:D5"/>
    <mergeCell ref="G5:H5"/>
    <mergeCell ref="C7:D7"/>
    <mergeCell ref="C9:D9"/>
  </mergeCells>
  <dataValidations>
    <dataValidation type="list" allowBlank="1" showErrorMessage="1" sqref="E17">
      <formula1>ListaDatos[Tipo de Gasto]</formula1>
    </dataValidation>
    <dataValidation type="list" allowBlank="1" showErrorMessage="1" sqref="E3">
      <formula1>OsTransferencias</formula1>
    </dataValidation>
    <dataValidation type="list" allowBlank="1" showErrorMessage="1" sqref="E15">
      <formula1>ListaDatos[Bancos]</formula1>
    </dataValidation>
    <dataValidation type="list" allowBlank="1" showErrorMessage="1" sqref="E13">
      <formula1>ListaDatos[Aforadores]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88"/>
    <col customWidth="1" min="3" max="3" width="13.25"/>
    <col customWidth="1" min="4" max="4" width="14.0"/>
    <col customWidth="1" min="5" max="5" width="23.25"/>
    <col customWidth="1" min="8" max="8" width="16.63"/>
    <col customWidth="1" min="10" max="10" width="20.38"/>
  </cols>
  <sheetData>
    <row r="1" ht="33.0" customHeight="1">
      <c r="A1" s="60" t="s">
        <v>27</v>
      </c>
      <c r="B1" s="60" t="s">
        <v>28</v>
      </c>
      <c r="C1" s="60" t="s">
        <v>29</v>
      </c>
      <c r="D1" s="60" t="s">
        <v>79</v>
      </c>
      <c r="E1" s="60" t="s">
        <v>80</v>
      </c>
      <c r="F1" s="60" t="s">
        <v>81</v>
      </c>
      <c r="G1" s="60" t="s">
        <v>82</v>
      </c>
      <c r="H1" s="60" t="s">
        <v>83</v>
      </c>
      <c r="I1" s="60" t="s">
        <v>84</v>
      </c>
      <c r="J1" s="60" t="s">
        <v>85</v>
      </c>
      <c r="K1" s="60" t="s">
        <v>33</v>
      </c>
      <c r="L1" s="60" t="s">
        <v>34</v>
      </c>
    </row>
    <row r="2">
      <c r="A2" s="62" t="s">
        <v>36</v>
      </c>
      <c r="B2" s="62" t="s">
        <v>37</v>
      </c>
      <c r="C2" s="62" t="s">
        <v>14</v>
      </c>
      <c r="D2" s="62" t="s">
        <v>86</v>
      </c>
      <c r="E2" s="62" t="s">
        <v>87</v>
      </c>
      <c r="F2" s="62"/>
      <c r="G2" s="81">
        <v>33.284</v>
      </c>
      <c r="H2" s="62" t="s">
        <v>59</v>
      </c>
      <c r="I2" s="62" t="s">
        <v>88</v>
      </c>
      <c r="J2" s="62" t="s">
        <v>89</v>
      </c>
      <c r="K2" s="82">
        <v>45606.0</v>
      </c>
      <c r="L2" s="62" t="str">
        <f t="shared" ref="L2:L1001" si="1">IF(ISBLANK(K2),"",UPPER(TEXT(K2,"MMMM")))</f>
        <v>NOVIEMBRE</v>
      </c>
      <c r="M2" s="65"/>
      <c r="N2" s="65"/>
    </row>
    <row r="3">
      <c r="A3" s="62" t="s">
        <v>61</v>
      </c>
      <c r="B3" s="62" t="s">
        <v>62</v>
      </c>
      <c r="C3" s="62" t="s">
        <v>14</v>
      </c>
      <c r="D3" s="62" t="s">
        <v>86</v>
      </c>
      <c r="E3" s="62" t="s">
        <v>87</v>
      </c>
      <c r="F3" s="15"/>
      <c r="G3" s="81">
        <v>125.588</v>
      </c>
      <c r="H3" s="62" t="s">
        <v>22</v>
      </c>
      <c r="I3" s="62" t="s">
        <v>88</v>
      </c>
      <c r="J3" s="62" t="s">
        <v>89</v>
      </c>
      <c r="K3" s="82">
        <v>45608.0</v>
      </c>
      <c r="L3" s="62" t="str">
        <f t="shared" si="1"/>
        <v>NOVIEMBRE</v>
      </c>
      <c r="M3" s="65"/>
      <c r="N3" s="65"/>
    </row>
    <row r="4">
      <c r="A4" s="62" t="s">
        <v>68</v>
      </c>
      <c r="B4" s="62" t="s">
        <v>69</v>
      </c>
      <c r="C4" s="62" t="s">
        <v>14</v>
      </c>
      <c r="D4" s="62" t="s">
        <v>86</v>
      </c>
      <c r="E4" s="83" t="s">
        <v>87</v>
      </c>
      <c r="F4" s="15"/>
      <c r="G4" s="81">
        <v>65.68</v>
      </c>
      <c r="H4" s="62" t="s">
        <v>39</v>
      </c>
      <c r="I4" s="62" t="s">
        <v>88</v>
      </c>
      <c r="J4" s="62" t="s">
        <v>89</v>
      </c>
      <c r="K4" s="82">
        <v>45609.0</v>
      </c>
      <c r="L4" s="62" t="str">
        <f t="shared" si="1"/>
        <v>NOVIEMBRE</v>
      </c>
      <c r="M4" s="65"/>
      <c r="N4" s="65"/>
    </row>
    <row r="5">
      <c r="A5" s="62" t="s">
        <v>68</v>
      </c>
      <c r="B5" s="62" t="s">
        <v>69</v>
      </c>
      <c r="C5" s="62" t="s">
        <v>14</v>
      </c>
      <c r="D5" s="62" t="s">
        <v>90</v>
      </c>
      <c r="E5" s="84" t="s">
        <v>91</v>
      </c>
      <c r="F5" s="62"/>
      <c r="G5" s="81">
        <v>25.99</v>
      </c>
      <c r="H5" s="62" t="s">
        <v>39</v>
      </c>
      <c r="I5" s="62" t="s">
        <v>88</v>
      </c>
      <c r="J5" s="62" t="s">
        <v>89</v>
      </c>
      <c r="K5" s="82">
        <v>45609.0</v>
      </c>
      <c r="L5" s="62" t="str">
        <f t="shared" si="1"/>
        <v>NOVIEMBRE</v>
      </c>
      <c r="M5" s="65" t="b">
        <v>1</v>
      </c>
      <c r="N5" s="65" t="s">
        <v>71</v>
      </c>
    </row>
    <row r="6">
      <c r="A6" s="62"/>
      <c r="B6" s="62"/>
      <c r="C6" s="62"/>
      <c r="D6" s="62"/>
      <c r="E6" s="62"/>
      <c r="F6" s="15"/>
      <c r="G6" s="81"/>
      <c r="H6" s="62"/>
      <c r="I6" s="62"/>
      <c r="J6" s="62"/>
      <c r="K6" s="82"/>
      <c r="L6" s="62" t="str">
        <f t="shared" si="1"/>
        <v/>
      </c>
    </row>
    <row r="7">
      <c r="A7" s="62"/>
      <c r="B7" s="62"/>
      <c r="C7" s="62"/>
      <c r="D7" s="62"/>
      <c r="E7" s="62"/>
      <c r="F7" s="15"/>
      <c r="G7" s="81"/>
      <c r="H7" s="62"/>
      <c r="I7" s="85"/>
      <c r="J7" s="62"/>
      <c r="K7" s="82"/>
      <c r="L7" s="62" t="str">
        <f t="shared" si="1"/>
        <v/>
      </c>
    </row>
    <row r="8">
      <c r="A8" s="62"/>
      <c r="B8" s="62"/>
      <c r="C8" s="62"/>
      <c r="D8" s="62"/>
      <c r="E8" s="62"/>
      <c r="F8" s="15"/>
      <c r="G8" s="81"/>
      <c r="H8" s="62"/>
      <c r="I8" s="62"/>
      <c r="J8" s="62"/>
      <c r="K8" s="82"/>
      <c r="L8" s="62" t="str">
        <f t="shared" si="1"/>
        <v/>
      </c>
    </row>
    <row r="9">
      <c r="A9" s="62"/>
      <c r="B9" s="62"/>
      <c r="C9" s="62"/>
      <c r="D9" s="62"/>
      <c r="E9" s="62"/>
      <c r="F9" s="15"/>
      <c r="G9" s="81"/>
      <c r="H9" s="62"/>
      <c r="I9" s="62"/>
      <c r="J9" s="62"/>
      <c r="K9" s="82"/>
      <c r="L9" s="62" t="str">
        <f t="shared" si="1"/>
        <v/>
      </c>
    </row>
    <row r="10">
      <c r="A10" s="86"/>
      <c r="B10" s="86"/>
      <c r="C10" s="86"/>
      <c r="D10" s="86"/>
      <c r="E10" s="86"/>
      <c r="F10" s="87"/>
      <c r="G10" s="88"/>
      <c r="H10" s="86"/>
      <c r="I10" s="86"/>
      <c r="J10" s="86"/>
      <c r="K10" s="89"/>
      <c r="L10" s="62" t="str">
        <f t="shared" si="1"/>
        <v/>
      </c>
    </row>
    <row r="11">
      <c r="A11" s="62"/>
      <c r="B11" s="62"/>
      <c r="C11" s="62"/>
      <c r="D11" s="62"/>
      <c r="E11" s="62"/>
      <c r="F11" s="62"/>
      <c r="G11" s="81"/>
      <c r="H11" s="62"/>
      <c r="I11" s="62"/>
      <c r="J11" s="62"/>
      <c r="K11" s="82"/>
      <c r="L11" s="62" t="str">
        <f t="shared" si="1"/>
        <v/>
      </c>
    </row>
    <row r="12">
      <c r="A12" s="62"/>
      <c r="B12" s="62"/>
      <c r="C12" s="62"/>
      <c r="D12" s="62"/>
      <c r="E12" s="62"/>
      <c r="F12" s="15"/>
      <c r="G12" s="81"/>
      <c r="H12" s="62"/>
      <c r="I12" s="62"/>
      <c r="J12" s="62"/>
      <c r="K12" s="82"/>
      <c r="L12" s="62" t="str">
        <f t="shared" si="1"/>
        <v/>
      </c>
    </row>
    <row r="13">
      <c r="A13" s="62"/>
      <c r="B13" s="62"/>
      <c r="C13" s="62"/>
      <c r="D13" s="62"/>
      <c r="E13" s="62"/>
      <c r="F13" s="15"/>
      <c r="G13" s="81"/>
      <c r="H13" s="62"/>
      <c r="I13" s="62"/>
      <c r="J13" s="62"/>
      <c r="K13" s="82"/>
      <c r="L13" s="62" t="str">
        <f t="shared" si="1"/>
        <v/>
      </c>
    </row>
    <row r="14">
      <c r="A14" s="86"/>
      <c r="B14" s="86"/>
      <c r="C14" s="86"/>
      <c r="D14" s="86"/>
      <c r="E14" s="86"/>
      <c r="F14" s="87"/>
      <c r="G14" s="88"/>
      <c r="H14" s="86"/>
      <c r="I14" s="86"/>
      <c r="J14" s="86"/>
      <c r="K14" s="89"/>
      <c r="L14" s="62" t="str">
        <f t="shared" si="1"/>
        <v/>
      </c>
      <c r="M14" s="65"/>
    </row>
    <row r="15">
      <c r="A15" s="62"/>
      <c r="B15" s="62"/>
      <c r="C15" s="62"/>
      <c r="D15" s="62"/>
      <c r="E15" s="62"/>
      <c r="F15" s="15"/>
      <c r="G15" s="81"/>
      <c r="H15" s="62"/>
      <c r="I15" s="62"/>
      <c r="J15" s="62"/>
      <c r="K15" s="82"/>
      <c r="L15" s="62" t="str">
        <f t="shared" si="1"/>
        <v/>
      </c>
      <c r="N15" s="65"/>
    </row>
    <row r="16">
      <c r="A16" s="62"/>
      <c r="B16" s="62"/>
      <c r="C16" s="62"/>
      <c r="D16" s="62"/>
      <c r="E16" s="62"/>
      <c r="F16" s="15"/>
      <c r="G16" s="81"/>
      <c r="H16" s="62"/>
      <c r="I16" s="62"/>
      <c r="J16" s="62"/>
      <c r="K16" s="82"/>
      <c r="L16" s="62" t="str">
        <f t="shared" si="1"/>
        <v/>
      </c>
      <c r="N16" s="65"/>
    </row>
    <row r="17">
      <c r="A17" s="62"/>
      <c r="B17" s="62"/>
      <c r="C17" s="62"/>
      <c r="D17" s="62"/>
      <c r="E17" s="62"/>
      <c r="F17" s="15"/>
      <c r="G17" s="81"/>
      <c r="H17" s="62"/>
      <c r="I17" s="62"/>
      <c r="J17" s="62"/>
      <c r="K17" s="82"/>
      <c r="L17" s="62" t="str">
        <f t="shared" si="1"/>
        <v/>
      </c>
      <c r="M17" s="65"/>
      <c r="N17" s="65"/>
    </row>
    <row r="18">
      <c r="A18" s="62"/>
      <c r="B18" s="62"/>
      <c r="C18" s="62"/>
      <c r="D18" s="62"/>
      <c r="E18" s="62"/>
      <c r="F18" s="62"/>
      <c r="G18" s="81"/>
      <c r="H18" s="62"/>
      <c r="I18" s="62"/>
      <c r="J18" s="62"/>
      <c r="K18" s="82"/>
      <c r="L18" s="62" t="str">
        <f t="shared" si="1"/>
        <v/>
      </c>
      <c r="M18" s="65"/>
      <c r="N18" s="65"/>
    </row>
    <row r="19">
      <c r="A19" s="62"/>
      <c r="B19" s="62"/>
      <c r="C19" s="62"/>
      <c r="D19" s="62"/>
      <c r="E19" s="62"/>
      <c r="F19" s="15"/>
      <c r="G19" s="81"/>
      <c r="H19" s="62"/>
      <c r="I19" s="62"/>
      <c r="J19" s="62"/>
      <c r="K19" s="82"/>
      <c r="L19" s="62" t="str">
        <f t="shared" si="1"/>
        <v/>
      </c>
    </row>
    <row r="20">
      <c r="A20" s="62"/>
      <c r="B20" s="62"/>
      <c r="C20" s="62"/>
      <c r="D20" s="62"/>
      <c r="E20" s="62"/>
      <c r="F20" s="62"/>
      <c r="G20" s="81"/>
      <c r="H20" s="62"/>
      <c r="I20" s="62"/>
      <c r="J20" s="62"/>
      <c r="K20" s="82"/>
      <c r="L20" s="62" t="str">
        <f t="shared" si="1"/>
        <v/>
      </c>
    </row>
    <row r="21">
      <c r="A21" s="62"/>
      <c r="B21" s="62"/>
      <c r="C21" s="62"/>
      <c r="D21" s="62"/>
      <c r="E21" s="62"/>
      <c r="F21" s="62"/>
      <c r="G21" s="81"/>
      <c r="H21" s="62"/>
      <c r="I21" s="62"/>
      <c r="J21" s="62"/>
      <c r="K21" s="82"/>
      <c r="L21" s="62" t="str">
        <f t="shared" si="1"/>
        <v/>
      </c>
    </row>
    <row r="22">
      <c r="A22" s="62"/>
      <c r="B22" s="62"/>
      <c r="C22" s="62"/>
      <c r="D22" s="62"/>
      <c r="E22" s="62"/>
      <c r="F22" s="15"/>
      <c r="G22" s="81"/>
      <c r="H22" s="62"/>
      <c r="I22" s="62"/>
      <c r="J22" s="62"/>
      <c r="K22" s="82"/>
      <c r="L22" s="62" t="str">
        <f t="shared" si="1"/>
        <v/>
      </c>
    </row>
    <row r="23">
      <c r="A23" s="62"/>
      <c r="B23" s="62"/>
      <c r="C23" s="62"/>
      <c r="D23" s="62"/>
      <c r="E23" s="62"/>
      <c r="F23" s="62"/>
      <c r="G23" s="81"/>
      <c r="H23" s="62"/>
      <c r="I23" s="62"/>
      <c r="J23" s="62"/>
      <c r="K23" s="82"/>
      <c r="L23" s="62" t="str">
        <f t="shared" si="1"/>
        <v/>
      </c>
    </row>
    <row r="24">
      <c r="A24" s="62"/>
      <c r="B24" s="62"/>
      <c r="C24" s="62"/>
      <c r="D24" s="62"/>
      <c r="E24" s="62"/>
      <c r="F24" s="15"/>
      <c r="G24" s="81"/>
      <c r="H24" s="62"/>
      <c r="I24" s="62"/>
      <c r="J24" s="62"/>
      <c r="K24" s="82"/>
      <c r="L24" s="62" t="str">
        <f t="shared" si="1"/>
        <v/>
      </c>
      <c r="N24" s="66"/>
    </row>
    <row r="25">
      <c r="A25" s="62"/>
      <c r="B25" s="62"/>
      <c r="C25" s="62"/>
      <c r="D25" s="62"/>
      <c r="E25" s="62"/>
      <c r="F25" s="15"/>
      <c r="G25" s="81"/>
      <c r="H25" s="62"/>
      <c r="I25" s="62"/>
      <c r="J25" s="62"/>
      <c r="K25" s="82"/>
      <c r="L25" s="62" t="str">
        <f t="shared" si="1"/>
        <v/>
      </c>
    </row>
    <row r="26">
      <c r="A26" s="62"/>
      <c r="B26" s="62"/>
      <c r="C26" s="62"/>
      <c r="D26" s="62"/>
      <c r="E26" s="62"/>
      <c r="F26" s="15"/>
      <c r="G26" s="81"/>
      <c r="H26" s="62"/>
      <c r="I26" s="62"/>
      <c r="J26" s="62"/>
      <c r="K26" s="82"/>
      <c r="L26" s="62" t="str">
        <f t="shared" si="1"/>
        <v/>
      </c>
    </row>
    <row r="27">
      <c r="A27" s="62"/>
      <c r="B27" s="62"/>
      <c r="C27" s="62"/>
      <c r="D27" s="62"/>
      <c r="E27" s="62"/>
      <c r="F27" s="15"/>
      <c r="G27" s="81"/>
      <c r="H27" s="62"/>
      <c r="I27" s="62"/>
      <c r="J27" s="62"/>
      <c r="K27" s="82"/>
      <c r="L27" s="62" t="str">
        <f t="shared" si="1"/>
        <v/>
      </c>
    </row>
    <row r="28">
      <c r="A28" s="62"/>
      <c r="B28" s="62"/>
      <c r="C28" s="62"/>
      <c r="D28" s="62"/>
      <c r="E28" s="62"/>
      <c r="F28" s="62"/>
      <c r="G28" s="81"/>
      <c r="H28" s="62"/>
      <c r="I28" s="62"/>
      <c r="J28" s="62"/>
      <c r="K28" s="82"/>
      <c r="L28" s="62" t="str">
        <f t="shared" si="1"/>
        <v/>
      </c>
      <c r="M28" s="65"/>
      <c r="N28" s="67"/>
    </row>
    <row r="29">
      <c r="A29" s="62"/>
      <c r="B29" s="62"/>
      <c r="C29" s="62"/>
      <c r="D29" s="62"/>
      <c r="E29" s="62"/>
      <c r="F29" s="15"/>
      <c r="G29" s="81"/>
      <c r="H29" s="62"/>
      <c r="I29" s="62"/>
      <c r="J29" s="62"/>
      <c r="K29" s="82"/>
      <c r="L29" s="62" t="str">
        <f t="shared" si="1"/>
        <v/>
      </c>
      <c r="M29" s="65"/>
      <c r="N29" s="67"/>
    </row>
    <row r="30">
      <c r="A30" s="62"/>
      <c r="B30" s="62"/>
      <c r="C30" s="62"/>
      <c r="D30" s="62"/>
      <c r="E30" s="62"/>
      <c r="F30" s="62"/>
      <c r="G30" s="81"/>
      <c r="H30" s="62"/>
      <c r="I30" s="62"/>
      <c r="J30" s="62"/>
      <c r="K30" s="82"/>
      <c r="L30" s="62" t="str">
        <f t="shared" si="1"/>
        <v/>
      </c>
      <c r="M30" s="65"/>
      <c r="N30" s="67"/>
    </row>
    <row r="31">
      <c r="A31" s="62"/>
      <c r="B31" s="62"/>
      <c r="C31" s="62"/>
      <c r="D31" s="62"/>
      <c r="E31" s="62"/>
      <c r="F31" s="62"/>
      <c r="G31" s="81"/>
      <c r="H31" s="62"/>
      <c r="I31" s="62"/>
      <c r="J31" s="62"/>
      <c r="K31" s="82"/>
      <c r="L31" s="62" t="str">
        <f t="shared" si="1"/>
        <v/>
      </c>
      <c r="M31" s="65"/>
      <c r="N31" s="67"/>
    </row>
    <row r="32">
      <c r="A32" s="62"/>
      <c r="B32" s="62"/>
      <c r="C32" s="62"/>
      <c r="D32" s="62"/>
      <c r="E32" s="62"/>
      <c r="F32" s="15"/>
      <c r="G32" s="81"/>
      <c r="H32" s="62"/>
      <c r="I32" s="62"/>
      <c r="J32" s="62"/>
      <c r="K32" s="82"/>
      <c r="L32" s="62" t="str">
        <f t="shared" si="1"/>
        <v/>
      </c>
      <c r="N32" s="67"/>
    </row>
    <row r="33">
      <c r="A33" s="62"/>
      <c r="B33" s="62"/>
      <c r="C33" s="62"/>
      <c r="D33" s="62"/>
      <c r="E33" s="62"/>
      <c r="F33" s="15"/>
      <c r="G33" s="81"/>
      <c r="H33" s="62"/>
      <c r="I33" s="62"/>
      <c r="J33" s="62"/>
      <c r="K33" s="82"/>
      <c r="L33" s="62" t="str">
        <f t="shared" si="1"/>
        <v/>
      </c>
      <c r="N33" s="67"/>
    </row>
    <row r="34">
      <c r="A34" s="62"/>
      <c r="B34" s="62"/>
      <c r="C34" s="62"/>
      <c r="D34" s="62"/>
      <c r="E34" s="62"/>
      <c r="F34" s="15"/>
      <c r="G34" s="81"/>
      <c r="H34" s="62"/>
      <c r="I34" s="62"/>
      <c r="J34" s="62"/>
      <c r="K34" s="82"/>
      <c r="L34" s="62" t="str">
        <f t="shared" si="1"/>
        <v/>
      </c>
      <c r="N34" s="67"/>
    </row>
    <row r="35">
      <c r="A35" s="62"/>
      <c r="B35" s="62"/>
      <c r="C35" s="62"/>
      <c r="D35" s="62"/>
      <c r="E35" s="62"/>
      <c r="F35" s="62"/>
      <c r="G35" s="81"/>
      <c r="H35" s="62"/>
      <c r="I35" s="62"/>
      <c r="J35" s="62"/>
      <c r="K35" s="82"/>
      <c r="L35" s="62" t="str">
        <f t="shared" si="1"/>
        <v/>
      </c>
      <c r="N35" s="67"/>
    </row>
    <row r="36">
      <c r="A36" s="62"/>
      <c r="B36" s="62"/>
      <c r="C36" s="62"/>
      <c r="D36" s="62"/>
      <c r="E36" s="62"/>
      <c r="F36" s="62"/>
      <c r="G36" s="81"/>
      <c r="H36" s="62"/>
      <c r="I36" s="62"/>
      <c r="J36" s="62"/>
      <c r="K36" s="82"/>
      <c r="L36" s="62" t="str">
        <f t="shared" si="1"/>
        <v/>
      </c>
      <c r="N36" s="67"/>
    </row>
    <row r="37">
      <c r="A37" s="62"/>
      <c r="B37" s="62"/>
      <c r="C37" s="62"/>
      <c r="D37" s="62"/>
      <c r="E37" s="62"/>
      <c r="F37" s="15"/>
      <c r="G37" s="81"/>
      <c r="H37" s="62"/>
      <c r="I37" s="62"/>
      <c r="J37" s="62"/>
      <c r="K37" s="82"/>
      <c r="L37" s="62" t="str">
        <f t="shared" si="1"/>
        <v/>
      </c>
    </row>
    <row r="38">
      <c r="A38" s="62"/>
      <c r="B38" s="62"/>
      <c r="C38" s="62"/>
      <c r="D38" s="62"/>
      <c r="E38" s="62"/>
      <c r="F38" s="15"/>
      <c r="G38" s="81"/>
      <c r="H38" s="62"/>
      <c r="I38" s="62"/>
      <c r="J38" s="62"/>
      <c r="K38" s="82"/>
      <c r="L38" s="62" t="str">
        <f t="shared" si="1"/>
        <v/>
      </c>
    </row>
    <row r="39">
      <c r="A39" s="62"/>
      <c r="B39" s="62"/>
      <c r="C39" s="62"/>
      <c r="D39" s="62"/>
      <c r="E39" s="62"/>
      <c r="F39" s="15"/>
      <c r="G39" s="81"/>
      <c r="H39" s="62"/>
      <c r="I39" s="62"/>
      <c r="J39" s="62"/>
      <c r="K39" s="82"/>
      <c r="L39" s="62" t="str">
        <f t="shared" si="1"/>
        <v/>
      </c>
    </row>
    <row r="40">
      <c r="A40" s="62"/>
      <c r="B40" s="62"/>
      <c r="C40" s="62"/>
      <c r="D40" s="62"/>
      <c r="E40" s="62"/>
      <c r="F40" s="15"/>
      <c r="G40" s="81"/>
      <c r="H40" s="62"/>
      <c r="I40" s="62"/>
      <c r="J40" s="62"/>
      <c r="K40" s="82"/>
      <c r="L40" s="62" t="str">
        <f t="shared" si="1"/>
        <v/>
      </c>
    </row>
    <row r="41">
      <c r="A41" s="62"/>
      <c r="B41" s="62"/>
      <c r="C41" s="62"/>
      <c r="D41" s="62"/>
      <c r="E41" s="62"/>
      <c r="F41" s="15"/>
      <c r="G41" s="81"/>
      <c r="H41" s="62"/>
      <c r="I41" s="62"/>
      <c r="J41" s="62"/>
      <c r="K41" s="82"/>
      <c r="L41" s="62" t="str">
        <f t="shared" si="1"/>
        <v/>
      </c>
    </row>
    <row r="42">
      <c r="A42" s="62"/>
      <c r="B42" s="62"/>
      <c r="C42" s="62"/>
      <c r="D42" s="62"/>
      <c r="E42" s="62"/>
      <c r="F42" s="15"/>
      <c r="G42" s="81"/>
      <c r="H42" s="62"/>
      <c r="I42" s="62"/>
      <c r="J42" s="62"/>
      <c r="K42" s="82"/>
      <c r="L42" s="62" t="str">
        <f t="shared" si="1"/>
        <v/>
      </c>
    </row>
    <row r="43">
      <c r="A43" s="62"/>
      <c r="B43" s="62"/>
      <c r="C43" s="62"/>
      <c r="D43" s="62"/>
      <c r="E43" s="62"/>
      <c r="F43" s="15"/>
      <c r="G43" s="81"/>
      <c r="H43" s="62"/>
      <c r="I43" s="62"/>
      <c r="J43" s="62"/>
      <c r="K43" s="82"/>
      <c r="L43" s="62" t="str">
        <f t="shared" si="1"/>
        <v/>
      </c>
    </row>
    <row r="44">
      <c r="A44" s="62"/>
      <c r="B44" s="62"/>
      <c r="C44" s="62"/>
      <c r="D44" s="62"/>
      <c r="E44" s="62"/>
      <c r="F44" s="15"/>
      <c r="G44" s="81"/>
      <c r="H44" s="62"/>
      <c r="I44" s="62"/>
      <c r="J44" s="62"/>
      <c r="K44" s="82"/>
      <c r="L44" s="62" t="str">
        <f t="shared" si="1"/>
        <v/>
      </c>
    </row>
    <row r="45">
      <c r="A45" s="62"/>
      <c r="B45" s="62"/>
      <c r="C45" s="62"/>
      <c r="D45" s="62"/>
      <c r="E45" s="62"/>
      <c r="F45" s="15"/>
      <c r="G45" s="81"/>
      <c r="H45" s="62"/>
      <c r="I45" s="62"/>
      <c r="J45" s="62"/>
      <c r="K45" s="82"/>
      <c r="L45" s="62" t="str">
        <f t="shared" si="1"/>
        <v/>
      </c>
    </row>
    <row r="46">
      <c r="A46" s="62"/>
      <c r="B46" s="62"/>
      <c r="C46" s="62"/>
      <c r="D46" s="62"/>
      <c r="E46" s="62"/>
      <c r="F46" s="15"/>
      <c r="G46" s="81"/>
      <c r="H46" s="62"/>
      <c r="I46" s="62"/>
      <c r="J46" s="62"/>
      <c r="K46" s="82"/>
      <c r="L46" s="62" t="str">
        <f t="shared" si="1"/>
        <v/>
      </c>
    </row>
    <row r="47">
      <c r="A47" s="62"/>
      <c r="B47" s="62"/>
      <c r="C47" s="62"/>
      <c r="D47" s="62"/>
      <c r="E47" s="62"/>
      <c r="F47" s="15"/>
      <c r="G47" s="81"/>
      <c r="H47" s="62"/>
      <c r="I47" s="62"/>
      <c r="J47" s="62"/>
      <c r="K47" s="82"/>
      <c r="L47" s="62" t="str">
        <f t="shared" si="1"/>
        <v/>
      </c>
    </row>
    <row r="48">
      <c r="A48" s="62"/>
      <c r="B48" s="62"/>
      <c r="C48" s="62"/>
      <c r="D48" s="62"/>
      <c r="E48" s="62"/>
      <c r="F48" s="15"/>
      <c r="G48" s="81"/>
      <c r="H48" s="62"/>
      <c r="I48" s="62"/>
      <c r="J48" s="62"/>
      <c r="K48" s="82"/>
      <c r="L48" s="62" t="str">
        <f t="shared" si="1"/>
        <v/>
      </c>
    </row>
    <row r="49">
      <c r="A49" s="62"/>
      <c r="B49" s="62"/>
      <c r="C49" s="62"/>
      <c r="D49" s="62"/>
      <c r="E49" s="62"/>
      <c r="F49" s="15"/>
      <c r="G49" s="81"/>
      <c r="H49" s="62"/>
      <c r="I49" s="62"/>
      <c r="J49" s="62"/>
      <c r="K49" s="82"/>
      <c r="L49" s="62" t="str">
        <f t="shared" si="1"/>
        <v/>
      </c>
      <c r="M49" s="65"/>
      <c r="N49" s="65"/>
    </row>
    <row r="50">
      <c r="A50" s="62"/>
      <c r="B50" s="62"/>
      <c r="C50" s="62"/>
      <c r="D50" s="62"/>
      <c r="E50" s="62"/>
      <c r="F50" s="15"/>
      <c r="G50" s="81"/>
      <c r="H50" s="62"/>
      <c r="I50" s="62"/>
      <c r="J50" s="62"/>
      <c r="K50" s="82"/>
      <c r="L50" s="62" t="str">
        <f t="shared" si="1"/>
        <v/>
      </c>
      <c r="M50" s="65"/>
      <c r="N50" s="65"/>
    </row>
    <row r="51">
      <c r="A51" s="62"/>
      <c r="B51" s="62"/>
      <c r="C51" s="62"/>
      <c r="D51" s="62"/>
      <c r="E51" s="62"/>
      <c r="F51" s="15"/>
      <c r="G51" s="81"/>
      <c r="H51" s="62"/>
      <c r="I51" s="62"/>
      <c r="J51" s="62"/>
      <c r="K51" s="82"/>
      <c r="L51" s="62" t="str">
        <f t="shared" si="1"/>
        <v/>
      </c>
      <c r="M51" s="65"/>
      <c r="N51" s="65"/>
    </row>
    <row r="52">
      <c r="A52" s="62"/>
      <c r="B52" s="62"/>
      <c r="C52" s="62"/>
      <c r="D52" s="62"/>
      <c r="E52" s="62"/>
      <c r="F52" s="15"/>
      <c r="G52" s="81"/>
      <c r="H52" s="62"/>
      <c r="I52" s="62"/>
      <c r="J52" s="62"/>
      <c r="K52" s="82"/>
      <c r="L52" s="62" t="str">
        <f t="shared" si="1"/>
        <v/>
      </c>
      <c r="M52" s="65"/>
      <c r="N52" s="65"/>
    </row>
    <row r="53">
      <c r="A53" s="62"/>
      <c r="B53" s="62"/>
      <c r="C53" s="62"/>
      <c r="D53" s="62"/>
      <c r="E53" s="62"/>
      <c r="F53" s="62"/>
      <c r="G53" s="81"/>
      <c r="H53" s="62"/>
      <c r="I53" s="62"/>
      <c r="J53" s="62"/>
      <c r="K53" s="82"/>
      <c r="L53" s="62" t="str">
        <f t="shared" si="1"/>
        <v/>
      </c>
      <c r="M53" s="65"/>
      <c r="N53" s="65"/>
    </row>
    <row r="54">
      <c r="A54" s="62"/>
      <c r="B54" s="62"/>
      <c r="C54" s="62"/>
      <c r="D54" s="62"/>
      <c r="E54" s="62"/>
      <c r="F54" s="15"/>
      <c r="G54" s="81"/>
      <c r="H54" s="62"/>
      <c r="I54" s="62"/>
      <c r="J54" s="62"/>
      <c r="K54" s="82"/>
      <c r="L54" s="62" t="str">
        <f t="shared" si="1"/>
        <v/>
      </c>
      <c r="M54" s="65"/>
      <c r="N54" s="65"/>
    </row>
    <row r="55">
      <c r="A55" s="15"/>
      <c r="B55" s="15"/>
      <c r="C55" s="15"/>
      <c r="D55" s="15"/>
      <c r="E55" s="15"/>
      <c r="F55" s="15"/>
      <c r="G55" s="90"/>
      <c r="H55" s="15"/>
      <c r="I55" s="15"/>
      <c r="J55" s="15"/>
      <c r="K55" s="15"/>
      <c r="L55" s="62" t="str">
        <f t="shared" si="1"/>
        <v/>
      </c>
    </row>
    <row r="56">
      <c r="A56" s="15"/>
      <c r="B56" s="15"/>
      <c r="C56" s="15"/>
      <c r="D56" s="15"/>
      <c r="E56" s="15"/>
      <c r="F56" s="15"/>
      <c r="G56" s="90"/>
      <c r="H56" s="15"/>
      <c r="I56" s="15"/>
      <c r="J56" s="15"/>
      <c r="K56" s="15"/>
      <c r="L56" s="62" t="str">
        <f t="shared" si="1"/>
        <v/>
      </c>
    </row>
    <row r="57">
      <c r="A57" s="15"/>
      <c r="B57" s="15"/>
      <c r="C57" s="15"/>
      <c r="D57" s="15"/>
      <c r="E57" s="15"/>
      <c r="F57" s="15"/>
      <c r="G57" s="90"/>
      <c r="H57" s="15"/>
      <c r="I57" s="15"/>
      <c r="J57" s="15"/>
      <c r="K57" s="15"/>
      <c r="L57" s="62" t="str">
        <f t="shared" si="1"/>
        <v/>
      </c>
    </row>
    <row r="58">
      <c r="A58" s="15"/>
      <c r="B58" s="15"/>
      <c r="C58" s="15"/>
      <c r="D58" s="15"/>
      <c r="E58" s="15"/>
      <c r="F58" s="15"/>
      <c r="G58" s="90"/>
      <c r="H58" s="15"/>
      <c r="I58" s="15"/>
      <c r="J58" s="15"/>
      <c r="K58" s="15"/>
      <c r="L58" s="62" t="str">
        <f t="shared" si="1"/>
        <v/>
      </c>
    </row>
    <row r="59">
      <c r="A59" s="15"/>
      <c r="B59" s="15"/>
      <c r="C59" s="15"/>
      <c r="D59" s="15"/>
      <c r="E59" s="15"/>
      <c r="F59" s="15"/>
      <c r="G59" s="90"/>
      <c r="H59" s="15"/>
      <c r="I59" s="15"/>
      <c r="J59" s="15"/>
      <c r="K59" s="15"/>
      <c r="L59" s="62" t="str">
        <f t="shared" si="1"/>
        <v/>
      </c>
    </row>
    <row r="60">
      <c r="A60" s="15"/>
      <c r="B60" s="15"/>
      <c r="C60" s="15"/>
      <c r="D60" s="15"/>
      <c r="E60" s="15"/>
      <c r="F60" s="15"/>
      <c r="G60" s="90"/>
      <c r="H60" s="15"/>
      <c r="I60" s="15"/>
      <c r="J60" s="15"/>
      <c r="K60" s="15"/>
      <c r="L60" s="62" t="str">
        <f t="shared" si="1"/>
        <v/>
      </c>
    </row>
    <row r="61">
      <c r="A61" s="15"/>
      <c r="B61" s="15"/>
      <c r="C61" s="15"/>
      <c r="D61" s="15"/>
      <c r="E61" s="15"/>
      <c r="F61" s="15"/>
      <c r="G61" s="90"/>
      <c r="H61" s="15"/>
      <c r="I61" s="15"/>
      <c r="J61" s="15"/>
      <c r="K61" s="15"/>
      <c r="L61" s="62" t="str">
        <f t="shared" si="1"/>
        <v/>
      </c>
    </row>
    <row r="62">
      <c r="A62" s="15"/>
      <c r="B62" s="15"/>
      <c r="C62" s="15"/>
      <c r="D62" s="15"/>
      <c r="E62" s="15"/>
      <c r="F62" s="15"/>
      <c r="G62" s="90"/>
      <c r="H62" s="15"/>
      <c r="I62" s="15"/>
      <c r="J62" s="15"/>
      <c r="K62" s="15"/>
      <c r="L62" s="62" t="str">
        <f t="shared" si="1"/>
        <v/>
      </c>
    </row>
    <row r="63">
      <c r="A63" s="15"/>
      <c r="B63" s="15"/>
      <c r="C63" s="15"/>
      <c r="D63" s="15"/>
      <c r="E63" s="15"/>
      <c r="F63" s="15"/>
      <c r="G63" s="90"/>
      <c r="H63" s="15"/>
      <c r="I63" s="15"/>
      <c r="J63" s="15"/>
      <c r="K63" s="15"/>
      <c r="L63" s="62" t="str">
        <f t="shared" si="1"/>
        <v/>
      </c>
    </row>
    <row r="64">
      <c r="A64" s="15"/>
      <c r="B64" s="15"/>
      <c r="C64" s="15"/>
      <c r="D64" s="15"/>
      <c r="E64" s="15"/>
      <c r="F64" s="15"/>
      <c r="G64" s="90"/>
      <c r="H64" s="15"/>
      <c r="I64" s="15"/>
      <c r="J64" s="15"/>
      <c r="K64" s="15"/>
      <c r="L64" s="62" t="str">
        <f t="shared" si="1"/>
        <v/>
      </c>
    </row>
    <row r="65">
      <c r="A65" s="15"/>
      <c r="B65" s="15"/>
      <c r="C65" s="15"/>
      <c r="D65" s="15"/>
      <c r="E65" s="15"/>
      <c r="F65" s="15"/>
      <c r="G65" s="90"/>
      <c r="H65" s="15"/>
      <c r="I65" s="15"/>
      <c r="J65" s="15"/>
      <c r="K65" s="15"/>
      <c r="L65" s="62" t="str">
        <f t="shared" si="1"/>
        <v/>
      </c>
    </row>
    <row r="66">
      <c r="A66" s="15"/>
      <c r="B66" s="15"/>
      <c r="C66" s="15"/>
      <c r="D66" s="15"/>
      <c r="E66" s="15"/>
      <c r="F66" s="15"/>
      <c r="G66" s="90"/>
      <c r="H66" s="15"/>
      <c r="I66" s="15"/>
      <c r="J66" s="15"/>
      <c r="K66" s="15"/>
      <c r="L66" s="62" t="str">
        <f t="shared" si="1"/>
        <v/>
      </c>
    </row>
    <row r="67">
      <c r="A67" s="15"/>
      <c r="B67" s="15"/>
      <c r="C67" s="15"/>
      <c r="D67" s="15"/>
      <c r="E67" s="15"/>
      <c r="F67" s="15"/>
      <c r="G67" s="90"/>
      <c r="H67" s="15"/>
      <c r="I67" s="15"/>
      <c r="J67" s="15"/>
      <c r="K67" s="15"/>
      <c r="L67" s="62" t="str">
        <f t="shared" si="1"/>
        <v/>
      </c>
    </row>
    <row r="68">
      <c r="A68" s="15"/>
      <c r="B68" s="15"/>
      <c r="C68" s="15"/>
      <c r="D68" s="15"/>
      <c r="E68" s="15"/>
      <c r="F68" s="15"/>
      <c r="G68" s="90"/>
      <c r="H68" s="15"/>
      <c r="I68" s="15"/>
      <c r="J68" s="15"/>
      <c r="K68" s="15"/>
      <c r="L68" s="62" t="str">
        <f t="shared" si="1"/>
        <v/>
      </c>
    </row>
    <row r="69">
      <c r="A69" s="15"/>
      <c r="B69" s="15"/>
      <c r="C69" s="15"/>
      <c r="D69" s="15"/>
      <c r="E69" s="15"/>
      <c r="F69" s="15"/>
      <c r="G69" s="90"/>
      <c r="H69" s="15"/>
      <c r="I69" s="15"/>
      <c r="J69" s="15"/>
      <c r="K69" s="15"/>
      <c r="L69" s="62" t="str">
        <f t="shared" si="1"/>
        <v/>
      </c>
    </row>
    <row r="70">
      <c r="A70" s="15"/>
      <c r="B70" s="15"/>
      <c r="C70" s="15"/>
      <c r="D70" s="15"/>
      <c r="E70" s="15"/>
      <c r="F70" s="15"/>
      <c r="G70" s="90"/>
      <c r="H70" s="15"/>
      <c r="I70" s="15"/>
      <c r="J70" s="15"/>
      <c r="K70" s="15"/>
      <c r="L70" s="62" t="str">
        <f t="shared" si="1"/>
        <v/>
      </c>
    </row>
    <row r="71">
      <c r="A71" s="15"/>
      <c r="B71" s="15"/>
      <c r="C71" s="15"/>
      <c r="D71" s="15"/>
      <c r="E71" s="15"/>
      <c r="F71" s="15"/>
      <c r="G71" s="90"/>
      <c r="H71" s="15"/>
      <c r="I71" s="15"/>
      <c r="J71" s="15"/>
      <c r="K71" s="15"/>
      <c r="L71" s="62" t="str">
        <f t="shared" si="1"/>
        <v/>
      </c>
    </row>
    <row r="72">
      <c r="A72" s="15"/>
      <c r="B72" s="15"/>
      <c r="C72" s="15"/>
      <c r="D72" s="15"/>
      <c r="E72" s="15"/>
      <c r="F72" s="15"/>
      <c r="G72" s="90"/>
      <c r="H72" s="15"/>
      <c r="I72" s="15"/>
      <c r="J72" s="15"/>
      <c r="K72" s="15"/>
      <c r="L72" s="62" t="str">
        <f t="shared" si="1"/>
        <v/>
      </c>
    </row>
    <row r="73">
      <c r="A73" s="15"/>
      <c r="B73" s="15"/>
      <c r="C73" s="15"/>
      <c r="D73" s="15"/>
      <c r="E73" s="15"/>
      <c r="F73" s="15"/>
      <c r="G73" s="90"/>
      <c r="H73" s="15"/>
      <c r="I73" s="15"/>
      <c r="J73" s="15"/>
      <c r="K73" s="15"/>
      <c r="L73" s="62" t="str">
        <f t="shared" si="1"/>
        <v/>
      </c>
    </row>
    <row r="74">
      <c r="A74" s="15"/>
      <c r="B74" s="15"/>
      <c r="C74" s="15"/>
      <c r="D74" s="15"/>
      <c r="E74" s="15"/>
      <c r="F74" s="15"/>
      <c r="G74" s="90"/>
      <c r="H74" s="15"/>
      <c r="I74" s="15"/>
      <c r="J74" s="15"/>
      <c r="K74" s="15"/>
      <c r="L74" s="62" t="str">
        <f t="shared" si="1"/>
        <v/>
      </c>
    </row>
    <row r="75">
      <c r="A75" s="15"/>
      <c r="B75" s="15"/>
      <c r="C75" s="15"/>
      <c r="D75" s="15"/>
      <c r="E75" s="15"/>
      <c r="F75" s="15"/>
      <c r="G75" s="90"/>
      <c r="H75" s="15"/>
      <c r="I75" s="15"/>
      <c r="J75" s="15"/>
      <c r="K75" s="15"/>
      <c r="L75" s="62" t="str">
        <f t="shared" si="1"/>
        <v/>
      </c>
    </row>
    <row r="76">
      <c r="A76" s="15"/>
      <c r="B76" s="15"/>
      <c r="C76" s="15"/>
      <c r="D76" s="15"/>
      <c r="E76" s="15"/>
      <c r="F76" s="15"/>
      <c r="G76" s="90"/>
      <c r="H76" s="15"/>
      <c r="I76" s="15"/>
      <c r="J76" s="15"/>
      <c r="K76" s="15"/>
      <c r="L76" s="62" t="str">
        <f t="shared" si="1"/>
        <v/>
      </c>
    </row>
    <row r="77">
      <c r="A77" s="15"/>
      <c r="B77" s="15"/>
      <c r="C77" s="15"/>
      <c r="D77" s="15"/>
      <c r="E77" s="15"/>
      <c r="F77" s="15"/>
      <c r="G77" s="90"/>
      <c r="H77" s="15"/>
      <c r="I77" s="15"/>
      <c r="J77" s="15"/>
      <c r="K77" s="15"/>
      <c r="L77" s="62" t="str">
        <f t="shared" si="1"/>
        <v/>
      </c>
    </row>
    <row r="78">
      <c r="A78" s="15"/>
      <c r="B78" s="15"/>
      <c r="C78" s="15"/>
      <c r="D78" s="15"/>
      <c r="E78" s="15"/>
      <c r="F78" s="15"/>
      <c r="G78" s="90"/>
      <c r="H78" s="15"/>
      <c r="I78" s="15"/>
      <c r="J78" s="15"/>
      <c r="K78" s="15"/>
      <c r="L78" s="62" t="str">
        <f t="shared" si="1"/>
        <v/>
      </c>
    </row>
    <row r="79">
      <c r="A79" s="15"/>
      <c r="B79" s="15"/>
      <c r="C79" s="15"/>
      <c r="D79" s="15"/>
      <c r="E79" s="15"/>
      <c r="F79" s="15"/>
      <c r="G79" s="90"/>
      <c r="H79" s="15"/>
      <c r="I79" s="15"/>
      <c r="J79" s="15"/>
      <c r="K79" s="15"/>
      <c r="L79" s="62" t="str">
        <f t="shared" si="1"/>
        <v/>
      </c>
    </row>
    <row r="80">
      <c r="A80" s="15"/>
      <c r="B80" s="15"/>
      <c r="C80" s="15"/>
      <c r="D80" s="15"/>
      <c r="E80" s="15"/>
      <c r="F80" s="15"/>
      <c r="G80" s="90"/>
      <c r="H80" s="15"/>
      <c r="I80" s="15"/>
      <c r="J80" s="15"/>
      <c r="K80" s="15"/>
      <c r="L80" s="62" t="str">
        <f t="shared" si="1"/>
        <v/>
      </c>
    </row>
    <row r="81">
      <c r="A81" s="15"/>
      <c r="B81" s="15"/>
      <c r="C81" s="15"/>
      <c r="D81" s="15"/>
      <c r="E81" s="15"/>
      <c r="F81" s="15"/>
      <c r="G81" s="90"/>
      <c r="H81" s="15"/>
      <c r="I81" s="15"/>
      <c r="J81" s="15"/>
      <c r="K81" s="15"/>
      <c r="L81" s="62" t="str">
        <f t="shared" si="1"/>
        <v/>
      </c>
    </row>
    <row r="82">
      <c r="A82" s="15"/>
      <c r="B82" s="15"/>
      <c r="C82" s="15"/>
      <c r="D82" s="15"/>
      <c r="E82" s="15"/>
      <c r="F82" s="15"/>
      <c r="G82" s="90"/>
      <c r="H82" s="15"/>
      <c r="I82" s="15"/>
      <c r="J82" s="15"/>
      <c r="K82" s="15"/>
      <c r="L82" s="62" t="str">
        <f t="shared" si="1"/>
        <v/>
      </c>
    </row>
    <row r="83">
      <c r="A83" s="15"/>
      <c r="B83" s="15"/>
      <c r="C83" s="15"/>
      <c r="D83" s="15"/>
      <c r="E83" s="15"/>
      <c r="F83" s="15"/>
      <c r="G83" s="90"/>
      <c r="H83" s="15"/>
      <c r="I83" s="15"/>
      <c r="J83" s="15"/>
      <c r="K83" s="15"/>
      <c r="L83" s="62" t="str">
        <f t="shared" si="1"/>
        <v/>
      </c>
    </row>
    <row r="84">
      <c r="A84" s="15"/>
      <c r="B84" s="15"/>
      <c r="C84" s="15"/>
      <c r="D84" s="15"/>
      <c r="E84" s="15"/>
      <c r="F84" s="15"/>
      <c r="G84" s="90"/>
      <c r="H84" s="15"/>
      <c r="I84" s="15"/>
      <c r="J84" s="15"/>
      <c r="K84" s="15"/>
      <c r="L84" s="62" t="str">
        <f t="shared" si="1"/>
        <v/>
      </c>
    </row>
    <row r="85">
      <c r="A85" s="15"/>
      <c r="B85" s="15"/>
      <c r="C85" s="15"/>
      <c r="D85" s="15"/>
      <c r="E85" s="15"/>
      <c r="F85" s="15"/>
      <c r="G85" s="90"/>
      <c r="H85" s="15"/>
      <c r="I85" s="15"/>
      <c r="J85" s="15"/>
      <c r="K85" s="15"/>
      <c r="L85" s="62" t="str">
        <f t="shared" si="1"/>
        <v/>
      </c>
    </row>
    <row r="86">
      <c r="A86" s="15"/>
      <c r="B86" s="15"/>
      <c r="C86" s="15"/>
      <c r="D86" s="15"/>
      <c r="E86" s="15"/>
      <c r="F86" s="15"/>
      <c r="G86" s="90"/>
      <c r="H86" s="15"/>
      <c r="I86" s="15"/>
      <c r="J86" s="15"/>
      <c r="K86" s="15"/>
      <c r="L86" s="62" t="str">
        <f t="shared" si="1"/>
        <v/>
      </c>
    </row>
    <row r="87">
      <c r="A87" s="15"/>
      <c r="B87" s="15"/>
      <c r="C87" s="15"/>
      <c r="D87" s="15"/>
      <c r="E87" s="15"/>
      <c r="F87" s="15"/>
      <c r="G87" s="90"/>
      <c r="H87" s="15"/>
      <c r="I87" s="15"/>
      <c r="J87" s="15"/>
      <c r="K87" s="15"/>
      <c r="L87" s="62" t="str">
        <f t="shared" si="1"/>
        <v/>
      </c>
    </row>
    <row r="88">
      <c r="A88" s="15"/>
      <c r="B88" s="15"/>
      <c r="C88" s="15"/>
      <c r="D88" s="15"/>
      <c r="E88" s="15"/>
      <c r="F88" s="15"/>
      <c r="G88" s="90"/>
      <c r="H88" s="15"/>
      <c r="I88" s="15"/>
      <c r="J88" s="15"/>
      <c r="K88" s="15"/>
      <c r="L88" s="62" t="str">
        <f t="shared" si="1"/>
        <v/>
      </c>
    </row>
    <row r="89">
      <c r="A89" s="15"/>
      <c r="B89" s="15"/>
      <c r="C89" s="15"/>
      <c r="D89" s="15"/>
      <c r="E89" s="15"/>
      <c r="F89" s="15"/>
      <c r="G89" s="90"/>
      <c r="H89" s="15"/>
      <c r="I89" s="15"/>
      <c r="J89" s="15"/>
      <c r="K89" s="15"/>
      <c r="L89" s="62" t="str">
        <f t="shared" si="1"/>
        <v/>
      </c>
    </row>
    <row r="90">
      <c r="A90" s="15"/>
      <c r="B90" s="15"/>
      <c r="C90" s="15"/>
      <c r="D90" s="15"/>
      <c r="E90" s="15"/>
      <c r="F90" s="15"/>
      <c r="G90" s="90"/>
      <c r="H90" s="15"/>
      <c r="I90" s="15"/>
      <c r="J90" s="15"/>
      <c r="K90" s="15"/>
      <c r="L90" s="62" t="str">
        <f t="shared" si="1"/>
        <v/>
      </c>
    </row>
    <row r="91">
      <c r="A91" s="15"/>
      <c r="B91" s="15"/>
      <c r="C91" s="15"/>
      <c r="D91" s="15"/>
      <c r="E91" s="15"/>
      <c r="F91" s="15"/>
      <c r="G91" s="90"/>
      <c r="H91" s="15"/>
      <c r="I91" s="15"/>
      <c r="J91" s="15"/>
      <c r="K91" s="15"/>
      <c r="L91" s="62" t="str">
        <f t="shared" si="1"/>
        <v/>
      </c>
    </row>
    <row r="92">
      <c r="A92" s="15"/>
      <c r="B92" s="15"/>
      <c r="C92" s="15"/>
      <c r="D92" s="15"/>
      <c r="E92" s="15"/>
      <c r="F92" s="15"/>
      <c r="G92" s="90"/>
      <c r="H92" s="15"/>
      <c r="I92" s="15"/>
      <c r="J92" s="15"/>
      <c r="K92" s="15"/>
      <c r="L92" s="62" t="str">
        <f t="shared" si="1"/>
        <v/>
      </c>
    </row>
    <row r="93">
      <c r="A93" s="15"/>
      <c r="B93" s="15"/>
      <c r="C93" s="15"/>
      <c r="D93" s="15"/>
      <c r="E93" s="15"/>
      <c r="F93" s="15"/>
      <c r="G93" s="90"/>
      <c r="H93" s="15"/>
      <c r="I93" s="15"/>
      <c r="J93" s="15"/>
      <c r="K93" s="15"/>
      <c r="L93" s="62" t="str">
        <f t="shared" si="1"/>
        <v/>
      </c>
    </row>
    <row r="94">
      <c r="A94" s="15"/>
      <c r="B94" s="15"/>
      <c r="C94" s="15"/>
      <c r="D94" s="15"/>
      <c r="E94" s="15"/>
      <c r="F94" s="15"/>
      <c r="G94" s="90"/>
      <c r="H94" s="15"/>
      <c r="I94" s="15"/>
      <c r="J94" s="15"/>
      <c r="K94" s="15"/>
      <c r="L94" s="62" t="str">
        <f t="shared" si="1"/>
        <v/>
      </c>
    </row>
    <row r="95">
      <c r="A95" s="15"/>
      <c r="B95" s="15"/>
      <c r="C95" s="15"/>
      <c r="D95" s="15"/>
      <c r="E95" s="15"/>
      <c r="F95" s="15"/>
      <c r="G95" s="90"/>
      <c r="H95" s="15"/>
      <c r="I95" s="15"/>
      <c r="J95" s="15"/>
      <c r="K95" s="15"/>
      <c r="L95" s="62" t="str">
        <f t="shared" si="1"/>
        <v/>
      </c>
    </row>
    <row r="96">
      <c r="A96" s="15"/>
      <c r="B96" s="15"/>
      <c r="C96" s="15"/>
      <c r="D96" s="15"/>
      <c r="E96" s="15"/>
      <c r="F96" s="15"/>
      <c r="G96" s="90"/>
      <c r="H96" s="15"/>
      <c r="I96" s="15"/>
      <c r="J96" s="15"/>
      <c r="K96" s="15"/>
      <c r="L96" s="62" t="str">
        <f t="shared" si="1"/>
        <v/>
      </c>
    </row>
    <row r="97">
      <c r="A97" s="15"/>
      <c r="B97" s="15"/>
      <c r="C97" s="15"/>
      <c r="D97" s="15"/>
      <c r="E97" s="15"/>
      <c r="F97" s="15"/>
      <c r="G97" s="90"/>
      <c r="H97" s="15"/>
      <c r="I97" s="15"/>
      <c r="J97" s="15"/>
      <c r="K97" s="15"/>
      <c r="L97" s="62" t="str">
        <f t="shared" si="1"/>
        <v/>
      </c>
    </row>
    <row r="98">
      <c r="A98" s="15"/>
      <c r="B98" s="15"/>
      <c r="C98" s="15"/>
      <c r="D98" s="15"/>
      <c r="E98" s="15"/>
      <c r="F98" s="15"/>
      <c r="G98" s="90"/>
      <c r="H98" s="15"/>
      <c r="I98" s="15"/>
      <c r="J98" s="15"/>
      <c r="K98" s="15"/>
      <c r="L98" s="62" t="str">
        <f t="shared" si="1"/>
        <v/>
      </c>
    </row>
    <row r="99">
      <c r="A99" s="15"/>
      <c r="B99" s="15"/>
      <c r="C99" s="15"/>
      <c r="D99" s="15"/>
      <c r="E99" s="15"/>
      <c r="F99" s="15"/>
      <c r="G99" s="90"/>
      <c r="H99" s="15"/>
      <c r="I99" s="15"/>
      <c r="J99" s="15"/>
      <c r="K99" s="15"/>
      <c r="L99" s="62" t="str">
        <f t="shared" si="1"/>
        <v/>
      </c>
    </row>
    <row r="100">
      <c r="A100" s="15"/>
      <c r="B100" s="15"/>
      <c r="C100" s="15"/>
      <c r="D100" s="15"/>
      <c r="E100" s="15"/>
      <c r="F100" s="15"/>
      <c r="G100" s="90"/>
      <c r="H100" s="15"/>
      <c r="I100" s="15"/>
      <c r="J100" s="15"/>
      <c r="K100" s="15"/>
      <c r="L100" s="62" t="str">
        <f t="shared" si="1"/>
        <v/>
      </c>
    </row>
    <row r="101">
      <c r="A101" s="15"/>
      <c r="B101" s="15"/>
      <c r="C101" s="15"/>
      <c r="D101" s="15"/>
      <c r="E101" s="15"/>
      <c r="F101" s="15"/>
      <c r="G101" s="90"/>
      <c r="H101" s="15"/>
      <c r="I101" s="15"/>
      <c r="J101" s="15"/>
      <c r="K101" s="15"/>
      <c r="L101" s="62" t="str">
        <f t="shared" si="1"/>
        <v/>
      </c>
    </row>
    <row r="102">
      <c r="A102" s="15"/>
      <c r="B102" s="15"/>
      <c r="C102" s="15"/>
      <c r="D102" s="15"/>
      <c r="E102" s="15"/>
      <c r="F102" s="15"/>
      <c r="G102" s="90"/>
      <c r="H102" s="15"/>
      <c r="I102" s="15"/>
      <c r="J102" s="15"/>
      <c r="K102" s="15"/>
      <c r="L102" s="62" t="str">
        <f t="shared" si="1"/>
        <v/>
      </c>
    </row>
    <row r="103">
      <c r="A103" s="15"/>
      <c r="B103" s="15"/>
      <c r="C103" s="15"/>
      <c r="D103" s="15"/>
      <c r="E103" s="15"/>
      <c r="F103" s="15"/>
      <c r="G103" s="90"/>
      <c r="H103" s="15"/>
      <c r="I103" s="15"/>
      <c r="J103" s="15"/>
      <c r="K103" s="15"/>
      <c r="L103" s="62" t="str">
        <f t="shared" si="1"/>
        <v/>
      </c>
    </row>
    <row r="104">
      <c r="A104" s="15"/>
      <c r="B104" s="15"/>
      <c r="C104" s="15"/>
      <c r="D104" s="15"/>
      <c r="E104" s="15"/>
      <c r="F104" s="15"/>
      <c r="G104" s="90"/>
      <c r="H104" s="15"/>
      <c r="I104" s="15"/>
      <c r="J104" s="15"/>
      <c r="K104" s="15"/>
      <c r="L104" s="62" t="str">
        <f t="shared" si="1"/>
        <v/>
      </c>
    </row>
    <row r="105">
      <c r="A105" s="15"/>
      <c r="B105" s="15"/>
      <c r="C105" s="15"/>
      <c r="D105" s="15"/>
      <c r="E105" s="15"/>
      <c r="F105" s="15"/>
      <c r="G105" s="90"/>
      <c r="H105" s="15"/>
      <c r="I105" s="15"/>
      <c r="J105" s="15"/>
      <c r="K105" s="15"/>
      <c r="L105" s="62" t="str">
        <f t="shared" si="1"/>
        <v/>
      </c>
    </row>
    <row r="106">
      <c r="A106" s="62"/>
      <c r="B106" s="62"/>
      <c r="C106" s="62"/>
      <c r="D106" s="62"/>
      <c r="E106" s="62"/>
      <c r="F106" s="15"/>
      <c r="G106" s="81"/>
      <c r="H106" s="62"/>
      <c r="I106" s="62"/>
      <c r="J106" s="62"/>
      <c r="K106" s="82"/>
      <c r="L106" s="62" t="str">
        <f t="shared" si="1"/>
        <v/>
      </c>
    </row>
    <row r="107">
      <c r="A107" s="62"/>
      <c r="B107" s="62"/>
      <c r="C107" s="62"/>
      <c r="D107" s="62"/>
      <c r="E107" s="62"/>
      <c r="F107" s="15"/>
      <c r="G107" s="81"/>
      <c r="H107" s="62"/>
      <c r="I107" s="62"/>
      <c r="J107" s="62"/>
      <c r="K107" s="82"/>
      <c r="L107" s="62" t="str">
        <f t="shared" si="1"/>
        <v/>
      </c>
    </row>
    <row r="108">
      <c r="A108" s="62"/>
      <c r="B108" s="62"/>
      <c r="C108" s="62"/>
      <c r="D108" s="62"/>
      <c r="E108" s="62"/>
      <c r="F108" s="15"/>
      <c r="G108" s="81"/>
      <c r="H108" s="62"/>
      <c r="I108" s="62"/>
      <c r="J108" s="62"/>
      <c r="K108" s="82"/>
      <c r="L108" s="62" t="str">
        <f t="shared" si="1"/>
        <v/>
      </c>
    </row>
    <row r="109">
      <c r="A109" s="62"/>
      <c r="B109" s="62"/>
      <c r="C109" s="62"/>
      <c r="D109" s="62"/>
      <c r="E109" s="62"/>
      <c r="F109" s="15"/>
      <c r="G109" s="81"/>
      <c r="H109" s="62"/>
      <c r="I109" s="62"/>
      <c r="J109" s="62"/>
      <c r="K109" s="82"/>
      <c r="L109" s="62" t="str">
        <f t="shared" si="1"/>
        <v/>
      </c>
    </row>
    <row r="110">
      <c r="A110" s="62"/>
      <c r="B110" s="62"/>
      <c r="C110" s="62"/>
      <c r="D110" s="62"/>
      <c r="E110" s="62"/>
      <c r="F110" s="15"/>
      <c r="G110" s="81"/>
      <c r="H110" s="62"/>
      <c r="I110" s="62"/>
      <c r="J110" s="62"/>
      <c r="K110" s="82"/>
      <c r="L110" s="62" t="str">
        <f t="shared" si="1"/>
        <v/>
      </c>
    </row>
    <row r="111">
      <c r="A111" s="62"/>
      <c r="B111" s="62"/>
      <c r="C111" s="62"/>
      <c r="D111" s="62"/>
      <c r="E111" s="62"/>
      <c r="F111" s="15"/>
      <c r="G111" s="81"/>
      <c r="H111" s="62"/>
      <c r="I111" s="62"/>
      <c r="J111" s="62"/>
      <c r="K111" s="82"/>
      <c r="L111" s="62" t="str">
        <f t="shared" si="1"/>
        <v/>
      </c>
    </row>
    <row r="112">
      <c r="A112" s="15"/>
      <c r="B112" s="15"/>
      <c r="C112" s="15"/>
      <c r="D112" s="15"/>
      <c r="E112" s="15"/>
      <c r="F112" s="15"/>
      <c r="G112" s="90"/>
      <c r="H112" s="15"/>
      <c r="I112" s="15"/>
      <c r="J112" s="15"/>
      <c r="K112" s="15"/>
      <c r="L112" s="62" t="str">
        <f t="shared" si="1"/>
        <v/>
      </c>
    </row>
    <row r="113">
      <c r="A113" s="15"/>
      <c r="B113" s="15"/>
      <c r="C113" s="15"/>
      <c r="D113" s="15"/>
      <c r="E113" s="15"/>
      <c r="F113" s="15"/>
      <c r="G113" s="90"/>
      <c r="H113" s="15"/>
      <c r="I113" s="15"/>
      <c r="J113" s="15"/>
      <c r="K113" s="15"/>
      <c r="L113" s="62" t="str">
        <f t="shared" si="1"/>
        <v/>
      </c>
    </row>
    <row r="114">
      <c r="A114" s="15"/>
      <c r="B114" s="15"/>
      <c r="C114" s="15"/>
      <c r="D114" s="15"/>
      <c r="E114" s="15"/>
      <c r="F114" s="15"/>
      <c r="G114" s="90"/>
      <c r="H114" s="15"/>
      <c r="I114" s="15"/>
      <c r="J114" s="15"/>
      <c r="K114" s="15"/>
      <c r="L114" s="62" t="str">
        <f t="shared" si="1"/>
        <v/>
      </c>
    </row>
    <row r="115">
      <c r="A115" s="15"/>
      <c r="B115" s="15"/>
      <c r="C115" s="15"/>
      <c r="D115" s="15"/>
      <c r="E115" s="15"/>
      <c r="F115" s="15"/>
      <c r="G115" s="90"/>
      <c r="H115" s="15"/>
      <c r="I115" s="15"/>
      <c r="J115" s="15"/>
      <c r="K115" s="15"/>
      <c r="L115" s="62" t="str">
        <f t="shared" si="1"/>
        <v/>
      </c>
    </row>
    <row r="116">
      <c r="A116" s="15"/>
      <c r="B116" s="15"/>
      <c r="C116" s="15"/>
      <c r="D116" s="15"/>
      <c r="E116" s="15"/>
      <c r="F116" s="15"/>
      <c r="G116" s="90"/>
      <c r="H116" s="15"/>
      <c r="I116" s="15"/>
      <c r="J116" s="15"/>
      <c r="K116" s="15"/>
      <c r="L116" s="62" t="str">
        <f t="shared" si="1"/>
        <v/>
      </c>
    </row>
    <row r="117">
      <c r="A117" s="15"/>
      <c r="B117" s="15"/>
      <c r="C117" s="15"/>
      <c r="D117" s="15"/>
      <c r="E117" s="15"/>
      <c r="F117" s="15"/>
      <c r="G117" s="90"/>
      <c r="H117" s="15"/>
      <c r="I117" s="15"/>
      <c r="J117" s="15"/>
      <c r="K117" s="15"/>
      <c r="L117" s="62" t="str">
        <f t="shared" si="1"/>
        <v/>
      </c>
    </row>
    <row r="118">
      <c r="A118" s="15"/>
      <c r="B118" s="15"/>
      <c r="C118" s="15"/>
      <c r="D118" s="15"/>
      <c r="E118" s="15"/>
      <c r="F118" s="15"/>
      <c r="G118" s="90"/>
      <c r="H118" s="15"/>
      <c r="I118" s="15"/>
      <c r="J118" s="15"/>
      <c r="K118" s="15"/>
      <c r="L118" s="62" t="str">
        <f t="shared" si="1"/>
        <v/>
      </c>
    </row>
    <row r="119">
      <c r="A119" s="15"/>
      <c r="B119" s="15"/>
      <c r="C119" s="15"/>
      <c r="D119" s="15"/>
      <c r="E119" s="15"/>
      <c r="F119" s="15"/>
      <c r="G119" s="90"/>
      <c r="H119" s="15"/>
      <c r="I119" s="15"/>
      <c r="J119" s="15"/>
      <c r="K119" s="15"/>
      <c r="L119" s="62" t="str">
        <f t="shared" si="1"/>
        <v/>
      </c>
    </row>
    <row r="120">
      <c r="A120" s="15"/>
      <c r="B120" s="15"/>
      <c r="C120" s="15"/>
      <c r="D120" s="15"/>
      <c r="E120" s="15"/>
      <c r="F120" s="15"/>
      <c r="G120" s="90"/>
      <c r="H120" s="15"/>
      <c r="I120" s="15"/>
      <c r="J120" s="15"/>
      <c r="K120" s="15"/>
      <c r="L120" s="62" t="str">
        <f t="shared" si="1"/>
        <v/>
      </c>
    </row>
    <row r="121">
      <c r="A121" s="15"/>
      <c r="B121" s="15"/>
      <c r="C121" s="15"/>
      <c r="D121" s="15"/>
      <c r="E121" s="15"/>
      <c r="F121" s="15"/>
      <c r="G121" s="90"/>
      <c r="H121" s="15"/>
      <c r="I121" s="15"/>
      <c r="J121" s="15"/>
      <c r="K121" s="15"/>
      <c r="L121" s="62" t="str">
        <f t="shared" si="1"/>
        <v/>
      </c>
    </row>
    <row r="122">
      <c r="A122" s="15"/>
      <c r="B122" s="15"/>
      <c r="C122" s="15"/>
      <c r="D122" s="15"/>
      <c r="E122" s="15"/>
      <c r="F122" s="15"/>
      <c r="G122" s="90"/>
      <c r="H122" s="15"/>
      <c r="I122" s="15"/>
      <c r="J122" s="15"/>
      <c r="K122" s="15"/>
      <c r="L122" s="62" t="str">
        <f t="shared" si="1"/>
        <v/>
      </c>
    </row>
    <row r="123">
      <c r="A123" s="15"/>
      <c r="B123" s="15"/>
      <c r="C123" s="15"/>
      <c r="D123" s="15"/>
      <c r="E123" s="15"/>
      <c r="F123" s="15"/>
      <c r="G123" s="90"/>
      <c r="H123" s="15"/>
      <c r="I123" s="15"/>
      <c r="J123" s="15"/>
      <c r="K123" s="15"/>
      <c r="L123" s="62" t="str">
        <f t="shared" si="1"/>
        <v/>
      </c>
    </row>
    <row r="124">
      <c r="A124" s="15"/>
      <c r="B124" s="15"/>
      <c r="C124" s="15"/>
      <c r="D124" s="15"/>
      <c r="E124" s="15"/>
      <c r="F124" s="15"/>
      <c r="G124" s="90"/>
      <c r="H124" s="15"/>
      <c r="I124" s="15"/>
      <c r="J124" s="15"/>
      <c r="K124" s="15"/>
      <c r="L124" s="62" t="str">
        <f t="shared" si="1"/>
        <v/>
      </c>
    </row>
    <row r="125">
      <c r="A125" s="15"/>
      <c r="B125" s="15"/>
      <c r="C125" s="15"/>
      <c r="D125" s="15"/>
      <c r="E125" s="15"/>
      <c r="F125" s="15"/>
      <c r="G125" s="90"/>
      <c r="H125" s="15"/>
      <c r="I125" s="15"/>
      <c r="J125" s="15"/>
      <c r="K125" s="15"/>
      <c r="L125" s="62" t="str">
        <f t="shared" si="1"/>
        <v/>
      </c>
    </row>
    <row r="126">
      <c r="A126" s="15"/>
      <c r="B126" s="15"/>
      <c r="C126" s="15"/>
      <c r="D126" s="15"/>
      <c r="E126" s="15"/>
      <c r="F126" s="15"/>
      <c r="G126" s="90"/>
      <c r="H126" s="15"/>
      <c r="I126" s="15"/>
      <c r="J126" s="15"/>
      <c r="K126" s="15"/>
      <c r="L126" s="62" t="str">
        <f t="shared" si="1"/>
        <v/>
      </c>
    </row>
    <row r="127">
      <c r="A127" s="15"/>
      <c r="B127" s="15"/>
      <c r="C127" s="15"/>
      <c r="D127" s="15"/>
      <c r="E127" s="15"/>
      <c r="F127" s="15"/>
      <c r="G127" s="90"/>
      <c r="H127" s="15"/>
      <c r="I127" s="15"/>
      <c r="J127" s="15"/>
      <c r="K127" s="15"/>
      <c r="L127" s="62" t="str">
        <f t="shared" si="1"/>
        <v/>
      </c>
    </row>
    <row r="128">
      <c r="A128" s="15"/>
      <c r="B128" s="15"/>
      <c r="C128" s="15"/>
      <c r="D128" s="15"/>
      <c r="E128" s="15"/>
      <c r="F128" s="15"/>
      <c r="G128" s="90"/>
      <c r="H128" s="15"/>
      <c r="I128" s="15"/>
      <c r="J128" s="15"/>
      <c r="K128" s="15"/>
      <c r="L128" s="62" t="str">
        <f t="shared" si="1"/>
        <v/>
      </c>
    </row>
    <row r="129">
      <c r="A129" s="15"/>
      <c r="B129" s="15"/>
      <c r="C129" s="15"/>
      <c r="D129" s="15"/>
      <c r="E129" s="15"/>
      <c r="F129" s="15"/>
      <c r="G129" s="90"/>
      <c r="H129" s="15"/>
      <c r="I129" s="15"/>
      <c r="J129" s="15"/>
      <c r="K129" s="15"/>
      <c r="L129" s="62" t="str">
        <f t="shared" si="1"/>
        <v/>
      </c>
    </row>
    <row r="130">
      <c r="A130" s="15"/>
      <c r="B130" s="15"/>
      <c r="C130" s="15"/>
      <c r="D130" s="15"/>
      <c r="E130" s="15"/>
      <c r="F130" s="15"/>
      <c r="G130" s="90"/>
      <c r="H130" s="15"/>
      <c r="I130" s="15"/>
      <c r="J130" s="15"/>
      <c r="K130" s="15"/>
      <c r="L130" s="62" t="str">
        <f t="shared" si="1"/>
        <v/>
      </c>
    </row>
    <row r="131">
      <c r="A131" s="15"/>
      <c r="B131" s="15"/>
      <c r="C131" s="15"/>
      <c r="D131" s="15"/>
      <c r="E131" s="15"/>
      <c r="F131" s="15"/>
      <c r="G131" s="90"/>
      <c r="H131" s="15"/>
      <c r="I131" s="15"/>
      <c r="J131" s="15"/>
      <c r="K131" s="15"/>
      <c r="L131" s="62" t="str">
        <f t="shared" si="1"/>
        <v/>
      </c>
    </row>
    <row r="132">
      <c r="A132" s="15"/>
      <c r="B132" s="15"/>
      <c r="C132" s="15"/>
      <c r="D132" s="15"/>
      <c r="E132" s="15"/>
      <c r="F132" s="15"/>
      <c r="G132" s="90"/>
      <c r="H132" s="15"/>
      <c r="I132" s="15"/>
      <c r="J132" s="15"/>
      <c r="K132" s="15"/>
      <c r="L132" s="62" t="str">
        <f t="shared" si="1"/>
        <v/>
      </c>
    </row>
    <row r="133">
      <c r="A133" s="15"/>
      <c r="B133" s="15"/>
      <c r="C133" s="15"/>
      <c r="D133" s="15"/>
      <c r="E133" s="15"/>
      <c r="F133" s="15"/>
      <c r="G133" s="90"/>
      <c r="H133" s="15"/>
      <c r="I133" s="15"/>
      <c r="J133" s="15"/>
      <c r="K133" s="15"/>
      <c r="L133" s="62" t="str">
        <f t="shared" si="1"/>
        <v/>
      </c>
    </row>
    <row r="134">
      <c r="A134" s="15"/>
      <c r="B134" s="15"/>
      <c r="C134" s="15"/>
      <c r="D134" s="15"/>
      <c r="E134" s="15"/>
      <c r="F134" s="15"/>
      <c r="G134" s="90"/>
      <c r="H134" s="15"/>
      <c r="I134" s="15"/>
      <c r="J134" s="15"/>
      <c r="K134" s="15"/>
      <c r="L134" s="62" t="str">
        <f t="shared" si="1"/>
        <v/>
      </c>
    </row>
    <row r="135">
      <c r="A135" s="15"/>
      <c r="B135" s="15"/>
      <c r="C135" s="15"/>
      <c r="D135" s="15"/>
      <c r="E135" s="15"/>
      <c r="F135" s="15"/>
      <c r="G135" s="90"/>
      <c r="H135" s="15"/>
      <c r="I135" s="15"/>
      <c r="J135" s="15"/>
      <c r="K135" s="15"/>
      <c r="L135" s="62" t="str">
        <f t="shared" si="1"/>
        <v/>
      </c>
    </row>
    <row r="136">
      <c r="A136" s="15"/>
      <c r="B136" s="15"/>
      <c r="C136" s="15"/>
      <c r="D136" s="15"/>
      <c r="E136" s="15"/>
      <c r="F136" s="15"/>
      <c r="G136" s="90"/>
      <c r="H136" s="15"/>
      <c r="I136" s="15"/>
      <c r="J136" s="15"/>
      <c r="K136" s="15"/>
      <c r="L136" s="62" t="str">
        <f t="shared" si="1"/>
        <v/>
      </c>
    </row>
    <row r="137">
      <c r="A137" s="15"/>
      <c r="B137" s="15"/>
      <c r="C137" s="15"/>
      <c r="D137" s="15"/>
      <c r="E137" s="15"/>
      <c r="F137" s="15"/>
      <c r="G137" s="90"/>
      <c r="H137" s="15"/>
      <c r="I137" s="15"/>
      <c r="J137" s="15"/>
      <c r="K137" s="15"/>
      <c r="L137" s="62" t="str">
        <f t="shared" si="1"/>
        <v/>
      </c>
    </row>
    <row r="138">
      <c r="A138" s="15"/>
      <c r="B138" s="15"/>
      <c r="C138" s="15"/>
      <c r="D138" s="15"/>
      <c r="E138" s="15"/>
      <c r="F138" s="15"/>
      <c r="G138" s="90"/>
      <c r="H138" s="15"/>
      <c r="I138" s="15"/>
      <c r="J138" s="15"/>
      <c r="K138" s="15"/>
      <c r="L138" s="62" t="str">
        <f t="shared" si="1"/>
        <v/>
      </c>
    </row>
    <row r="139">
      <c r="A139" s="15"/>
      <c r="B139" s="15"/>
      <c r="C139" s="15"/>
      <c r="D139" s="15"/>
      <c r="E139" s="15"/>
      <c r="F139" s="15"/>
      <c r="G139" s="90"/>
      <c r="H139" s="15"/>
      <c r="I139" s="15"/>
      <c r="J139" s="15"/>
      <c r="K139" s="15"/>
      <c r="L139" s="62" t="str">
        <f t="shared" si="1"/>
        <v/>
      </c>
    </row>
    <row r="140">
      <c r="A140" s="15"/>
      <c r="B140" s="15"/>
      <c r="C140" s="15"/>
      <c r="D140" s="15"/>
      <c r="E140" s="15"/>
      <c r="F140" s="15"/>
      <c r="G140" s="90"/>
      <c r="H140" s="15"/>
      <c r="I140" s="15"/>
      <c r="J140" s="15"/>
      <c r="K140" s="15"/>
      <c r="L140" s="62" t="str">
        <f t="shared" si="1"/>
        <v/>
      </c>
    </row>
    <row r="141">
      <c r="A141" s="15"/>
      <c r="B141" s="15"/>
      <c r="C141" s="15"/>
      <c r="D141" s="15"/>
      <c r="E141" s="15"/>
      <c r="F141" s="15"/>
      <c r="G141" s="90"/>
      <c r="H141" s="15"/>
      <c r="I141" s="15"/>
      <c r="J141" s="15"/>
      <c r="K141" s="15"/>
      <c r="L141" s="62" t="str">
        <f t="shared" si="1"/>
        <v/>
      </c>
    </row>
    <row r="142">
      <c r="A142" s="15"/>
      <c r="B142" s="15"/>
      <c r="C142" s="15"/>
      <c r="D142" s="15"/>
      <c r="E142" s="15"/>
      <c r="F142" s="15"/>
      <c r="G142" s="90"/>
      <c r="H142" s="15"/>
      <c r="I142" s="15"/>
      <c r="J142" s="15"/>
      <c r="K142" s="15"/>
      <c r="L142" s="62" t="str">
        <f t="shared" si="1"/>
        <v/>
      </c>
    </row>
    <row r="143">
      <c r="A143" s="15"/>
      <c r="B143" s="15"/>
      <c r="C143" s="15"/>
      <c r="D143" s="15"/>
      <c r="E143" s="15"/>
      <c r="F143" s="15"/>
      <c r="G143" s="90"/>
      <c r="H143" s="15"/>
      <c r="I143" s="15"/>
      <c r="J143" s="15"/>
      <c r="K143" s="15"/>
      <c r="L143" s="62" t="str">
        <f t="shared" si="1"/>
        <v/>
      </c>
    </row>
    <row r="144">
      <c r="A144" s="15"/>
      <c r="B144" s="15"/>
      <c r="C144" s="15"/>
      <c r="D144" s="15"/>
      <c r="E144" s="15"/>
      <c r="F144" s="15"/>
      <c r="G144" s="90"/>
      <c r="H144" s="15"/>
      <c r="I144" s="15"/>
      <c r="J144" s="15"/>
      <c r="K144" s="15"/>
      <c r="L144" s="62" t="str">
        <f t="shared" si="1"/>
        <v/>
      </c>
    </row>
    <row r="145">
      <c r="A145" s="15"/>
      <c r="B145" s="15"/>
      <c r="C145" s="15"/>
      <c r="D145" s="15"/>
      <c r="E145" s="15"/>
      <c r="F145" s="15"/>
      <c r="G145" s="90"/>
      <c r="H145" s="15"/>
      <c r="I145" s="15"/>
      <c r="J145" s="15"/>
      <c r="K145" s="15"/>
      <c r="L145" s="62" t="str">
        <f t="shared" si="1"/>
        <v/>
      </c>
    </row>
    <row r="146">
      <c r="A146" s="15"/>
      <c r="B146" s="15"/>
      <c r="C146" s="15"/>
      <c r="D146" s="15"/>
      <c r="E146" s="15"/>
      <c r="F146" s="15"/>
      <c r="G146" s="90"/>
      <c r="H146" s="15"/>
      <c r="I146" s="15"/>
      <c r="J146" s="15"/>
      <c r="K146" s="15"/>
      <c r="L146" s="62" t="str">
        <f t="shared" si="1"/>
        <v/>
      </c>
    </row>
    <row r="147">
      <c r="A147" s="15"/>
      <c r="B147" s="15"/>
      <c r="C147" s="15"/>
      <c r="D147" s="15"/>
      <c r="E147" s="15"/>
      <c r="F147" s="15"/>
      <c r="G147" s="90"/>
      <c r="H147" s="15"/>
      <c r="I147" s="15"/>
      <c r="J147" s="15"/>
      <c r="K147" s="15"/>
      <c r="L147" s="62" t="str">
        <f t="shared" si="1"/>
        <v/>
      </c>
    </row>
    <row r="148">
      <c r="A148" s="15"/>
      <c r="B148" s="15"/>
      <c r="C148" s="15"/>
      <c r="D148" s="15"/>
      <c r="E148" s="15"/>
      <c r="F148" s="15"/>
      <c r="G148" s="90"/>
      <c r="H148" s="15"/>
      <c r="I148" s="15"/>
      <c r="J148" s="15"/>
      <c r="K148" s="15"/>
      <c r="L148" s="62" t="str">
        <f t="shared" si="1"/>
        <v/>
      </c>
    </row>
    <row r="149">
      <c r="A149" s="15"/>
      <c r="B149" s="15"/>
      <c r="C149" s="15"/>
      <c r="D149" s="15"/>
      <c r="E149" s="15"/>
      <c r="F149" s="15"/>
      <c r="G149" s="90"/>
      <c r="H149" s="15"/>
      <c r="I149" s="15"/>
      <c r="J149" s="15"/>
      <c r="K149" s="15"/>
      <c r="L149" s="62" t="str">
        <f t="shared" si="1"/>
        <v/>
      </c>
    </row>
    <row r="150">
      <c r="A150" s="15"/>
      <c r="B150" s="15"/>
      <c r="C150" s="15"/>
      <c r="D150" s="15"/>
      <c r="E150" s="15"/>
      <c r="F150" s="15"/>
      <c r="G150" s="90"/>
      <c r="H150" s="15"/>
      <c r="I150" s="15"/>
      <c r="J150" s="15"/>
      <c r="K150" s="15"/>
      <c r="L150" s="62" t="str">
        <f t="shared" si="1"/>
        <v/>
      </c>
    </row>
    <row r="151">
      <c r="A151" s="15"/>
      <c r="B151" s="15"/>
      <c r="C151" s="15"/>
      <c r="D151" s="15"/>
      <c r="E151" s="15"/>
      <c r="F151" s="15"/>
      <c r="G151" s="90"/>
      <c r="H151" s="15"/>
      <c r="I151" s="15"/>
      <c r="J151" s="15"/>
      <c r="K151" s="15"/>
      <c r="L151" s="62" t="str">
        <f t="shared" si="1"/>
        <v/>
      </c>
    </row>
    <row r="152">
      <c r="A152" s="15"/>
      <c r="B152" s="15"/>
      <c r="C152" s="15"/>
      <c r="D152" s="15"/>
      <c r="E152" s="15"/>
      <c r="F152" s="15"/>
      <c r="G152" s="90"/>
      <c r="H152" s="15"/>
      <c r="I152" s="15"/>
      <c r="J152" s="15"/>
      <c r="K152" s="15"/>
      <c r="L152" s="62" t="str">
        <f t="shared" si="1"/>
        <v/>
      </c>
    </row>
    <row r="153">
      <c r="A153" s="15"/>
      <c r="B153" s="15"/>
      <c r="C153" s="15"/>
      <c r="D153" s="15"/>
      <c r="E153" s="15"/>
      <c r="F153" s="15"/>
      <c r="G153" s="90"/>
      <c r="H153" s="15"/>
      <c r="I153" s="15"/>
      <c r="J153" s="15"/>
      <c r="K153" s="15"/>
      <c r="L153" s="62" t="str">
        <f t="shared" si="1"/>
        <v/>
      </c>
    </row>
    <row r="154">
      <c r="A154" s="15"/>
      <c r="B154" s="15"/>
      <c r="C154" s="15"/>
      <c r="D154" s="15"/>
      <c r="E154" s="15"/>
      <c r="F154" s="15"/>
      <c r="G154" s="90"/>
      <c r="H154" s="15"/>
      <c r="I154" s="15"/>
      <c r="J154" s="15"/>
      <c r="K154" s="15"/>
      <c r="L154" s="62" t="str">
        <f t="shared" si="1"/>
        <v/>
      </c>
    </row>
    <row r="155">
      <c r="A155" s="15"/>
      <c r="B155" s="15"/>
      <c r="C155" s="15"/>
      <c r="D155" s="15"/>
      <c r="E155" s="15"/>
      <c r="F155" s="15"/>
      <c r="G155" s="90"/>
      <c r="H155" s="15"/>
      <c r="I155" s="15"/>
      <c r="J155" s="15"/>
      <c r="K155" s="15"/>
      <c r="L155" s="62" t="str">
        <f t="shared" si="1"/>
        <v/>
      </c>
    </row>
    <row r="156">
      <c r="A156" s="15"/>
      <c r="B156" s="15"/>
      <c r="C156" s="15"/>
      <c r="D156" s="15"/>
      <c r="E156" s="15"/>
      <c r="F156" s="15"/>
      <c r="G156" s="90"/>
      <c r="H156" s="15"/>
      <c r="I156" s="15"/>
      <c r="J156" s="15"/>
      <c r="K156" s="15"/>
      <c r="L156" s="62" t="str">
        <f t="shared" si="1"/>
        <v/>
      </c>
    </row>
    <row r="157">
      <c r="A157" s="15"/>
      <c r="B157" s="15"/>
      <c r="C157" s="15"/>
      <c r="D157" s="15"/>
      <c r="E157" s="15"/>
      <c r="F157" s="15"/>
      <c r="G157" s="90"/>
      <c r="H157" s="15"/>
      <c r="I157" s="15"/>
      <c r="J157" s="15"/>
      <c r="K157" s="15"/>
      <c r="L157" s="62" t="str">
        <f t="shared" si="1"/>
        <v/>
      </c>
    </row>
    <row r="158">
      <c r="A158" s="15"/>
      <c r="B158" s="15"/>
      <c r="C158" s="15"/>
      <c r="D158" s="15"/>
      <c r="E158" s="15"/>
      <c r="F158" s="15"/>
      <c r="G158" s="90"/>
      <c r="H158" s="15"/>
      <c r="I158" s="15"/>
      <c r="J158" s="15"/>
      <c r="K158" s="15"/>
      <c r="L158" s="62" t="str">
        <f t="shared" si="1"/>
        <v/>
      </c>
    </row>
    <row r="159">
      <c r="A159" s="15"/>
      <c r="B159" s="15"/>
      <c r="C159" s="15"/>
      <c r="D159" s="15"/>
      <c r="E159" s="15"/>
      <c r="F159" s="15"/>
      <c r="G159" s="90"/>
      <c r="H159" s="15"/>
      <c r="I159" s="15"/>
      <c r="J159" s="15"/>
      <c r="K159" s="15"/>
      <c r="L159" s="62" t="str">
        <f t="shared" si="1"/>
        <v/>
      </c>
    </row>
    <row r="160">
      <c r="A160" s="15"/>
      <c r="B160" s="15"/>
      <c r="C160" s="15"/>
      <c r="D160" s="15"/>
      <c r="E160" s="15"/>
      <c r="F160" s="15"/>
      <c r="G160" s="90"/>
      <c r="H160" s="15"/>
      <c r="I160" s="15"/>
      <c r="J160" s="15"/>
      <c r="K160" s="15"/>
      <c r="L160" s="62" t="str">
        <f t="shared" si="1"/>
        <v/>
      </c>
    </row>
    <row r="161">
      <c r="A161" s="15"/>
      <c r="B161" s="15"/>
      <c r="C161" s="15"/>
      <c r="D161" s="15"/>
      <c r="E161" s="15"/>
      <c r="F161" s="15"/>
      <c r="G161" s="90"/>
      <c r="H161" s="15"/>
      <c r="I161" s="15"/>
      <c r="J161" s="15"/>
      <c r="K161" s="15"/>
      <c r="L161" s="62" t="str">
        <f t="shared" si="1"/>
        <v/>
      </c>
    </row>
    <row r="162">
      <c r="A162" s="15"/>
      <c r="B162" s="15"/>
      <c r="C162" s="15"/>
      <c r="D162" s="15"/>
      <c r="E162" s="15"/>
      <c r="F162" s="15"/>
      <c r="G162" s="90"/>
      <c r="H162" s="15"/>
      <c r="I162" s="15"/>
      <c r="J162" s="15"/>
      <c r="K162" s="15"/>
      <c r="L162" s="62" t="str">
        <f t="shared" si="1"/>
        <v/>
      </c>
    </row>
    <row r="163">
      <c r="A163" s="15"/>
      <c r="B163" s="15"/>
      <c r="C163" s="15"/>
      <c r="D163" s="15"/>
      <c r="E163" s="15"/>
      <c r="F163" s="15"/>
      <c r="G163" s="90"/>
      <c r="H163" s="15"/>
      <c r="I163" s="15"/>
      <c r="J163" s="15"/>
      <c r="K163" s="15"/>
      <c r="L163" s="62" t="str">
        <f t="shared" si="1"/>
        <v/>
      </c>
    </row>
    <row r="164">
      <c r="A164" s="15"/>
      <c r="B164" s="15"/>
      <c r="C164" s="15"/>
      <c r="D164" s="15"/>
      <c r="E164" s="15"/>
      <c r="F164" s="15"/>
      <c r="G164" s="90"/>
      <c r="H164" s="15"/>
      <c r="I164" s="15"/>
      <c r="J164" s="15"/>
      <c r="K164" s="15"/>
      <c r="L164" s="62" t="str">
        <f t="shared" si="1"/>
        <v/>
      </c>
    </row>
    <row r="165">
      <c r="A165" s="15"/>
      <c r="B165" s="15"/>
      <c r="C165" s="15"/>
      <c r="D165" s="15"/>
      <c r="E165" s="15"/>
      <c r="F165" s="15"/>
      <c r="G165" s="90"/>
      <c r="H165" s="15"/>
      <c r="I165" s="15"/>
      <c r="J165" s="15"/>
      <c r="K165" s="15"/>
      <c r="L165" s="62" t="str">
        <f t="shared" si="1"/>
        <v/>
      </c>
    </row>
    <row r="166">
      <c r="A166" s="15"/>
      <c r="B166" s="15"/>
      <c r="C166" s="15"/>
      <c r="D166" s="15"/>
      <c r="E166" s="15"/>
      <c r="F166" s="15"/>
      <c r="G166" s="90"/>
      <c r="H166" s="15"/>
      <c r="I166" s="15"/>
      <c r="J166" s="15"/>
      <c r="K166" s="15"/>
      <c r="L166" s="62" t="str">
        <f t="shared" si="1"/>
        <v/>
      </c>
    </row>
    <row r="167">
      <c r="A167" s="15"/>
      <c r="B167" s="15"/>
      <c r="C167" s="15"/>
      <c r="D167" s="15"/>
      <c r="E167" s="15"/>
      <c r="F167" s="15"/>
      <c r="G167" s="90"/>
      <c r="H167" s="15"/>
      <c r="I167" s="15"/>
      <c r="J167" s="15"/>
      <c r="K167" s="15"/>
      <c r="L167" s="62" t="str">
        <f t="shared" si="1"/>
        <v/>
      </c>
    </row>
    <row r="168">
      <c r="A168" s="15"/>
      <c r="B168" s="15"/>
      <c r="C168" s="15"/>
      <c r="D168" s="15"/>
      <c r="E168" s="15"/>
      <c r="F168" s="15"/>
      <c r="G168" s="90"/>
      <c r="H168" s="15"/>
      <c r="I168" s="15"/>
      <c r="J168" s="15"/>
      <c r="K168" s="15"/>
      <c r="L168" s="62" t="str">
        <f t="shared" si="1"/>
        <v/>
      </c>
    </row>
    <row r="169">
      <c r="A169" s="15"/>
      <c r="B169" s="15"/>
      <c r="C169" s="15"/>
      <c r="D169" s="15"/>
      <c r="E169" s="15"/>
      <c r="F169" s="15"/>
      <c r="G169" s="90"/>
      <c r="H169" s="15"/>
      <c r="I169" s="15"/>
      <c r="J169" s="15"/>
      <c r="K169" s="15"/>
      <c r="L169" s="62" t="str">
        <f t="shared" si="1"/>
        <v/>
      </c>
    </row>
    <row r="170">
      <c r="A170" s="15"/>
      <c r="B170" s="15"/>
      <c r="C170" s="15"/>
      <c r="D170" s="15"/>
      <c r="E170" s="15"/>
      <c r="F170" s="15"/>
      <c r="G170" s="90"/>
      <c r="H170" s="15"/>
      <c r="I170" s="15"/>
      <c r="J170" s="15"/>
      <c r="K170" s="15"/>
      <c r="L170" s="62" t="str">
        <f t="shared" si="1"/>
        <v/>
      </c>
    </row>
    <row r="171">
      <c r="A171" s="15"/>
      <c r="B171" s="15"/>
      <c r="C171" s="15"/>
      <c r="D171" s="15"/>
      <c r="E171" s="15"/>
      <c r="F171" s="15"/>
      <c r="G171" s="90"/>
      <c r="H171" s="15"/>
      <c r="I171" s="15"/>
      <c r="J171" s="15"/>
      <c r="K171" s="15"/>
      <c r="L171" s="62" t="str">
        <f t="shared" si="1"/>
        <v/>
      </c>
    </row>
    <row r="172">
      <c r="A172" s="15"/>
      <c r="B172" s="15"/>
      <c r="C172" s="15"/>
      <c r="D172" s="15"/>
      <c r="E172" s="15"/>
      <c r="F172" s="15"/>
      <c r="G172" s="90"/>
      <c r="H172" s="15"/>
      <c r="I172" s="15"/>
      <c r="J172" s="15"/>
      <c r="K172" s="15"/>
      <c r="L172" s="62" t="str">
        <f t="shared" si="1"/>
        <v/>
      </c>
    </row>
    <row r="173">
      <c r="A173" s="15"/>
      <c r="B173" s="15"/>
      <c r="C173" s="15"/>
      <c r="D173" s="15"/>
      <c r="E173" s="15"/>
      <c r="F173" s="15"/>
      <c r="G173" s="90"/>
      <c r="H173" s="15"/>
      <c r="I173" s="15"/>
      <c r="J173" s="15"/>
      <c r="K173" s="15"/>
      <c r="L173" s="62" t="str">
        <f t="shared" si="1"/>
        <v/>
      </c>
    </row>
    <row r="174">
      <c r="A174" s="15"/>
      <c r="B174" s="15"/>
      <c r="C174" s="15"/>
      <c r="D174" s="15"/>
      <c r="E174" s="15"/>
      <c r="F174" s="15"/>
      <c r="G174" s="90"/>
      <c r="H174" s="15"/>
      <c r="I174" s="15"/>
      <c r="J174" s="15"/>
      <c r="K174" s="15"/>
      <c r="L174" s="62" t="str">
        <f t="shared" si="1"/>
        <v/>
      </c>
    </row>
    <row r="175">
      <c r="A175" s="15"/>
      <c r="B175" s="15"/>
      <c r="C175" s="15"/>
      <c r="D175" s="15"/>
      <c r="E175" s="15"/>
      <c r="F175" s="15"/>
      <c r="G175" s="90"/>
      <c r="H175" s="15"/>
      <c r="I175" s="15"/>
      <c r="J175" s="15"/>
      <c r="K175" s="15"/>
      <c r="L175" s="62" t="str">
        <f t="shared" si="1"/>
        <v/>
      </c>
    </row>
    <row r="176">
      <c r="A176" s="15"/>
      <c r="B176" s="15"/>
      <c r="C176" s="15"/>
      <c r="D176" s="15"/>
      <c r="E176" s="15"/>
      <c r="F176" s="15"/>
      <c r="G176" s="90"/>
      <c r="H176" s="15"/>
      <c r="I176" s="15"/>
      <c r="J176" s="15"/>
      <c r="K176" s="15"/>
      <c r="L176" s="62" t="str">
        <f t="shared" si="1"/>
        <v/>
      </c>
    </row>
    <row r="177">
      <c r="A177" s="15"/>
      <c r="B177" s="15"/>
      <c r="C177" s="15"/>
      <c r="D177" s="15"/>
      <c r="E177" s="15"/>
      <c r="F177" s="15"/>
      <c r="G177" s="90"/>
      <c r="H177" s="15"/>
      <c r="I177" s="15"/>
      <c r="J177" s="15"/>
      <c r="K177" s="15"/>
      <c r="L177" s="62" t="str">
        <f t="shared" si="1"/>
        <v/>
      </c>
    </row>
    <row r="178">
      <c r="A178" s="15"/>
      <c r="B178" s="15"/>
      <c r="C178" s="15"/>
      <c r="D178" s="15"/>
      <c r="E178" s="15"/>
      <c r="F178" s="15"/>
      <c r="G178" s="90"/>
      <c r="H178" s="15"/>
      <c r="I178" s="15"/>
      <c r="J178" s="15"/>
      <c r="K178" s="15"/>
      <c r="L178" s="62" t="str">
        <f t="shared" si="1"/>
        <v/>
      </c>
    </row>
    <row r="179">
      <c r="A179" s="15"/>
      <c r="B179" s="15"/>
      <c r="C179" s="15"/>
      <c r="D179" s="15"/>
      <c r="E179" s="15"/>
      <c r="F179" s="15"/>
      <c r="G179" s="90"/>
      <c r="H179" s="15"/>
      <c r="I179" s="15"/>
      <c r="J179" s="15"/>
      <c r="K179" s="15"/>
      <c r="L179" s="62" t="str">
        <f t="shared" si="1"/>
        <v/>
      </c>
    </row>
    <row r="180">
      <c r="A180" s="15"/>
      <c r="B180" s="15"/>
      <c r="C180" s="15"/>
      <c r="D180" s="15"/>
      <c r="E180" s="15"/>
      <c r="F180" s="15"/>
      <c r="G180" s="90"/>
      <c r="H180" s="15"/>
      <c r="I180" s="15"/>
      <c r="J180" s="15"/>
      <c r="K180" s="15"/>
      <c r="L180" s="62" t="str">
        <f t="shared" si="1"/>
        <v/>
      </c>
    </row>
    <row r="181">
      <c r="A181" s="15"/>
      <c r="B181" s="15"/>
      <c r="C181" s="15"/>
      <c r="D181" s="15"/>
      <c r="E181" s="15"/>
      <c r="F181" s="15"/>
      <c r="G181" s="90"/>
      <c r="H181" s="15"/>
      <c r="I181" s="15"/>
      <c r="J181" s="15"/>
      <c r="K181" s="15"/>
      <c r="L181" s="62" t="str">
        <f t="shared" si="1"/>
        <v/>
      </c>
    </row>
    <row r="182">
      <c r="A182" s="15"/>
      <c r="B182" s="15"/>
      <c r="C182" s="15"/>
      <c r="D182" s="15"/>
      <c r="E182" s="15"/>
      <c r="F182" s="15"/>
      <c r="G182" s="90"/>
      <c r="H182" s="15"/>
      <c r="I182" s="15"/>
      <c r="J182" s="15"/>
      <c r="K182" s="15"/>
      <c r="L182" s="62" t="str">
        <f t="shared" si="1"/>
        <v/>
      </c>
    </row>
    <row r="183">
      <c r="A183" s="15"/>
      <c r="B183" s="15"/>
      <c r="C183" s="15"/>
      <c r="D183" s="15"/>
      <c r="E183" s="15"/>
      <c r="F183" s="15"/>
      <c r="G183" s="90"/>
      <c r="H183" s="15"/>
      <c r="I183" s="15"/>
      <c r="J183" s="15"/>
      <c r="K183" s="15"/>
      <c r="L183" s="62" t="str">
        <f t="shared" si="1"/>
        <v/>
      </c>
    </row>
    <row r="184">
      <c r="A184" s="15"/>
      <c r="B184" s="15"/>
      <c r="C184" s="15"/>
      <c r="D184" s="15"/>
      <c r="E184" s="15"/>
      <c r="F184" s="15"/>
      <c r="G184" s="90"/>
      <c r="H184" s="15"/>
      <c r="I184" s="15"/>
      <c r="J184" s="15"/>
      <c r="K184" s="15"/>
      <c r="L184" s="62" t="str">
        <f t="shared" si="1"/>
        <v/>
      </c>
    </row>
    <row r="185">
      <c r="A185" s="15"/>
      <c r="B185" s="15"/>
      <c r="C185" s="15"/>
      <c r="D185" s="15"/>
      <c r="E185" s="15"/>
      <c r="F185" s="15"/>
      <c r="G185" s="90"/>
      <c r="H185" s="15"/>
      <c r="I185" s="15"/>
      <c r="J185" s="15"/>
      <c r="K185" s="15"/>
      <c r="L185" s="62" t="str">
        <f t="shared" si="1"/>
        <v/>
      </c>
    </row>
    <row r="186">
      <c r="A186" s="15"/>
      <c r="B186" s="15"/>
      <c r="C186" s="15"/>
      <c r="D186" s="15"/>
      <c r="E186" s="15"/>
      <c r="F186" s="15"/>
      <c r="G186" s="90"/>
      <c r="H186" s="15"/>
      <c r="I186" s="15"/>
      <c r="J186" s="15"/>
      <c r="K186" s="15"/>
      <c r="L186" s="62" t="str">
        <f t="shared" si="1"/>
        <v/>
      </c>
    </row>
    <row r="187">
      <c r="A187" s="15"/>
      <c r="B187" s="15"/>
      <c r="C187" s="15"/>
      <c r="D187" s="15"/>
      <c r="E187" s="15"/>
      <c r="F187" s="15"/>
      <c r="G187" s="90"/>
      <c r="H187" s="15"/>
      <c r="I187" s="15"/>
      <c r="J187" s="15"/>
      <c r="K187" s="15"/>
      <c r="L187" s="62" t="str">
        <f t="shared" si="1"/>
        <v/>
      </c>
    </row>
    <row r="188">
      <c r="A188" s="15"/>
      <c r="B188" s="15"/>
      <c r="C188" s="15"/>
      <c r="D188" s="15"/>
      <c r="E188" s="15"/>
      <c r="F188" s="15"/>
      <c r="G188" s="90"/>
      <c r="H188" s="15"/>
      <c r="I188" s="15"/>
      <c r="J188" s="15"/>
      <c r="K188" s="15"/>
      <c r="L188" s="62" t="str">
        <f t="shared" si="1"/>
        <v/>
      </c>
    </row>
    <row r="189">
      <c r="A189" s="15"/>
      <c r="B189" s="15"/>
      <c r="C189" s="15"/>
      <c r="D189" s="15"/>
      <c r="E189" s="15"/>
      <c r="F189" s="15"/>
      <c r="G189" s="90"/>
      <c r="H189" s="15"/>
      <c r="I189" s="15"/>
      <c r="J189" s="15"/>
      <c r="K189" s="15"/>
      <c r="L189" s="62" t="str">
        <f t="shared" si="1"/>
        <v/>
      </c>
    </row>
    <row r="190">
      <c r="A190" s="15"/>
      <c r="B190" s="15"/>
      <c r="C190" s="15"/>
      <c r="D190" s="15"/>
      <c r="E190" s="15"/>
      <c r="F190" s="15"/>
      <c r="G190" s="90"/>
      <c r="H190" s="15"/>
      <c r="I190" s="15"/>
      <c r="J190" s="15"/>
      <c r="K190" s="15"/>
      <c r="L190" s="62" t="str">
        <f t="shared" si="1"/>
        <v/>
      </c>
    </row>
    <row r="191">
      <c r="A191" s="15"/>
      <c r="B191" s="15"/>
      <c r="C191" s="15"/>
      <c r="D191" s="15"/>
      <c r="E191" s="15"/>
      <c r="F191" s="15"/>
      <c r="G191" s="90"/>
      <c r="H191" s="15"/>
      <c r="I191" s="15"/>
      <c r="J191" s="15"/>
      <c r="K191" s="15"/>
      <c r="L191" s="62" t="str">
        <f t="shared" si="1"/>
        <v/>
      </c>
    </row>
    <row r="192">
      <c r="A192" s="15"/>
      <c r="B192" s="15"/>
      <c r="C192" s="15"/>
      <c r="D192" s="15"/>
      <c r="E192" s="15"/>
      <c r="F192" s="15"/>
      <c r="G192" s="90"/>
      <c r="H192" s="15"/>
      <c r="I192" s="15"/>
      <c r="J192" s="15"/>
      <c r="K192" s="15"/>
      <c r="L192" s="62" t="str">
        <f t="shared" si="1"/>
        <v/>
      </c>
    </row>
    <row r="193">
      <c r="A193" s="15"/>
      <c r="B193" s="15"/>
      <c r="C193" s="15"/>
      <c r="D193" s="15"/>
      <c r="E193" s="15"/>
      <c r="F193" s="15"/>
      <c r="G193" s="90"/>
      <c r="H193" s="15"/>
      <c r="I193" s="15"/>
      <c r="J193" s="15"/>
      <c r="K193" s="15"/>
      <c r="L193" s="62" t="str">
        <f t="shared" si="1"/>
        <v/>
      </c>
    </row>
    <row r="194">
      <c r="A194" s="15"/>
      <c r="B194" s="15"/>
      <c r="C194" s="15"/>
      <c r="D194" s="15"/>
      <c r="E194" s="15"/>
      <c r="F194" s="15"/>
      <c r="G194" s="90"/>
      <c r="H194" s="15"/>
      <c r="I194" s="15"/>
      <c r="J194" s="15"/>
      <c r="K194" s="15"/>
      <c r="L194" s="62" t="str">
        <f t="shared" si="1"/>
        <v/>
      </c>
    </row>
    <row r="195">
      <c r="A195" s="15"/>
      <c r="B195" s="15"/>
      <c r="C195" s="15"/>
      <c r="D195" s="15"/>
      <c r="E195" s="15"/>
      <c r="F195" s="15"/>
      <c r="G195" s="90"/>
      <c r="H195" s="15"/>
      <c r="I195" s="15"/>
      <c r="J195" s="15"/>
      <c r="K195" s="15"/>
      <c r="L195" s="62" t="str">
        <f t="shared" si="1"/>
        <v/>
      </c>
    </row>
    <row r="196">
      <c r="A196" s="15"/>
      <c r="B196" s="15"/>
      <c r="C196" s="15"/>
      <c r="D196" s="15"/>
      <c r="E196" s="15"/>
      <c r="F196" s="15"/>
      <c r="G196" s="90"/>
      <c r="H196" s="15"/>
      <c r="I196" s="15"/>
      <c r="J196" s="15"/>
      <c r="K196" s="15"/>
      <c r="L196" s="62" t="str">
        <f t="shared" si="1"/>
        <v/>
      </c>
    </row>
    <row r="197">
      <c r="A197" s="15"/>
      <c r="B197" s="15"/>
      <c r="C197" s="15"/>
      <c r="D197" s="15"/>
      <c r="E197" s="15"/>
      <c r="F197" s="15"/>
      <c r="G197" s="90"/>
      <c r="H197" s="15"/>
      <c r="I197" s="15"/>
      <c r="J197" s="15"/>
      <c r="K197" s="15"/>
      <c r="L197" s="62" t="str">
        <f t="shared" si="1"/>
        <v/>
      </c>
    </row>
    <row r="198">
      <c r="A198" s="15"/>
      <c r="B198" s="15"/>
      <c r="C198" s="15"/>
      <c r="D198" s="15"/>
      <c r="E198" s="15"/>
      <c r="F198" s="15"/>
      <c r="G198" s="90"/>
      <c r="H198" s="15"/>
      <c r="I198" s="15"/>
      <c r="J198" s="15"/>
      <c r="K198" s="15"/>
      <c r="L198" s="62" t="str">
        <f t="shared" si="1"/>
        <v/>
      </c>
    </row>
    <row r="199">
      <c r="A199" s="15"/>
      <c r="B199" s="15"/>
      <c r="C199" s="15"/>
      <c r="D199" s="15"/>
      <c r="E199" s="15"/>
      <c r="F199" s="15"/>
      <c r="G199" s="90"/>
      <c r="H199" s="15"/>
      <c r="I199" s="15"/>
      <c r="J199" s="15"/>
      <c r="K199" s="15"/>
      <c r="L199" s="62" t="str">
        <f t="shared" si="1"/>
        <v/>
      </c>
    </row>
    <row r="200">
      <c r="A200" s="15"/>
      <c r="B200" s="15"/>
      <c r="C200" s="15"/>
      <c r="D200" s="15"/>
      <c r="E200" s="15"/>
      <c r="F200" s="15"/>
      <c r="G200" s="90"/>
      <c r="H200" s="15"/>
      <c r="I200" s="15"/>
      <c r="J200" s="15"/>
      <c r="K200" s="15"/>
      <c r="L200" s="62" t="str">
        <f t="shared" si="1"/>
        <v/>
      </c>
    </row>
    <row r="201">
      <c r="A201" s="15"/>
      <c r="B201" s="15"/>
      <c r="C201" s="15"/>
      <c r="D201" s="15"/>
      <c r="E201" s="15"/>
      <c r="F201" s="15"/>
      <c r="G201" s="90"/>
      <c r="H201" s="15"/>
      <c r="I201" s="15"/>
      <c r="J201" s="15"/>
      <c r="K201" s="15"/>
      <c r="L201" s="62" t="str">
        <f t="shared" si="1"/>
        <v/>
      </c>
    </row>
    <row r="202">
      <c r="A202" s="15"/>
      <c r="B202" s="15"/>
      <c r="C202" s="15"/>
      <c r="D202" s="15"/>
      <c r="E202" s="15"/>
      <c r="F202" s="15"/>
      <c r="G202" s="90"/>
      <c r="H202" s="15"/>
      <c r="I202" s="15"/>
      <c r="J202" s="15"/>
      <c r="K202" s="15"/>
      <c r="L202" s="62" t="str">
        <f t="shared" si="1"/>
        <v/>
      </c>
    </row>
    <row r="203">
      <c r="A203" s="15"/>
      <c r="B203" s="15"/>
      <c r="C203" s="15"/>
      <c r="D203" s="15"/>
      <c r="E203" s="15"/>
      <c r="F203" s="15"/>
      <c r="G203" s="90"/>
      <c r="H203" s="15"/>
      <c r="I203" s="15"/>
      <c r="J203" s="15"/>
      <c r="K203" s="15"/>
      <c r="L203" s="62" t="str">
        <f t="shared" si="1"/>
        <v/>
      </c>
    </row>
    <row r="204">
      <c r="A204" s="15"/>
      <c r="B204" s="15"/>
      <c r="C204" s="15"/>
      <c r="D204" s="15"/>
      <c r="E204" s="15"/>
      <c r="F204" s="15"/>
      <c r="G204" s="90"/>
      <c r="H204" s="15"/>
      <c r="I204" s="15"/>
      <c r="J204" s="15"/>
      <c r="K204" s="15"/>
      <c r="L204" s="62" t="str">
        <f t="shared" si="1"/>
        <v/>
      </c>
    </row>
    <row r="205">
      <c r="A205" s="15"/>
      <c r="B205" s="15"/>
      <c r="C205" s="15"/>
      <c r="D205" s="15"/>
      <c r="E205" s="15"/>
      <c r="F205" s="15"/>
      <c r="G205" s="90"/>
      <c r="H205" s="15"/>
      <c r="I205" s="15"/>
      <c r="J205" s="15"/>
      <c r="K205" s="15"/>
      <c r="L205" s="62" t="str">
        <f t="shared" si="1"/>
        <v/>
      </c>
    </row>
    <row r="206">
      <c r="A206" s="15"/>
      <c r="B206" s="15"/>
      <c r="C206" s="15"/>
      <c r="D206" s="15"/>
      <c r="E206" s="15"/>
      <c r="F206" s="15"/>
      <c r="G206" s="90"/>
      <c r="H206" s="15"/>
      <c r="I206" s="15"/>
      <c r="J206" s="15"/>
      <c r="K206" s="15"/>
      <c r="L206" s="62" t="str">
        <f t="shared" si="1"/>
        <v/>
      </c>
    </row>
    <row r="207">
      <c r="A207" s="15"/>
      <c r="B207" s="15"/>
      <c r="C207" s="15"/>
      <c r="D207" s="15"/>
      <c r="E207" s="15"/>
      <c r="F207" s="15"/>
      <c r="G207" s="90"/>
      <c r="H207" s="15"/>
      <c r="I207" s="15"/>
      <c r="J207" s="15"/>
      <c r="K207" s="15"/>
      <c r="L207" s="62" t="str">
        <f t="shared" si="1"/>
        <v/>
      </c>
    </row>
    <row r="208">
      <c r="A208" s="15"/>
      <c r="B208" s="15"/>
      <c r="C208" s="15"/>
      <c r="D208" s="15"/>
      <c r="E208" s="15"/>
      <c r="F208" s="15"/>
      <c r="G208" s="90"/>
      <c r="H208" s="15"/>
      <c r="I208" s="15"/>
      <c r="J208" s="15"/>
      <c r="K208" s="15"/>
      <c r="L208" s="62" t="str">
        <f t="shared" si="1"/>
        <v/>
      </c>
    </row>
    <row r="209">
      <c r="A209" s="15"/>
      <c r="B209" s="15"/>
      <c r="C209" s="15"/>
      <c r="D209" s="15"/>
      <c r="E209" s="15"/>
      <c r="F209" s="15"/>
      <c r="G209" s="90"/>
      <c r="H209" s="15"/>
      <c r="I209" s="15"/>
      <c r="J209" s="15"/>
      <c r="K209" s="15"/>
      <c r="L209" s="62" t="str">
        <f t="shared" si="1"/>
        <v/>
      </c>
    </row>
    <row r="210">
      <c r="A210" s="15"/>
      <c r="B210" s="15"/>
      <c r="C210" s="15"/>
      <c r="D210" s="15"/>
      <c r="E210" s="15"/>
      <c r="F210" s="15"/>
      <c r="G210" s="90"/>
      <c r="H210" s="15"/>
      <c r="I210" s="15"/>
      <c r="J210" s="15"/>
      <c r="K210" s="15"/>
      <c r="L210" s="62" t="str">
        <f t="shared" si="1"/>
        <v/>
      </c>
    </row>
    <row r="211">
      <c r="A211" s="15"/>
      <c r="B211" s="15"/>
      <c r="C211" s="15"/>
      <c r="D211" s="15"/>
      <c r="E211" s="15"/>
      <c r="F211" s="15"/>
      <c r="G211" s="90"/>
      <c r="H211" s="15"/>
      <c r="I211" s="15"/>
      <c r="J211" s="15"/>
      <c r="K211" s="15"/>
      <c r="L211" s="62" t="str">
        <f t="shared" si="1"/>
        <v/>
      </c>
    </row>
    <row r="212">
      <c r="A212" s="15"/>
      <c r="B212" s="15"/>
      <c r="C212" s="15"/>
      <c r="D212" s="15"/>
      <c r="E212" s="15"/>
      <c r="F212" s="15"/>
      <c r="G212" s="90"/>
      <c r="H212" s="15"/>
      <c r="I212" s="15"/>
      <c r="J212" s="15"/>
      <c r="K212" s="15"/>
      <c r="L212" s="62" t="str">
        <f t="shared" si="1"/>
        <v/>
      </c>
    </row>
    <row r="213">
      <c r="A213" s="15"/>
      <c r="B213" s="15"/>
      <c r="C213" s="15"/>
      <c r="D213" s="15"/>
      <c r="E213" s="15"/>
      <c r="F213" s="15"/>
      <c r="G213" s="90"/>
      <c r="H213" s="15"/>
      <c r="I213" s="15"/>
      <c r="J213" s="15"/>
      <c r="K213" s="15"/>
      <c r="L213" s="62" t="str">
        <f t="shared" si="1"/>
        <v/>
      </c>
    </row>
    <row r="214">
      <c r="A214" s="15"/>
      <c r="B214" s="15"/>
      <c r="C214" s="15"/>
      <c r="D214" s="15"/>
      <c r="E214" s="15"/>
      <c r="F214" s="15"/>
      <c r="G214" s="90"/>
      <c r="H214" s="15"/>
      <c r="I214" s="15"/>
      <c r="J214" s="15"/>
      <c r="K214" s="15"/>
      <c r="L214" s="62" t="str">
        <f t="shared" si="1"/>
        <v/>
      </c>
    </row>
    <row r="215">
      <c r="A215" s="15"/>
      <c r="B215" s="15"/>
      <c r="C215" s="15"/>
      <c r="D215" s="15"/>
      <c r="E215" s="15"/>
      <c r="F215" s="15"/>
      <c r="G215" s="90"/>
      <c r="H215" s="15"/>
      <c r="I215" s="15"/>
      <c r="J215" s="15"/>
      <c r="K215" s="15"/>
      <c r="L215" s="62" t="str">
        <f t="shared" si="1"/>
        <v/>
      </c>
    </row>
    <row r="216">
      <c r="A216" s="15"/>
      <c r="B216" s="15"/>
      <c r="C216" s="15"/>
      <c r="D216" s="15"/>
      <c r="E216" s="15"/>
      <c r="F216" s="15"/>
      <c r="G216" s="90"/>
      <c r="H216" s="15"/>
      <c r="I216" s="15"/>
      <c r="J216" s="15"/>
      <c r="K216" s="15"/>
      <c r="L216" s="62" t="str">
        <f t="shared" si="1"/>
        <v/>
      </c>
    </row>
    <row r="217">
      <c r="A217" s="15"/>
      <c r="B217" s="15"/>
      <c r="C217" s="15"/>
      <c r="D217" s="15"/>
      <c r="E217" s="15"/>
      <c r="F217" s="15"/>
      <c r="G217" s="90"/>
      <c r="H217" s="15"/>
      <c r="I217" s="15"/>
      <c r="J217" s="15"/>
      <c r="K217" s="15"/>
      <c r="L217" s="62" t="str">
        <f t="shared" si="1"/>
        <v/>
      </c>
    </row>
    <row r="218">
      <c r="A218" s="15"/>
      <c r="B218" s="15"/>
      <c r="C218" s="15"/>
      <c r="D218" s="15"/>
      <c r="E218" s="15"/>
      <c r="F218" s="15"/>
      <c r="G218" s="90"/>
      <c r="H218" s="15"/>
      <c r="I218" s="15"/>
      <c r="J218" s="15"/>
      <c r="K218" s="15"/>
      <c r="L218" s="62" t="str">
        <f t="shared" si="1"/>
        <v/>
      </c>
    </row>
    <row r="219">
      <c r="A219" s="15"/>
      <c r="B219" s="15"/>
      <c r="C219" s="15"/>
      <c r="D219" s="15"/>
      <c r="E219" s="15"/>
      <c r="F219" s="15"/>
      <c r="G219" s="90"/>
      <c r="H219" s="15"/>
      <c r="I219" s="15"/>
      <c r="J219" s="15"/>
      <c r="K219" s="15"/>
      <c r="L219" s="62" t="str">
        <f t="shared" si="1"/>
        <v/>
      </c>
    </row>
    <row r="220">
      <c r="A220" s="15"/>
      <c r="B220" s="15"/>
      <c r="C220" s="15"/>
      <c r="D220" s="15"/>
      <c r="E220" s="15"/>
      <c r="F220" s="15"/>
      <c r="G220" s="90"/>
      <c r="H220" s="15"/>
      <c r="I220" s="15"/>
      <c r="J220" s="15"/>
      <c r="K220" s="15"/>
      <c r="L220" s="62" t="str">
        <f t="shared" si="1"/>
        <v/>
      </c>
    </row>
    <row r="221">
      <c r="A221" s="15"/>
      <c r="B221" s="15"/>
      <c r="C221" s="15"/>
      <c r="D221" s="15"/>
      <c r="E221" s="15"/>
      <c r="F221" s="15"/>
      <c r="G221" s="90"/>
      <c r="H221" s="15"/>
      <c r="I221" s="15"/>
      <c r="J221" s="15"/>
      <c r="K221" s="15"/>
      <c r="L221" s="62" t="str">
        <f t="shared" si="1"/>
        <v/>
      </c>
    </row>
    <row r="222">
      <c r="A222" s="15"/>
      <c r="B222" s="15"/>
      <c r="C222" s="15"/>
      <c r="D222" s="15"/>
      <c r="E222" s="15"/>
      <c r="F222" s="15"/>
      <c r="G222" s="90"/>
      <c r="H222" s="15"/>
      <c r="I222" s="15"/>
      <c r="J222" s="15"/>
      <c r="K222" s="15"/>
      <c r="L222" s="62" t="str">
        <f t="shared" si="1"/>
        <v/>
      </c>
    </row>
    <row r="223">
      <c r="A223" s="15"/>
      <c r="B223" s="15"/>
      <c r="C223" s="15"/>
      <c r="D223" s="15"/>
      <c r="E223" s="15"/>
      <c r="F223" s="15"/>
      <c r="G223" s="90"/>
      <c r="H223" s="15"/>
      <c r="I223" s="15"/>
      <c r="J223" s="15"/>
      <c r="K223" s="15"/>
      <c r="L223" s="62" t="str">
        <f t="shared" si="1"/>
        <v/>
      </c>
    </row>
    <row r="224">
      <c r="A224" s="15"/>
      <c r="B224" s="15"/>
      <c r="C224" s="15"/>
      <c r="D224" s="15"/>
      <c r="E224" s="15"/>
      <c r="F224" s="15"/>
      <c r="G224" s="90"/>
      <c r="H224" s="15"/>
      <c r="I224" s="15"/>
      <c r="J224" s="15"/>
      <c r="K224" s="15"/>
      <c r="L224" s="62" t="str">
        <f t="shared" si="1"/>
        <v/>
      </c>
    </row>
    <row r="225">
      <c r="A225" s="15"/>
      <c r="B225" s="15"/>
      <c r="C225" s="15"/>
      <c r="D225" s="15"/>
      <c r="E225" s="15"/>
      <c r="F225" s="15"/>
      <c r="G225" s="90"/>
      <c r="H225" s="15"/>
      <c r="I225" s="15"/>
      <c r="J225" s="15"/>
      <c r="K225" s="15"/>
      <c r="L225" s="62" t="str">
        <f t="shared" si="1"/>
        <v/>
      </c>
    </row>
    <row r="226">
      <c r="A226" s="15"/>
      <c r="B226" s="15"/>
      <c r="C226" s="15"/>
      <c r="D226" s="15"/>
      <c r="E226" s="15"/>
      <c r="F226" s="15"/>
      <c r="G226" s="90"/>
      <c r="H226" s="15"/>
      <c r="I226" s="15"/>
      <c r="J226" s="15"/>
      <c r="K226" s="15"/>
      <c r="L226" s="62" t="str">
        <f t="shared" si="1"/>
        <v/>
      </c>
    </row>
    <row r="227">
      <c r="A227" s="15"/>
      <c r="B227" s="15"/>
      <c r="C227" s="15"/>
      <c r="D227" s="15"/>
      <c r="E227" s="15"/>
      <c r="F227" s="15"/>
      <c r="G227" s="90"/>
      <c r="H227" s="15"/>
      <c r="I227" s="15"/>
      <c r="J227" s="15"/>
      <c r="K227" s="15"/>
      <c r="L227" s="62" t="str">
        <f t="shared" si="1"/>
        <v/>
      </c>
    </row>
    <row r="228">
      <c r="A228" s="15"/>
      <c r="B228" s="15"/>
      <c r="C228" s="15"/>
      <c r="D228" s="15"/>
      <c r="E228" s="15"/>
      <c r="F228" s="15"/>
      <c r="G228" s="90"/>
      <c r="H228" s="15"/>
      <c r="I228" s="15"/>
      <c r="J228" s="15"/>
      <c r="K228" s="15"/>
      <c r="L228" s="62" t="str">
        <f t="shared" si="1"/>
        <v/>
      </c>
    </row>
    <row r="229">
      <c r="A229" s="15"/>
      <c r="B229" s="15"/>
      <c r="C229" s="15"/>
      <c r="D229" s="15"/>
      <c r="E229" s="15"/>
      <c r="F229" s="15"/>
      <c r="G229" s="90"/>
      <c r="H229" s="15"/>
      <c r="I229" s="15"/>
      <c r="J229" s="15"/>
      <c r="K229" s="15"/>
      <c r="L229" s="62" t="str">
        <f t="shared" si="1"/>
        <v/>
      </c>
    </row>
    <row r="230">
      <c r="A230" s="15"/>
      <c r="B230" s="15"/>
      <c r="C230" s="15"/>
      <c r="D230" s="15"/>
      <c r="E230" s="15"/>
      <c r="F230" s="15"/>
      <c r="G230" s="90"/>
      <c r="H230" s="15"/>
      <c r="I230" s="15"/>
      <c r="J230" s="15"/>
      <c r="K230" s="15"/>
      <c r="L230" s="62" t="str">
        <f t="shared" si="1"/>
        <v/>
      </c>
    </row>
    <row r="231">
      <c r="A231" s="15"/>
      <c r="B231" s="15"/>
      <c r="C231" s="15"/>
      <c r="D231" s="15"/>
      <c r="E231" s="15"/>
      <c r="F231" s="15"/>
      <c r="G231" s="90"/>
      <c r="H231" s="15"/>
      <c r="I231" s="15"/>
      <c r="J231" s="15"/>
      <c r="K231" s="15"/>
      <c r="L231" s="62" t="str">
        <f t="shared" si="1"/>
        <v/>
      </c>
    </row>
    <row r="232">
      <c r="A232" s="15"/>
      <c r="B232" s="15"/>
      <c r="C232" s="15"/>
      <c r="D232" s="15"/>
      <c r="E232" s="15"/>
      <c r="F232" s="15"/>
      <c r="G232" s="90"/>
      <c r="H232" s="15"/>
      <c r="I232" s="15"/>
      <c r="J232" s="15"/>
      <c r="K232" s="15"/>
      <c r="L232" s="62" t="str">
        <f t="shared" si="1"/>
        <v/>
      </c>
    </row>
    <row r="233">
      <c r="A233" s="15"/>
      <c r="B233" s="15"/>
      <c r="C233" s="15"/>
      <c r="D233" s="15"/>
      <c r="E233" s="15"/>
      <c r="F233" s="15"/>
      <c r="G233" s="90"/>
      <c r="H233" s="15"/>
      <c r="I233" s="15"/>
      <c r="J233" s="15"/>
      <c r="K233" s="15"/>
      <c r="L233" s="62" t="str">
        <f t="shared" si="1"/>
        <v/>
      </c>
    </row>
    <row r="234">
      <c r="A234" s="15"/>
      <c r="B234" s="15"/>
      <c r="C234" s="15"/>
      <c r="D234" s="15"/>
      <c r="E234" s="15"/>
      <c r="F234" s="15"/>
      <c r="G234" s="90"/>
      <c r="H234" s="15"/>
      <c r="I234" s="15"/>
      <c r="J234" s="15"/>
      <c r="K234" s="15"/>
      <c r="L234" s="62" t="str">
        <f t="shared" si="1"/>
        <v/>
      </c>
    </row>
    <row r="235">
      <c r="A235" s="15"/>
      <c r="B235" s="15"/>
      <c r="C235" s="15"/>
      <c r="D235" s="15"/>
      <c r="E235" s="15"/>
      <c r="F235" s="15"/>
      <c r="G235" s="90"/>
      <c r="H235" s="15"/>
      <c r="I235" s="15"/>
      <c r="J235" s="15"/>
      <c r="K235" s="15"/>
      <c r="L235" s="62" t="str">
        <f t="shared" si="1"/>
        <v/>
      </c>
    </row>
    <row r="236">
      <c r="A236" s="15"/>
      <c r="B236" s="15"/>
      <c r="C236" s="15"/>
      <c r="D236" s="15"/>
      <c r="E236" s="15"/>
      <c r="F236" s="15"/>
      <c r="G236" s="90"/>
      <c r="H236" s="15"/>
      <c r="I236" s="15"/>
      <c r="J236" s="15"/>
      <c r="K236" s="15"/>
      <c r="L236" s="62" t="str">
        <f t="shared" si="1"/>
        <v/>
      </c>
    </row>
    <row r="237">
      <c r="A237" s="15"/>
      <c r="B237" s="15"/>
      <c r="C237" s="15"/>
      <c r="D237" s="15"/>
      <c r="E237" s="15"/>
      <c r="F237" s="15"/>
      <c r="G237" s="90"/>
      <c r="H237" s="15"/>
      <c r="I237" s="15"/>
      <c r="J237" s="15"/>
      <c r="K237" s="15"/>
      <c r="L237" s="62" t="str">
        <f t="shared" si="1"/>
        <v/>
      </c>
    </row>
    <row r="238">
      <c r="A238" s="15"/>
      <c r="B238" s="15"/>
      <c r="C238" s="15"/>
      <c r="D238" s="15"/>
      <c r="E238" s="15"/>
      <c r="F238" s="15"/>
      <c r="G238" s="90"/>
      <c r="H238" s="15"/>
      <c r="I238" s="15"/>
      <c r="J238" s="15"/>
      <c r="K238" s="15"/>
      <c r="L238" s="62" t="str">
        <f t="shared" si="1"/>
        <v/>
      </c>
    </row>
    <row r="239">
      <c r="A239" s="15"/>
      <c r="B239" s="15"/>
      <c r="C239" s="15"/>
      <c r="D239" s="15"/>
      <c r="E239" s="15"/>
      <c r="F239" s="15"/>
      <c r="G239" s="90"/>
      <c r="H239" s="15"/>
      <c r="I239" s="15"/>
      <c r="J239" s="15"/>
      <c r="K239" s="15"/>
      <c r="L239" s="62" t="str">
        <f t="shared" si="1"/>
        <v/>
      </c>
    </row>
    <row r="240">
      <c r="A240" s="15"/>
      <c r="B240" s="15"/>
      <c r="C240" s="15"/>
      <c r="D240" s="15"/>
      <c r="E240" s="15"/>
      <c r="F240" s="15"/>
      <c r="G240" s="90"/>
      <c r="H240" s="15"/>
      <c r="I240" s="15"/>
      <c r="J240" s="15"/>
      <c r="K240" s="15"/>
      <c r="L240" s="62" t="str">
        <f t="shared" si="1"/>
        <v/>
      </c>
    </row>
    <row r="241">
      <c r="A241" s="15"/>
      <c r="B241" s="15"/>
      <c r="C241" s="15"/>
      <c r="D241" s="15"/>
      <c r="E241" s="15"/>
      <c r="F241" s="15"/>
      <c r="G241" s="90"/>
      <c r="H241" s="15"/>
      <c r="I241" s="15"/>
      <c r="J241" s="15"/>
      <c r="K241" s="15"/>
      <c r="L241" s="62" t="str">
        <f t="shared" si="1"/>
        <v/>
      </c>
    </row>
    <row r="242">
      <c r="A242" s="15"/>
      <c r="B242" s="15"/>
      <c r="C242" s="15"/>
      <c r="D242" s="15"/>
      <c r="E242" s="15"/>
      <c r="F242" s="15"/>
      <c r="G242" s="90"/>
      <c r="H242" s="15"/>
      <c r="I242" s="15"/>
      <c r="J242" s="15"/>
      <c r="K242" s="15"/>
      <c r="L242" s="62" t="str">
        <f t="shared" si="1"/>
        <v/>
      </c>
    </row>
    <row r="243">
      <c r="A243" s="15"/>
      <c r="B243" s="15"/>
      <c r="C243" s="15"/>
      <c r="D243" s="15"/>
      <c r="E243" s="15"/>
      <c r="F243" s="15"/>
      <c r="G243" s="90"/>
      <c r="H243" s="15"/>
      <c r="I243" s="15"/>
      <c r="J243" s="15"/>
      <c r="K243" s="15"/>
      <c r="L243" s="62" t="str">
        <f t="shared" si="1"/>
        <v/>
      </c>
    </row>
    <row r="244">
      <c r="A244" s="15"/>
      <c r="B244" s="15"/>
      <c r="C244" s="15"/>
      <c r="D244" s="15"/>
      <c r="E244" s="15"/>
      <c r="F244" s="15"/>
      <c r="G244" s="90"/>
      <c r="H244" s="15"/>
      <c r="I244" s="15"/>
      <c r="J244" s="15"/>
      <c r="K244" s="15"/>
      <c r="L244" s="62" t="str">
        <f t="shared" si="1"/>
        <v/>
      </c>
    </row>
    <row r="245">
      <c r="A245" s="15"/>
      <c r="B245" s="15"/>
      <c r="C245" s="15"/>
      <c r="D245" s="15"/>
      <c r="E245" s="15"/>
      <c r="F245" s="15"/>
      <c r="G245" s="90"/>
      <c r="H245" s="15"/>
      <c r="I245" s="15"/>
      <c r="J245" s="15"/>
      <c r="K245" s="15"/>
      <c r="L245" s="62" t="str">
        <f t="shared" si="1"/>
        <v/>
      </c>
    </row>
    <row r="246">
      <c r="A246" s="15"/>
      <c r="B246" s="15"/>
      <c r="C246" s="15"/>
      <c r="D246" s="15"/>
      <c r="E246" s="15"/>
      <c r="F246" s="15"/>
      <c r="G246" s="90"/>
      <c r="H246" s="15"/>
      <c r="I246" s="15"/>
      <c r="J246" s="15"/>
      <c r="K246" s="15"/>
      <c r="L246" s="62" t="str">
        <f t="shared" si="1"/>
        <v/>
      </c>
    </row>
    <row r="247">
      <c r="A247" s="15"/>
      <c r="B247" s="15"/>
      <c r="C247" s="15"/>
      <c r="D247" s="15"/>
      <c r="E247" s="15"/>
      <c r="F247" s="15"/>
      <c r="G247" s="90"/>
      <c r="H247" s="15"/>
      <c r="I247" s="15"/>
      <c r="J247" s="15"/>
      <c r="K247" s="15"/>
      <c r="L247" s="62" t="str">
        <f t="shared" si="1"/>
        <v/>
      </c>
    </row>
    <row r="248">
      <c r="A248" s="15"/>
      <c r="B248" s="15"/>
      <c r="C248" s="15"/>
      <c r="D248" s="15"/>
      <c r="E248" s="15"/>
      <c r="F248" s="15"/>
      <c r="G248" s="90"/>
      <c r="H248" s="15"/>
      <c r="I248" s="15"/>
      <c r="J248" s="15"/>
      <c r="K248" s="15"/>
      <c r="L248" s="62" t="str">
        <f t="shared" si="1"/>
        <v/>
      </c>
    </row>
    <row r="249">
      <c r="A249" s="15"/>
      <c r="B249" s="15"/>
      <c r="C249" s="15"/>
      <c r="D249" s="15"/>
      <c r="E249" s="15"/>
      <c r="F249" s="15"/>
      <c r="G249" s="90"/>
      <c r="H249" s="15"/>
      <c r="I249" s="15"/>
      <c r="J249" s="15"/>
      <c r="K249" s="15"/>
      <c r="L249" s="62" t="str">
        <f t="shared" si="1"/>
        <v/>
      </c>
    </row>
    <row r="250">
      <c r="A250" s="15"/>
      <c r="B250" s="15"/>
      <c r="C250" s="15"/>
      <c r="D250" s="15"/>
      <c r="E250" s="15"/>
      <c r="F250" s="15"/>
      <c r="G250" s="90"/>
      <c r="H250" s="15"/>
      <c r="I250" s="15"/>
      <c r="J250" s="15"/>
      <c r="K250" s="15"/>
      <c r="L250" s="62" t="str">
        <f t="shared" si="1"/>
        <v/>
      </c>
    </row>
    <row r="251">
      <c r="A251" s="15"/>
      <c r="B251" s="15"/>
      <c r="C251" s="15"/>
      <c r="D251" s="15"/>
      <c r="E251" s="15"/>
      <c r="F251" s="15"/>
      <c r="G251" s="90"/>
      <c r="H251" s="15"/>
      <c r="I251" s="15"/>
      <c r="J251" s="15"/>
      <c r="K251" s="15"/>
      <c r="L251" s="62" t="str">
        <f t="shared" si="1"/>
        <v/>
      </c>
    </row>
    <row r="252">
      <c r="A252" s="15"/>
      <c r="B252" s="15"/>
      <c r="C252" s="15"/>
      <c r="D252" s="15"/>
      <c r="E252" s="15"/>
      <c r="F252" s="15"/>
      <c r="G252" s="90"/>
      <c r="H252" s="15"/>
      <c r="I252" s="15"/>
      <c r="J252" s="15"/>
      <c r="K252" s="15"/>
      <c r="L252" s="62" t="str">
        <f t="shared" si="1"/>
        <v/>
      </c>
    </row>
    <row r="253">
      <c r="A253" s="15"/>
      <c r="B253" s="15"/>
      <c r="C253" s="15"/>
      <c r="D253" s="15"/>
      <c r="E253" s="15"/>
      <c r="F253" s="15"/>
      <c r="G253" s="90"/>
      <c r="H253" s="15"/>
      <c r="I253" s="15"/>
      <c r="J253" s="15"/>
      <c r="K253" s="15"/>
      <c r="L253" s="62" t="str">
        <f t="shared" si="1"/>
        <v/>
      </c>
    </row>
    <row r="254">
      <c r="A254" s="15"/>
      <c r="B254" s="15"/>
      <c r="C254" s="15"/>
      <c r="D254" s="15"/>
      <c r="E254" s="15"/>
      <c r="F254" s="15"/>
      <c r="G254" s="90"/>
      <c r="H254" s="15"/>
      <c r="I254" s="15"/>
      <c r="J254" s="15"/>
      <c r="K254" s="15"/>
      <c r="L254" s="62" t="str">
        <f t="shared" si="1"/>
        <v/>
      </c>
    </row>
    <row r="255">
      <c r="A255" s="15"/>
      <c r="B255" s="15"/>
      <c r="C255" s="15"/>
      <c r="D255" s="15"/>
      <c r="E255" s="15"/>
      <c r="F255" s="15"/>
      <c r="G255" s="90"/>
      <c r="H255" s="15"/>
      <c r="I255" s="15"/>
      <c r="J255" s="15"/>
      <c r="K255" s="15"/>
      <c r="L255" s="62" t="str">
        <f t="shared" si="1"/>
        <v/>
      </c>
    </row>
    <row r="256">
      <c r="A256" s="15"/>
      <c r="B256" s="15"/>
      <c r="C256" s="15"/>
      <c r="D256" s="15"/>
      <c r="E256" s="15"/>
      <c r="F256" s="15"/>
      <c r="G256" s="90"/>
      <c r="H256" s="15"/>
      <c r="I256" s="15"/>
      <c r="J256" s="15"/>
      <c r="K256" s="15"/>
      <c r="L256" s="62" t="str">
        <f t="shared" si="1"/>
        <v/>
      </c>
    </row>
    <row r="257">
      <c r="A257" s="15"/>
      <c r="B257" s="15"/>
      <c r="C257" s="15"/>
      <c r="D257" s="15"/>
      <c r="E257" s="15"/>
      <c r="F257" s="15"/>
      <c r="G257" s="90"/>
      <c r="H257" s="15"/>
      <c r="I257" s="15"/>
      <c r="J257" s="15"/>
      <c r="K257" s="15"/>
      <c r="L257" s="62" t="str">
        <f t="shared" si="1"/>
        <v/>
      </c>
    </row>
    <row r="258">
      <c r="A258" s="15"/>
      <c r="B258" s="15"/>
      <c r="C258" s="15"/>
      <c r="D258" s="15"/>
      <c r="E258" s="15"/>
      <c r="F258" s="15"/>
      <c r="G258" s="90"/>
      <c r="H258" s="15"/>
      <c r="I258" s="15"/>
      <c r="J258" s="15"/>
      <c r="K258" s="15"/>
      <c r="L258" s="62" t="str">
        <f t="shared" si="1"/>
        <v/>
      </c>
    </row>
    <row r="259">
      <c r="A259" s="15"/>
      <c r="B259" s="15"/>
      <c r="C259" s="15"/>
      <c r="D259" s="15"/>
      <c r="E259" s="15"/>
      <c r="F259" s="15"/>
      <c r="G259" s="90"/>
      <c r="H259" s="15"/>
      <c r="I259" s="15"/>
      <c r="J259" s="15"/>
      <c r="K259" s="15"/>
      <c r="L259" s="62" t="str">
        <f t="shared" si="1"/>
        <v/>
      </c>
    </row>
    <row r="260">
      <c r="A260" s="15"/>
      <c r="B260" s="15"/>
      <c r="C260" s="15"/>
      <c r="D260" s="15"/>
      <c r="E260" s="15"/>
      <c r="F260" s="15"/>
      <c r="G260" s="90"/>
      <c r="H260" s="15"/>
      <c r="I260" s="15"/>
      <c r="J260" s="15"/>
      <c r="K260" s="15"/>
      <c r="L260" s="62" t="str">
        <f t="shared" si="1"/>
        <v/>
      </c>
    </row>
    <row r="261">
      <c r="A261" s="15"/>
      <c r="B261" s="15"/>
      <c r="C261" s="15"/>
      <c r="D261" s="15"/>
      <c r="E261" s="15"/>
      <c r="F261" s="15"/>
      <c r="G261" s="90"/>
      <c r="H261" s="15"/>
      <c r="I261" s="15"/>
      <c r="J261" s="15"/>
      <c r="K261" s="15"/>
      <c r="L261" s="62" t="str">
        <f t="shared" si="1"/>
        <v/>
      </c>
    </row>
    <row r="262">
      <c r="A262" s="15"/>
      <c r="B262" s="15"/>
      <c r="C262" s="15"/>
      <c r="D262" s="15"/>
      <c r="E262" s="15"/>
      <c r="F262" s="15"/>
      <c r="G262" s="90"/>
      <c r="H262" s="15"/>
      <c r="I262" s="15"/>
      <c r="J262" s="15"/>
      <c r="K262" s="15"/>
      <c r="L262" s="62" t="str">
        <f t="shared" si="1"/>
        <v/>
      </c>
    </row>
    <row r="263">
      <c r="A263" s="15"/>
      <c r="B263" s="15"/>
      <c r="C263" s="15"/>
      <c r="D263" s="15"/>
      <c r="E263" s="15"/>
      <c r="F263" s="15"/>
      <c r="G263" s="90"/>
      <c r="H263" s="15"/>
      <c r="I263" s="15"/>
      <c r="J263" s="15"/>
      <c r="K263" s="15"/>
      <c r="L263" s="62" t="str">
        <f t="shared" si="1"/>
        <v/>
      </c>
    </row>
    <row r="264">
      <c r="A264" s="15"/>
      <c r="B264" s="15"/>
      <c r="C264" s="15"/>
      <c r="D264" s="15"/>
      <c r="E264" s="15"/>
      <c r="F264" s="15"/>
      <c r="G264" s="90"/>
      <c r="H264" s="15"/>
      <c r="I264" s="15"/>
      <c r="J264" s="15"/>
      <c r="K264" s="15"/>
      <c r="L264" s="62" t="str">
        <f t="shared" si="1"/>
        <v/>
      </c>
    </row>
    <row r="265">
      <c r="A265" s="15"/>
      <c r="B265" s="15"/>
      <c r="C265" s="15"/>
      <c r="D265" s="15"/>
      <c r="E265" s="15"/>
      <c r="F265" s="15"/>
      <c r="G265" s="90"/>
      <c r="H265" s="15"/>
      <c r="I265" s="15"/>
      <c r="J265" s="15"/>
      <c r="K265" s="15"/>
      <c r="L265" s="62" t="str">
        <f t="shared" si="1"/>
        <v/>
      </c>
    </row>
    <row r="266">
      <c r="A266" s="15"/>
      <c r="B266" s="15"/>
      <c r="C266" s="15"/>
      <c r="D266" s="15"/>
      <c r="E266" s="15"/>
      <c r="F266" s="15"/>
      <c r="G266" s="90"/>
      <c r="H266" s="15"/>
      <c r="I266" s="15"/>
      <c r="J266" s="15"/>
      <c r="K266" s="15"/>
      <c r="L266" s="62" t="str">
        <f t="shared" si="1"/>
        <v/>
      </c>
    </row>
    <row r="267">
      <c r="A267" s="15"/>
      <c r="B267" s="15"/>
      <c r="C267" s="15"/>
      <c r="D267" s="15"/>
      <c r="E267" s="15"/>
      <c r="F267" s="15"/>
      <c r="G267" s="90"/>
      <c r="H267" s="15"/>
      <c r="I267" s="15"/>
      <c r="J267" s="15"/>
      <c r="K267" s="15"/>
      <c r="L267" s="62" t="str">
        <f t="shared" si="1"/>
        <v/>
      </c>
    </row>
    <row r="268">
      <c r="A268" s="15"/>
      <c r="B268" s="15"/>
      <c r="C268" s="15"/>
      <c r="D268" s="15"/>
      <c r="E268" s="15"/>
      <c r="F268" s="15"/>
      <c r="G268" s="90"/>
      <c r="H268" s="15"/>
      <c r="I268" s="15"/>
      <c r="J268" s="15"/>
      <c r="K268" s="15"/>
      <c r="L268" s="62" t="str">
        <f t="shared" si="1"/>
        <v/>
      </c>
    </row>
    <row r="269">
      <c r="A269" s="15"/>
      <c r="B269" s="15"/>
      <c r="C269" s="15"/>
      <c r="D269" s="15"/>
      <c r="E269" s="15"/>
      <c r="F269" s="15"/>
      <c r="G269" s="90"/>
      <c r="H269" s="15"/>
      <c r="I269" s="15"/>
      <c r="J269" s="15"/>
      <c r="K269" s="15"/>
      <c r="L269" s="62" t="str">
        <f t="shared" si="1"/>
        <v/>
      </c>
    </row>
    <row r="270">
      <c r="A270" s="15"/>
      <c r="B270" s="15"/>
      <c r="C270" s="15"/>
      <c r="D270" s="15"/>
      <c r="E270" s="15"/>
      <c r="F270" s="15"/>
      <c r="G270" s="90"/>
      <c r="H270" s="15"/>
      <c r="I270" s="15"/>
      <c r="J270" s="15"/>
      <c r="K270" s="15"/>
      <c r="L270" s="62" t="str">
        <f t="shared" si="1"/>
        <v/>
      </c>
    </row>
    <row r="271">
      <c r="A271" s="15"/>
      <c r="B271" s="15"/>
      <c r="C271" s="15"/>
      <c r="D271" s="15"/>
      <c r="E271" s="15"/>
      <c r="F271" s="15"/>
      <c r="G271" s="90"/>
      <c r="H271" s="15"/>
      <c r="I271" s="15"/>
      <c r="J271" s="15"/>
      <c r="K271" s="15"/>
      <c r="L271" s="62" t="str">
        <f t="shared" si="1"/>
        <v/>
      </c>
    </row>
    <row r="272">
      <c r="A272" s="15"/>
      <c r="B272" s="15"/>
      <c r="C272" s="15"/>
      <c r="D272" s="15"/>
      <c r="E272" s="15"/>
      <c r="F272" s="15"/>
      <c r="G272" s="90"/>
      <c r="H272" s="15"/>
      <c r="I272" s="15"/>
      <c r="J272" s="15"/>
      <c r="K272" s="15"/>
      <c r="L272" s="62" t="str">
        <f t="shared" si="1"/>
        <v/>
      </c>
    </row>
    <row r="273">
      <c r="A273" s="15"/>
      <c r="B273" s="15"/>
      <c r="C273" s="15"/>
      <c r="D273" s="15"/>
      <c r="E273" s="15"/>
      <c r="F273" s="15"/>
      <c r="G273" s="90"/>
      <c r="H273" s="15"/>
      <c r="I273" s="15"/>
      <c r="J273" s="15"/>
      <c r="K273" s="15"/>
      <c r="L273" s="62" t="str">
        <f t="shared" si="1"/>
        <v/>
      </c>
    </row>
    <row r="274">
      <c r="A274" s="15"/>
      <c r="B274" s="15"/>
      <c r="C274" s="15"/>
      <c r="D274" s="15"/>
      <c r="E274" s="15"/>
      <c r="F274" s="15"/>
      <c r="G274" s="90"/>
      <c r="H274" s="15"/>
      <c r="I274" s="15"/>
      <c r="J274" s="15"/>
      <c r="K274" s="15"/>
      <c r="L274" s="62" t="str">
        <f t="shared" si="1"/>
        <v/>
      </c>
    </row>
    <row r="275">
      <c r="A275" s="15"/>
      <c r="B275" s="15"/>
      <c r="C275" s="15"/>
      <c r="D275" s="15"/>
      <c r="E275" s="15"/>
      <c r="F275" s="15"/>
      <c r="G275" s="90"/>
      <c r="H275" s="15"/>
      <c r="I275" s="15"/>
      <c r="J275" s="15"/>
      <c r="K275" s="15"/>
      <c r="L275" s="62" t="str">
        <f t="shared" si="1"/>
        <v/>
      </c>
    </row>
    <row r="276">
      <c r="A276" s="15"/>
      <c r="B276" s="15"/>
      <c r="C276" s="15"/>
      <c r="D276" s="15"/>
      <c r="E276" s="15"/>
      <c r="F276" s="15"/>
      <c r="G276" s="90"/>
      <c r="H276" s="15"/>
      <c r="I276" s="15"/>
      <c r="J276" s="15"/>
      <c r="K276" s="15"/>
      <c r="L276" s="62" t="str">
        <f t="shared" si="1"/>
        <v/>
      </c>
    </row>
    <row r="277">
      <c r="A277" s="15"/>
      <c r="B277" s="15"/>
      <c r="C277" s="15"/>
      <c r="D277" s="15"/>
      <c r="E277" s="15"/>
      <c r="F277" s="15"/>
      <c r="G277" s="90"/>
      <c r="H277" s="15"/>
      <c r="I277" s="15"/>
      <c r="J277" s="15"/>
      <c r="K277" s="15"/>
      <c r="L277" s="62" t="str">
        <f t="shared" si="1"/>
        <v/>
      </c>
    </row>
    <row r="278">
      <c r="A278" s="15"/>
      <c r="B278" s="15"/>
      <c r="C278" s="15"/>
      <c r="D278" s="15"/>
      <c r="E278" s="15"/>
      <c r="F278" s="15"/>
      <c r="G278" s="90"/>
      <c r="H278" s="15"/>
      <c r="I278" s="15"/>
      <c r="J278" s="15"/>
      <c r="K278" s="15"/>
      <c r="L278" s="62" t="str">
        <f t="shared" si="1"/>
        <v/>
      </c>
    </row>
    <row r="279">
      <c r="A279" s="15"/>
      <c r="B279" s="15"/>
      <c r="C279" s="15"/>
      <c r="D279" s="15"/>
      <c r="E279" s="15"/>
      <c r="F279" s="15"/>
      <c r="G279" s="90"/>
      <c r="H279" s="15"/>
      <c r="I279" s="15"/>
      <c r="J279" s="15"/>
      <c r="K279" s="15"/>
      <c r="L279" s="62" t="str">
        <f t="shared" si="1"/>
        <v/>
      </c>
    </row>
    <row r="280">
      <c r="A280" s="15"/>
      <c r="B280" s="15"/>
      <c r="C280" s="15"/>
      <c r="D280" s="15"/>
      <c r="E280" s="15"/>
      <c r="F280" s="15"/>
      <c r="G280" s="90"/>
      <c r="H280" s="15"/>
      <c r="I280" s="15"/>
      <c r="J280" s="15"/>
      <c r="K280" s="15"/>
      <c r="L280" s="62" t="str">
        <f t="shared" si="1"/>
        <v/>
      </c>
    </row>
    <row r="281">
      <c r="A281" s="15"/>
      <c r="B281" s="15"/>
      <c r="C281" s="15"/>
      <c r="D281" s="15"/>
      <c r="E281" s="15"/>
      <c r="F281" s="15"/>
      <c r="G281" s="90"/>
      <c r="H281" s="15"/>
      <c r="I281" s="15"/>
      <c r="J281" s="15"/>
      <c r="K281" s="15"/>
      <c r="L281" s="62" t="str">
        <f t="shared" si="1"/>
        <v/>
      </c>
    </row>
    <row r="282">
      <c r="A282" s="15"/>
      <c r="B282" s="15"/>
      <c r="C282" s="15"/>
      <c r="D282" s="15"/>
      <c r="E282" s="15"/>
      <c r="F282" s="15"/>
      <c r="G282" s="90"/>
      <c r="H282" s="15"/>
      <c r="I282" s="15"/>
      <c r="J282" s="15"/>
      <c r="K282" s="15"/>
      <c r="L282" s="62" t="str">
        <f t="shared" si="1"/>
        <v/>
      </c>
    </row>
    <row r="283">
      <c r="A283" s="15"/>
      <c r="B283" s="15"/>
      <c r="C283" s="15"/>
      <c r="D283" s="15"/>
      <c r="E283" s="15"/>
      <c r="F283" s="15"/>
      <c r="G283" s="90"/>
      <c r="H283" s="15"/>
      <c r="I283" s="15"/>
      <c r="J283" s="15"/>
      <c r="K283" s="15"/>
      <c r="L283" s="62" t="str">
        <f t="shared" si="1"/>
        <v/>
      </c>
    </row>
    <row r="284">
      <c r="A284" s="15"/>
      <c r="B284" s="15"/>
      <c r="C284" s="15"/>
      <c r="D284" s="15"/>
      <c r="E284" s="15"/>
      <c r="F284" s="15"/>
      <c r="G284" s="90"/>
      <c r="H284" s="15"/>
      <c r="I284" s="15"/>
      <c r="J284" s="15"/>
      <c r="K284" s="15"/>
      <c r="L284" s="62" t="str">
        <f t="shared" si="1"/>
        <v/>
      </c>
    </row>
    <row r="285">
      <c r="A285" s="15"/>
      <c r="B285" s="15"/>
      <c r="C285" s="15"/>
      <c r="D285" s="15"/>
      <c r="E285" s="15"/>
      <c r="F285" s="15"/>
      <c r="G285" s="90"/>
      <c r="H285" s="15"/>
      <c r="I285" s="15"/>
      <c r="J285" s="15"/>
      <c r="K285" s="15"/>
      <c r="L285" s="62" t="str">
        <f t="shared" si="1"/>
        <v/>
      </c>
    </row>
    <row r="286">
      <c r="A286" s="15"/>
      <c r="B286" s="15"/>
      <c r="C286" s="15"/>
      <c r="D286" s="15"/>
      <c r="E286" s="15"/>
      <c r="F286" s="15"/>
      <c r="G286" s="90"/>
      <c r="H286" s="15"/>
      <c r="I286" s="15"/>
      <c r="J286" s="15"/>
      <c r="K286" s="15"/>
      <c r="L286" s="62" t="str">
        <f t="shared" si="1"/>
        <v/>
      </c>
    </row>
    <row r="287">
      <c r="A287" s="15"/>
      <c r="B287" s="15"/>
      <c r="C287" s="15"/>
      <c r="D287" s="15"/>
      <c r="E287" s="15"/>
      <c r="F287" s="15"/>
      <c r="G287" s="90"/>
      <c r="H287" s="15"/>
      <c r="I287" s="15"/>
      <c r="J287" s="15"/>
      <c r="K287" s="15"/>
      <c r="L287" s="62" t="str">
        <f t="shared" si="1"/>
        <v/>
      </c>
    </row>
    <row r="288">
      <c r="A288" s="15"/>
      <c r="B288" s="15"/>
      <c r="C288" s="15"/>
      <c r="D288" s="15"/>
      <c r="E288" s="15"/>
      <c r="F288" s="15"/>
      <c r="G288" s="90"/>
      <c r="H288" s="15"/>
      <c r="I288" s="15"/>
      <c r="J288" s="15"/>
      <c r="K288" s="15"/>
      <c r="L288" s="62" t="str">
        <f t="shared" si="1"/>
        <v/>
      </c>
    </row>
    <row r="289">
      <c r="A289" s="15"/>
      <c r="B289" s="15"/>
      <c r="C289" s="15"/>
      <c r="D289" s="15"/>
      <c r="E289" s="15"/>
      <c r="F289" s="15"/>
      <c r="G289" s="90"/>
      <c r="H289" s="15"/>
      <c r="I289" s="15"/>
      <c r="J289" s="15"/>
      <c r="K289" s="15"/>
      <c r="L289" s="62" t="str">
        <f t="shared" si="1"/>
        <v/>
      </c>
    </row>
    <row r="290">
      <c r="A290" s="15"/>
      <c r="B290" s="15"/>
      <c r="C290" s="15"/>
      <c r="D290" s="15"/>
      <c r="E290" s="15"/>
      <c r="F290" s="15"/>
      <c r="G290" s="90"/>
      <c r="H290" s="15"/>
      <c r="I290" s="15"/>
      <c r="J290" s="15"/>
      <c r="K290" s="15"/>
      <c r="L290" s="62" t="str">
        <f t="shared" si="1"/>
        <v/>
      </c>
    </row>
    <row r="291">
      <c r="A291" s="15"/>
      <c r="B291" s="15"/>
      <c r="C291" s="15"/>
      <c r="D291" s="15"/>
      <c r="E291" s="15"/>
      <c r="F291" s="15"/>
      <c r="G291" s="90"/>
      <c r="H291" s="15"/>
      <c r="I291" s="15"/>
      <c r="J291" s="15"/>
      <c r="K291" s="15"/>
      <c r="L291" s="62" t="str">
        <f t="shared" si="1"/>
        <v/>
      </c>
    </row>
    <row r="292">
      <c r="A292" s="15"/>
      <c r="B292" s="15"/>
      <c r="C292" s="15"/>
      <c r="D292" s="15"/>
      <c r="E292" s="15"/>
      <c r="F292" s="15"/>
      <c r="G292" s="90"/>
      <c r="H292" s="15"/>
      <c r="I292" s="15"/>
      <c r="J292" s="15"/>
      <c r="K292" s="15"/>
      <c r="L292" s="62" t="str">
        <f t="shared" si="1"/>
        <v/>
      </c>
    </row>
    <row r="293">
      <c r="A293" s="15"/>
      <c r="B293" s="15"/>
      <c r="C293" s="15"/>
      <c r="D293" s="15"/>
      <c r="E293" s="15"/>
      <c r="F293" s="15"/>
      <c r="G293" s="90"/>
      <c r="H293" s="15"/>
      <c r="I293" s="15"/>
      <c r="J293" s="15"/>
      <c r="K293" s="15"/>
      <c r="L293" s="62" t="str">
        <f t="shared" si="1"/>
        <v/>
      </c>
    </row>
    <row r="294">
      <c r="A294" s="15"/>
      <c r="B294" s="15"/>
      <c r="C294" s="15"/>
      <c r="D294" s="15"/>
      <c r="E294" s="15"/>
      <c r="F294" s="15"/>
      <c r="G294" s="90"/>
      <c r="H294" s="15"/>
      <c r="I294" s="15"/>
      <c r="J294" s="15"/>
      <c r="K294" s="15"/>
      <c r="L294" s="62" t="str">
        <f t="shared" si="1"/>
        <v/>
      </c>
    </row>
    <row r="295">
      <c r="A295" s="15"/>
      <c r="B295" s="15"/>
      <c r="C295" s="15"/>
      <c r="D295" s="15"/>
      <c r="E295" s="15"/>
      <c r="F295" s="15"/>
      <c r="G295" s="90"/>
      <c r="H295" s="15"/>
      <c r="I295" s="15"/>
      <c r="J295" s="15"/>
      <c r="K295" s="15"/>
      <c r="L295" s="62" t="str">
        <f t="shared" si="1"/>
        <v/>
      </c>
    </row>
    <row r="296">
      <c r="A296" s="15"/>
      <c r="B296" s="15"/>
      <c r="C296" s="15"/>
      <c r="D296" s="15"/>
      <c r="E296" s="15"/>
      <c r="F296" s="15"/>
      <c r="G296" s="90"/>
      <c r="H296" s="15"/>
      <c r="I296" s="15"/>
      <c r="J296" s="15"/>
      <c r="K296" s="15"/>
      <c r="L296" s="62" t="str">
        <f t="shared" si="1"/>
        <v/>
      </c>
    </row>
    <row r="297">
      <c r="A297" s="15"/>
      <c r="B297" s="15"/>
      <c r="C297" s="15"/>
      <c r="D297" s="15"/>
      <c r="E297" s="15"/>
      <c r="F297" s="15"/>
      <c r="G297" s="90"/>
      <c r="H297" s="15"/>
      <c r="I297" s="15"/>
      <c r="J297" s="15"/>
      <c r="K297" s="15"/>
      <c r="L297" s="62" t="str">
        <f t="shared" si="1"/>
        <v/>
      </c>
    </row>
    <row r="298">
      <c r="A298" s="15"/>
      <c r="B298" s="15"/>
      <c r="C298" s="15"/>
      <c r="D298" s="15"/>
      <c r="E298" s="15"/>
      <c r="F298" s="15"/>
      <c r="G298" s="90"/>
      <c r="H298" s="15"/>
      <c r="I298" s="15"/>
      <c r="J298" s="15"/>
      <c r="K298" s="15"/>
      <c r="L298" s="62" t="str">
        <f t="shared" si="1"/>
        <v/>
      </c>
    </row>
    <row r="299">
      <c r="A299" s="15"/>
      <c r="B299" s="15"/>
      <c r="C299" s="15"/>
      <c r="D299" s="15"/>
      <c r="E299" s="15"/>
      <c r="F299" s="15"/>
      <c r="G299" s="90"/>
      <c r="H299" s="15"/>
      <c r="I299" s="15"/>
      <c r="J299" s="15"/>
      <c r="K299" s="15"/>
      <c r="L299" s="62" t="str">
        <f t="shared" si="1"/>
        <v/>
      </c>
    </row>
    <row r="300">
      <c r="A300" s="15"/>
      <c r="B300" s="15"/>
      <c r="C300" s="15"/>
      <c r="D300" s="15"/>
      <c r="E300" s="15"/>
      <c r="F300" s="15"/>
      <c r="G300" s="90"/>
      <c r="H300" s="15"/>
      <c r="I300" s="15"/>
      <c r="J300" s="15"/>
      <c r="K300" s="15"/>
      <c r="L300" s="62" t="str">
        <f t="shared" si="1"/>
        <v/>
      </c>
    </row>
    <row r="301">
      <c r="A301" s="15"/>
      <c r="B301" s="15"/>
      <c r="C301" s="15"/>
      <c r="D301" s="15"/>
      <c r="E301" s="15"/>
      <c r="F301" s="15"/>
      <c r="G301" s="90"/>
      <c r="H301" s="15"/>
      <c r="I301" s="15"/>
      <c r="J301" s="15"/>
      <c r="K301" s="15"/>
      <c r="L301" s="62" t="str">
        <f t="shared" si="1"/>
        <v/>
      </c>
    </row>
    <row r="302">
      <c r="A302" s="15"/>
      <c r="B302" s="15"/>
      <c r="C302" s="15"/>
      <c r="D302" s="15"/>
      <c r="E302" s="15"/>
      <c r="F302" s="15"/>
      <c r="G302" s="90"/>
      <c r="H302" s="15"/>
      <c r="I302" s="15"/>
      <c r="J302" s="15"/>
      <c r="K302" s="15"/>
      <c r="L302" s="62" t="str">
        <f t="shared" si="1"/>
        <v/>
      </c>
    </row>
    <row r="303">
      <c r="A303" s="15"/>
      <c r="B303" s="15"/>
      <c r="C303" s="15"/>
      <c r="D303" s="15"/>
      <c r="E303" s="15"/>
      <c r="F303" s="15"/>
      <c r="G303" s="90"/>
      <c r="H303" s="15"/>
      <c r="I303" s="15"/>
      <c r="J303" s="15"/>
      <c r="K303" s="15"/>
      <c r="L303" s="62" t="str">
        <f t="shared" si="1"/>
        <v/>
      </c>
    </row>
    <row r="304">
      <c r="A304" s="15"/>
      <c r="B304" s="15"/>
      <c r="C304" s="15"/>
      <c r="D304" s="15"/>
      <c r="E304" s="15"/>
      <c r="F304" s="15"/>
      <c r="G304" s="90"/>
      <c r="H304" s="15"/>
      <c r="I304" s="15"/>
      <c r="J304" s="15"/>
      <c r="K304" s="15"/>
      <c r="L304" s="62" t="str">
        <f t="shared" si="1"/>
        <v/>
      </c>
    </row>
    <row r="305">
      <c r="A305" s="15"/>
      <c r="B305" s="15"/>
      <c r="C305" s="15"/>
      <c r="D305" s="15"/>
      <c r="E305" s="15"/>
      <c r="F305" s="15"/>
      <c r="G305" s="90"/>
      <c r="H305" s="15"/>
      <c r="I305" s="15"/>
      <c r="J305" s="15"/>
      <c r="K305" s="15"/>
      <c r="L305" s="62" t="str">
        <f t="shared" si="1"/>
        <v/>
      </c>
    </row>
    <row r="306">
      <c r="A306" s="15"/>
      <c r="B306" s="15"/>
      <c r="C306" s="15"/>
      <c r="D306" s="15"/>
      <c r="E306" s="15"/>
      <c r="F306" s="15"/>
      <c r="G306" s="90"/>
      <c r="H306" s="15"/>
      <c r="I306" s="15"/>
      <c r="J306" s="15"/>
      <c r="K306" s="15"/>
      <c r="L306" s="62" t="str">
        <f t="shared" si="1"/>
        <v/>
      </c>
    </row>
    <row r="307">
      <c r="A307" s="15"/>
      <c r="B307" s="15"/>
      <c r="C307" s="15"/>
      <c r="D307" s="15"/>
      <c r="E307" s="15"/>
      <c r="F307" s="15"/>
      <c r="G307" s="90"/>
      <c r="H307" s="15"/>
      <c r="I307" s="15"/>
      <c r="J307" s="15"/>
      <c r="K307" s="15"/>
      <c r="L307" s="62" t="str">
        <f t="shared" si="1"/>
        <v/>
      </c>
    </row>
    <row r="308">
      <c r="A308" s="15"/>
      <c r="B308" s="15"/>
      <c r="C308" s="15"/>
      <c r="D308" s="15"/>
      <c r="E308" s="15"/>
      <c r="F308" s="15"/>
      <c r="G308" s="90"/>
      <c r="H308" s="15"/>
      <c r="I308" s="15"/>
      <c r="J308" s="15"/>
      <c r="K308" s="15"/>
      <c r="L308" s="62" t="str">
        <f t="shared" si="1"/>
        <v/>
      </c>
    </row>
    <row r="309">
      <c r="A309" s="15"/>
      <c r="B309" s="15"/>
      <c r="C309" s="15"/>
      <c r="D309" s="15"/>
      <c r="E309" s="15"/>
      <c r="F309" s="15"/>
      <c r="G309" s="90"/>
      <c r="H309" s="15"/>
      <c r="I309" s="15"/>
      <c r="J309" s="15"/>
      <c r="K309" s="15"/>
      <c r="L309" s="62" t="str">
        <f t="shared" si="1"/>
        <v/>
      </c>
    </row>
    <row r="310">
      <c r="A310" s="15"/>
      <c r="B310" s="15"/>
      <c r="C310" s="15"/>
      <c r="D310" s="15"/>
      <c r="E310" s="15"/>
      <c r="F310" s="15"/>
      <c r="G310" s="90"/>
      <c r="H310" s="15"/>
      <c r="I310" s="15"/>
      <c r="J310" s="15"/>
      <c r="K310" s="15"/>
      <c r="L310" s="62" t="str">
        <f t="shared" si="1"/>
        <v/>
      </c>
    </row>
    <row r="311">
      <c r="A311" s="15"/>
      <c r="B311" s="15"/>
      <c r="C311" s="15"/>
      <c r="D311" s="15"/>
      <c r="E311" s="15"/>
      <c r="F311" s="15"/>
      <c r="G311" s="90"/>
      <c r="H311" s="15"/>
      <c r="I311" s="15"/>
      <c r="J311" s="15"/>
      <c r="K311" s="15"/>
      <c r="L311" s="62" t="str">
        <f t="shared" si="1"/>
        <v/>
      </c>
    </row>
    <row r="312">
      <c r="A312" s="15"/>
      <c r="B312" s="15"/>
      <c r="C312" s="15"/>
      <c r="D312" s="15"/>
      <c r="E312" s="15"/>
      <c r="F312" s="15"/>
      <c r="G312" s="90"/>
      <c r="H312" s="15"/>
      <c r="I312" s="15"/>
      <c r="J312" s="15"/>
      <c r="K312" s="15"/>
      <c r="L312" s="62" t="str">
        <f t="shared" si="1"/>
        <v/>
      </c>
    </row>
    <row r="313">
      <c r="A313" s="15"/>
      <c r="B313" s="15"/>
      <c r="C313" s="15"/>
      <c r="D313" s="15"/>
      <c r="E313" s="15"/>
      <c r="F313" s="15"/>
      <c r="G313" s="90"/>
      <c r="H313" s="15"/>
      <c r="I313" s="15"/>
      <c r="J313" s="15"/>
      <c r="K313" s="15"/>
      <c r="L313" s="62" t="str">
        <f t="shared" si="1"/>
        <v/>
      </c>
    </row>
    <row r="314">
      <c r="A314" s="15"/>
      <c r="B314" s="15"/>
      <c r="C314" s="15"/>
      <c r="D314" s="15"/>
      <c r="E314" s="15"/>
      <c r="F314" s="15"/>
      <c r="G314" s="90"/>
      <c r="H314" s="15"/>
      <c r="I314" s="15"/>
      <c r="J314" s="15"/>
      <c r="K314" s="15"/>
      <c r="L314" s="62" t="str">
        <f t="shared" si="1"/>
        <v/>
      </c>
    </row>
    <row r="315">
      <c r="A315" s="15"/>
      <c r="B315" s="15"/>
      <c r="C315" s="15"/>
      <c r="D315" s="15"/>
      <c r="E315" s="15"/>
      <c r="F315" s="15"/>
      <c r="G315" s="90"/>
      <c r="H315" s="15"/>
      <c r="I315" s="15"/>
      <c r="J315" s="15"/>
      <c r="K315" s="15"/>
      <c r="L315" s="62" t="str">
        <f t="shared" si="1"/>
        <v/>
      </c>
    </row>
    <row r="316">
      <c r="A316" s="15"/>
      <c r="B316" s="15"/>
      <c r="C316" s="15"/>
      <c r="D316" s="15"/>
      <c r="E316" s="15"/>
      <c r="F316" s="15"/>
      <c r="G316" s="90"/>
      <c r="H316" s="15"/>
      <c r="I316" s="15"/>
      <c r="J316" s="15"/>
      <c r="K316" s="15"/>
      <c r="L316" s="62" t="str">
        <f t="shared" si="1"/>
        <v/>
      </c>
    </row>
    <row r="317">
      <c r="A317" s="15"/>
      <c r="B317" s="15"/>
      <c r="C317" s="15"/>
      <c r="D317" s="15"/>
      <c r="E317" s="15"/>
      <c r="F317" s="15"/>
      <c r="G317" s="90"/>
      <c r="H317" s="15"/>
      <c r="I317" s="15"/>
      <c r="J317" s="15"/>
      <c r="K317" s="15"/>
      <c r="L317" s="62" t="str">
        <f t="shared" si="1"/>
        <v/>
      </c>
    </row>
    <row r="318">
      <c r="A318" s="15"/>
      <c r="B318" s="15"/>
      <c r="C318" s="15"/>
      <c r="D318" s="15"/>
      <c r="E318" s="15"/>
      <c r="F318" s="15"/>
      <c r="G318" s="90"/>
      <c r="H318" s="15"/>
      <c r="I318" s="15"/>
      <c r="J318" s="15"/>
      <c r="K318" s="15"/>
      <c r="L318" s="62" t="str">
        <f t="shared" si="1"/>
        <v/>
      </c>
    </row>
    <row r="319">
      <c r="A319" s="15"/>
      <c r="B319" s="15"/>
      <c r="C319" s="15"/>
      <c r="D319" s="15"/>
      <c r="E319" s="15"/>
      <c r="F319" s="15"/>
      <c r="G319" s="90"/>
      <c r="H319" s="15"/>
      <c r="I319" s="15"/>
      <c r="J319" s="15"/>
      <c r="K319" s="15"/>
      <c r="L319" s="62" t="str">
        <f t="shared" si="1"/>
        <v/>
      </c>
    </row>
    <row r="320">
      <c r="A320" s="15"/>
      <c r="B320" s="15"/>
      <c r="C320" s="15"/>
      <c r="D320" s="15"/>
      <c r="E320" s="15"/>
      <c r="F320" s="15"/>
      <c r="G320" s="90"/>
      <c r="H320" s="15"/>
      <c r="I320" s="15"/>
      <c r="J320" s="15"/>
      <c r="K320" s="15"/>
      <c r="L320" s="62" t="str">
        <f t="shared" si="1"/>
        <v/>
      </c>
    </row>
    <row r="321">
      <c r="A321" s="15"/>
      <c r="B321" s="15"/>
      <c r="C321" s="15"/>
      <c r="D321" s="15"/>
      <c r="E321" s="15"/>
      <c r="F321" s="15"/>
      <c r="G321" s="90"/>
      <c r="H321" s="15"/>
      <c r="I321" s="15"/>
      <c r="J321" s="15"/>
      <c r="K321" s="15"/>
      <c r="L321" s="62" t="str">
        <f t="shared" si="1"/>
        <v/>
      </c>
    </row>
    <row r="322">
      <c r="A322" s="15"/>
      <c r="B322" s="15"/>
      <c r="C322" s="15"/>
      <c r="D322" s="15"/>
      <c r="E322" s="15"/>
      <c r="F322" s="15"/>
      <c r="G322" s="90"/>
      <c r="H322" s="15"/>
      <c r="I322" s="15"/>
      <c r="J322" s="15"/>
      <c r="K322" s="15"/>
      <c r="L322" s="62" t="str">
        <f t="shared" si="1"/>
        <v/>
      </c>
    </row>
    <row r="323">
      <c r="A323" s="15"/>
      <c r="B323" s="15"/>
      <c r="C323" s="15"/>
      <c r="D323" s="15"/>
      <c r="E323" s="15"/>
      <c r="F323" s="15"/>
      <c r="G323" s="90"/>
      <c r="H323" s="15"/>
      <c r="I323" s="15"/>
      <c r="J323" s="15"/>
      <c r="K323" s="15"/>
      <c r="L323" s="62" t="str">
        <f t="shared" si="1"/>
        <v/>
      </c>
    </row>
    <row r="324">
      <c r="A324" s="15"/>
      <c r="B324" s="15"/>
      <c r="C324" s="15"/>
      <c r="D324" s="15"/>
      <c r="E324" s="15"/>
      <c r="F324" s="15"/>
      <c r="G324" s="90"/>
      <c r="H324" s="15"/>
      <c r="I324" s="15"/>
      <c r="J324" s="15"/>
      <c r="K324" s="15"/>
      <c r="L324" s="62" t="str">
        <f t="shared" si="1"/>
        <v/>
      </c>
    </row>
    <row r="325">
      <c r="A325" s="15"/>
      <c r="B325" s="15"/>
      <c r="C325" s="15"/>
      <c r="D325" s="15"/>
      <c r="E325" s="15"/>
      <c r="F325" s="15"/>
      <c r="G325" s="90"/>
      <c r="H325" s="15"/>
      <c r="I325" s="15"/>
      <c r="J325" s="15"/>
      <c r="K325" s="15"/>
      <c r="L325" s="62" t="str">
        <f t="shared" si="1"/>
        <v/>
      </c>
    </row>
    <row r="326">
      <c r="A326" s="15"/>
      <c r="B326" s="15"/>
      <c r="C326" s="15"/>
      <c r="D326" s="15"/>
      <c r="E326" s="15"/>
      <c r="F326" s="15"/>
      <c r="G326" s="90"/>
      <c r="H326" s="15"/>
      <c r="I326" s="15"/>
      <c r="J326" s="15"/>
      <c r="K326" s="15"/>
      <c r="L326" s="62" t="str">
        <f t="shared" si="1"/>
        <v/>
      </c>
    </row>
    <row r="327">
      <c r="A327" s="15"/>
      <c r="B327" s="15"/>
      <c r="C327" s="15"/>
      <c r="D327" s="15"/>
      <c r="E327" s="15"/>
      <c r="F327" s="15"/>
      <c r="G327" s="90"/>
      <c r="H327" s="15"/>
      <c r="I327" s="15"/>
      <c r="J327" s="15"/>
      <c r="K327" s="15"/>
      <c r="L327" s="62" t="str">
        <f t="shared" si="1"/>
        <v/>
      </c>
    </row>
    <row r="328">
      <c r="A328" s="15"/>
      <c r="B328" s="15"/>
      <c r="C328" s="15"/>
      <c r="D328" s="15"/>
      <c r="E328" s="15"/>
      <c r="F328" s="15"/>
      <c r="G328" s="90"/>
      <c r="H328" s="15"/>
      <c r="I328" s="15"/>
      <c r="J328" s="15"/>
      <c r="K328" s="15"/>
      <c r="L328" s="62" t="str">
        <f t="shared" si="1"/>
        <v/>
      </c>
    </row>
    <row r="329">
      <c r="A329" s="15"/>
      <c r="B329" s="15"/>
      <c r="C329" s="15"/>
      <c r="D329" s="15"/>
      <c r="E329" s="15"/>
      <c r="F329" s="15"/>
      <c r="G329" s="90"/>
      <c r="H329" s="15"/>
      <c r="I329" s="15"/>
      <c r="J329" s="15"/>
      <c r="K329" s="15"/>
      <c r="L329" s="62" t="str">
        <f t="shared" si="1"/>
        <v/>
      </c>
    </row>
    <row r="330">
      <c r="A330" s="15"/>
      <c r="B330" s="15"/>
      <c r="C330" s="15"/>
      <c r="D330" s="15"/>
      <c r="E330" s="15"/>
      <c r="F330" s="15"/>
      <c r="G330" s="90"/>
      <c r="H330" s="15"/>
      <c r="I330" s="15"/>
      <c r="J330" s="15"/>
      <c r="K330" s="15"/>
      <c r="L330" s="62" t="str">
        <f t="shared" si="1"/>
        <v/>
      </c>
    </row>
    <row r="331">
      <c r="A331" s="15"/>
      <c r="B331" s="15"/>
      <c r="C331" s="15"/>
      <c r="D331" s="15"/>
      <c r="E331" s="15"/>
      <c r="F331" s="15"/>
      <c r="G331" s="90"/>
      <c r="H331" s="15"/>
      <c r="I331" s="15"/>
      <c r="J331" s="15"/>
      <c r="K331" s="15"/>
      <c r="L331" s="62" t="str">
        <f t="shared" si="1"/>
        <v/>
      </c>
    </row>
    <row r="332">
      <c r="A332" s="15"/>
      <c r="B332" s="15"/>
      <c r="C332" s="15"/>
      <c r="D332" s="15"/>
      <c r="E332" s="15"/>
      <c r="F332" s="15"/>
      <c r="G332" s="90"/>
      <c r="H332" s="15"/>
      <c r="I332" s="15"/>
      <c r="J332" s="15"/>
      <c r="K332" s="15"/>
      <c r="L332" s="62" t="str">
        <f t="shared" si="1"/>
        <v/>
      </c>
    </row>
    <row r="333">
      <c r="A333" s="15"/>
      <c r="B333" s="15"/>
      <c r="C333" s="15"/>
      <c r="D333" s="15"/>
      <c r="E333" s="15"/>
      <c r="F333" s="15"/>
      <c r="G333" s="90"/>
      <c r="H333" s="15"/>
      <c r="I333" s="15"/>
      <c r="J333" s="15"/>
      <c r="K333" s="15"/>
      <c r="L333" s="62" t="str">
        <f t="shared" si="1"/>
        <v/>
      </c>
    </row>
    <row r="334">
      <c r="A334" s="15"/>
      <c r="B334" s="15"/>
      <c r="C334" s="15"/>
      <c r="D334" s="15"/>
      <c r="E334" s="15"/>
      <c r="F334" s="15"/>
      <c r="G334" s="90"/>
      <c r="H334" s="15"/>
      <c r="I334" s="15"/>
      <c r="J334" s="15"/>
      <c r="K334" s="15"/>
      <c r="L334" s="62" t="str">
        <f t="shared" si="1"/>
        <v/>
      </c>
    </row>
    <row r="335">
      <c r="A335" s="15"/>
      <c r="B335" s="15"/>
      <c r="C335" s="15"/>
      <c r="D335" s="15"/>
      <c r="E335" s="15"/>
      <c r="F335" s="15"/>
      <c r="G335" s="90"/>
      <c r="H335" s="15"/>
      <c r="I335" s="15"/>
      <c r="J335" s="15"/>
      <c r="K335" s="15"/>
      <c r="L335" s="62" t="str">
        <f t="shared" si="1"/>
        <v/>
      </c>
    </row>
    <row r="336">
      <c r="A336" s="15"/>
      <c r="B336" s="15"/>
      <c r="C336" s="15"/>
      <c r="D336" s="15"/>
      <c r="E336" s="15"/>
      <c r="F336" s="15"/>
      <c r="G336" s="90"/>
      <c r="H336" s="15"/>
      <c r="I336" s="15"/>
      <c r="J336" s="15"/>
      <c r="K336" s="15"/>
      <c r="L336" s="62" t="str">
        <f t="shared" si="1"/>
        <v/>
      </c>
    </row>
    <row r="337">
      <c r="A337" s="15"/>
      <c r="B337" s="15"/>
      <c r="C337" s="15"/>
      <c r="D337" s="15"/>
      <c r="E337" s="15"/>
      <c r="F337" s="15"/>
      <c r="G337" s="90"/>
      <c r="H337" s="15"/>
      <c r="I337" s="15"/>
      <c r="J337" s="15"/>
      <c r="K337" s="15"/>
      <c r="L337" s="62" t="str">
        <f t="shared" si="1"/>
        <v/>
      </c>
    </row>
    <row r="338">
      <c r="A338" s="15"/>
      <c r="B338" s="15"/>
      <c r="C338" s="15"/>
      <c r="D338" s="15"/>
      <c r="E338" s="15"/>
      <c r="F338" s="15"/>
      <c r="G338" s="90"/>
      <c r="H338" s="15"/>
      <c r="I338" s="15"/>
      <c r="J338" s="15"/>
      <c r="K338" s="15"/>
      <c r="L338" s="62" t="str">
        <f t="shared" si="1"/>
        <v/>
      </c>
    </row>
    <row r="339">
      <c r="A339" s="15"/>
      <c r="B339" s="15"/>
      <c r="C339" s="15"/>
      <c r="D339" s="15"/>
      <c r="E339" s="15"/>
      <c r="F339" s="15"/>
      <c r="G339" s="90"/>
      <c r="H339" s="15"/>
      <c r="I339" s="15"/>
      <c r="J339" s="15"/>
      <c r="K339" s="15"/>
      <c r="L339" s="62" t="str">
        <f t="shared" si="1"/>
        <v/>
      </c>
    </row>
    <row r="340">
      <c r="A340" s="15"/>
      <c r="B340" s="15"/>
      <c r="C340" s="15"/>
      <c r="D340" s="15"/>
      <c r="E340" s="15"/>
      <c r="F340" s="15"/>
      <c r="G340" s="90"/>
      <c r="H340" s="15"/>
      <c r="I340" s="15"/>
      <c r="J340" s="15"/>
      <c r="K340" s="15"/>
      <c r="L340" s="62" t="str">
        <f t="shared" si="1"/>
        <v/>
      </c>
    </row>
    <row r="341">
      <c r="A341" s="15"/>
      <c r="B341" s="15"/>
      <c r="C341" s="15"/>
      <c r="D341" s="15"/>
      <c r="E341" s="15"/>
      <c r="F341" s="15"/>
      <c r="G341" s="90"/>
      <c r="H341" s="15"/>
      <c r="I341" s="15"/>
      <c r="J341" s="15"/>
      <c r="K341" s="15"/>
      <c r="L341" s="62" t="str">
        <f t="shared" si="1"/>
        <v/>
      </c>
    </row>
    <row r="342">
      <c r="A342" s="15"/>
      <c r="B342" s="15"/>
      <c r="C342" s="15"/>
      <c r="D342" s="15"/>
      <c r="E342" s="15"/>
      <c r="F342" s="15"/>
      <c r="G342" s="90"/>
      <c r="H342" s="15"/>
      <c r="I342" s="15"/>
      <c r="J342" s="15"/>
      <c r="K342" s="15"/>
      <c r="L342" s="62" t="str">
        <f t="shared" si="1"/>
        <v/>
      </c>
    </row>
    <row r="343">
      <c r="A343" s="15"/>
      <c r="B343" s="15"/>
      <c r="C343" s="15"/>
      <c r="D343" s="15"/>
      <c r="E343" s="15"/>
      <c r="F343" s="15"/>
      <c r="G343" s="90"/>
      <c r="H343" s="15"/>
      <c r="I343" s="15"/>
      <c r="J343" s="15"/>
      <c r="K343" s="15"/>
      <c r="L343" s="62" t="str">
        <f t="shared" si="1"/>
        <v/>
      </c>
    </row>
    <row r="344">
      <c r="A344" s="15"/>
      <c r="B344" s="15"/>
      <c r="C344" s="15"/>
      <c r="D344" s="15"/>
      <c r="E344" s="15"/>
      <c r="F344" s="15"/>
      <c r="G344" s="90"/>
      <c r="H344" s="15"/>
      <c r="I344" s="15"/>
      <c r="J344" s="15"/>
      <c r="K344" s="15"/>
      <c r="L344" s="62" t="str">
        <f t="shared" si="1"/>
        <v/>
      </c>
    </row>
    <row r="345">
      <c r="A345" s="15"/>
      <c r="B345" s="15"/>
      <c r="C345" s="15"/>
      <c r="D345" s="15"/>
      <c r="E345" s="15"/>
      <c r="F345" s="15"/>
      <c r="G345" s="90"/>
      <c r="H345" s="15"/>
      <c r="I345" s="15"/>
      <c r="J345" s="15"/>
      <c r="K345" s="15"/>
      <c r="L345" s="62" t="str">
        <f t="shared" si="1"/>
        <v/>
      </c>
    </row>
    <row r="346">
      <c r="A346" s="15"/>
      <c r="B346" s="15"/>
      <c r="C346" s="15"/>
      <c r="D346" s="15"/>
      <c r="E346" s="15"/>
      <c r="F346" s="15"/>
      <c r="G346" s="90"/>
      <c r="H346" s="15"/>
      <c r="I346" s="15"/>
      <c r="J346" s="15"/>
      <c r="K346" s="15"/>
      <c r="L346" s="62" t="str">
        <f t="shared" si="1"/>
        <v/>
      </c>
    </row>
    <row r="347">
      <c r="A347" s="15"/>
      <c r="B347" s="15"/>
      <c r="C347" s="15"/>
      <c r="D347" s="15"/>
      <c r="E347" s="15"/>
      <c r="F347" s="15"/>
      <c r="G347" s="90"/>
      <c r="H347" s="15"/>
      <c r="I347" s="15"/>
      <c r="J347" s="15"/>
      <c r="K347" s="15"/>
      <c r="L347" s="62" t="str">
        <f t="shared" si="1"/>
        <v/>
      </c>
    </row>
    <row r="348">
      <c r="A348" s="15"/>
      <c r="B348" s="15"/>
      <c r="C348" s="15"/>
      <c r="D348" s="15"/>
      <c r="E348" s="15"/>
      <c r="F348" s="15"/>
      <c r="G348" s="90"/>
      <c r="H348" s="15"/>
      <c r="I348" s="15"/>
      <c r="J348" s="15"/>
      <c r="K348" s="15"/>
      <c r="L348" s="62" t="str">
        <f t="shared" si="1"/>
        <v/>
      </c>
    </row>
    <row r="349">
      <c r="A349" s="15"/>
      <c r="B349" s="15"/>
      <c r="C349" s="15"/>
      <c r="D349" s="15"/>
      <c r="E349" s="15"/>
      <c r="F349" s="15"/>
      <c r="G349" s="90"/>
      <c r="H349" s="15"/>
      <c r="I349" s="15"/>
      <c r="J349" s="15"/>
      <c r="K349" s="15"/>
      <c r="L349" s="62" t="str">
        <f t="shared" si="1"/>
        <v/>
      </c>
    </row>
    <row r="350">
      <c r="A350" s="15"/>
      <c r="B350" s="15"/>
      <c r="C350" s="15"/>
      <c r="D350" s="15"/>
      <c r="E350" s="15"/>
      <c r="F350" s="15"/>
      <c r="G350" s="90"/>
      <c r="H350" s="15"/>
      <c r="I350" s="15"/>
      <c r="J350" s="15"/>
      <c r="K350" s="15"/>
      <c r="L350" s="62" t="str">
        <f t="shared" si="1"/>
        <v/>
      </c>
    </row>
    <row r="351">
      <c r="A351" s="15"/>
      <c r="B351" s="15"/>
      <c r="C351" s="15"/>
      <c r="D351" s="15"/>
      <c r="E351" s="15"/>
      <c r="F351" s="15"/>
      <c r="G351" s="90"/>
      <c r="H351" s="15"/>
      <c r="I351" s="15"/>
      <c r="J351" s="15"/>
      <c r="K351" s="15"/>
      <c r="L351" s="62" t="str">
        <f t="shared" si="1"/>
        <v/>
      </c>
    </row>
    <row r="352">
      <c r="A352" s="15"/>
      <c r="B352" s="15"/>
      <c r="C352" s="15"/>
      <c r="D352" s="15"/>
      <c r="E352" s="15"/>
      <c r="F352" s="15"/>
      <c r="G352" s="90"/>
      <c r="H352" s="15"/>
      <c r="I352" s="15"/>
      <c r="J352" s="15"/>
      <c r="K352" s="15"/>
      <c r="L352" s="62" t="str">
        <f t="shared" si="1"/>
        <v/>
      </c>
    </row>
    <row r="353">
      <c r="A353" s="15"/>
      <c r="B353" s="15"/>
      <c r="C353" s="15"/>
      <c r="D353" s="15"/>
      <c r="E353" s="15"/>
      <c r="F353" s="15"/>
      <c r="G353" s="90"/>
      <c r="H353" s="15"/>
      <c r="I353" s="15"/>
      <c r="J353" s="15"/>
      <c r="K353" s="15"/>
      <c r="L353" s="62" t="str">
        <f t="shared" si="1"/>
        <v/>
      </c>
    </row>
    <row r="354">
      <c r="A354" s="15"/>
      <c r="B354" s="15"/>
      <c r="C354" s="15"/>
      <c r="D354" s="15"/>
      <c r="E354" s="15"/>
      <c r="F354" s="15"/>
      <c r="G354" s="90"/>
      <c r="H354" s="15"/>
      <c r="I354" s="15"/>
      <c r="J354" s="15"/>
      <c r="K354" s="15"/>
      <c r="L354" s="62" t="str">
        <f t="shared" si="1"/>
        <v/>
      </c>
    </row>
    <row r="355">
      <c r="A355" s="15"/>
      <c r="B355" s="15"/>
      <c r="C355" s="15"/>
      <c r="D355" s="15"/>
      <c r="E355" s="15"/>
      <c r="F355" s="15"/>
      <c r="G355" s="90"/>
      <c r="H355" s="15"/>
      <c r="I355" s="15"/>
      <c r="J355" s="15"/>
      <c r="K355" s="15"/>
      <c r="L355" s="62" t="str">
        <f t="shared" si="1"/>
        <v/>
      </c>
    </row>
    <row r="356">
      <c r="A356" s="15"/>
      <c r="B356" s="15"/>
      <c r="C356" s="15"/>
      <c r="D356" s="15"/>
      <c r="E356" s="15"/>
      <c r="F356" s="15"/>
      <c r="G356" s="90"/>
      <c r="H356" s="15"/>
      <c r="I356" s="15"/>
      <c r="J356" s="15"/>
      <c r="K356" s="15"/>
      <c r="L356" s="62" t="str">
        <f t="shared" si="1"/>
        <v/>
      </c>
    </row>
    <row r="357">
      <c r="A357" s="15"/>
      <c r="B357" s="15"/>
      <c r="C357" s="15"/>
      <c r="D357" s="15"/>
      <c r="E357" s="15"/>
      <c r="F357" s="15"/>
      <c r="G357" s="90"/>
      <c r="H357" s="15"/>
      <c r="I357" s="15"/>
      <c r="J357" s="15"/>
      <c r="K357" s="15"/>
      <c r="L357" s="62" t="str">
        <f t="shared" si="1"/>
        <v/>
      </c>
    </row>
    <row r="358">
      <c r="A358" s="15"/>
      <c r="B358" s="15"/>
      <c r="C358" s="15"/>
      <c r="D358" s="15"/>
      <c r="E358" s="15"/>
      <c r="F358" s="15"/>
      <c r="G358" s="90"/>
      <c r="H358" s="15"/>
      <c r="I358" s="15"/>
      <c r="J358" s="15"/>
      <c r="K358" s="15"/>
      <c r="L358" s="62" t="str">
        <f t="shared" si="1"/>
        <v/>
      </c>
    </row>
    <row r="359">
      <c r="A359" s="15"/>
      <c r="B359" s="15"/>
      <c r="C359" s="15"/>
      <c r="D359" s="15"/>
      <c r="E359" s="15"/>
      <c r="F359" s="15"/>
      <c r="G359" s="90"/>
      <c r="H359" s="15"/>
      <c r="I359" s="15"/>
      <c r="J359" s="15"/>
      <c r="K359" s="15"/>
      <c r="L359" s="62" t="str">
        <f t="shared" si="1"/>
        <v/>
      </c>
    </row>
    <row r="360">
      <c r="A360" s="15"/>
      <c r="B360" s="15"/>
      <c r="C360" s="15"/>
      <c r="D360" s="15"/>
      <c r="E360" s="15"/>
      <c r="F360" s="15"/>
      <c r="G360" s="90"/>
      <c r="H360" s="15"/>
      <c r="I360" s="15"/>
      <c r="J360" s="15"/>
      <c r="K360" s="15"/>
      <c r="L360" s="62" t="str">
        <f t="shared" si="1"/>
        <v/>
      </c>
    </row>
    <row r="361">
      <c r="A361" s="15"/>
      <c r="B361" s="15"/>
      <c r="C361" s="15"/>
      <c r="D361" s="15"/>
      <c r="E361" s="15"/>
      <c r="F361" s="15"/>
      <c r="G361" s="90"/>
      <c r="H361" s="15"/>
      <c r="I361" s="15"/>
      <c r="J361" s="15"/>
      <c r="K361" s="15"/>
      <c r="L361" s="62" t="str">
        <f t="shared" si="1"/>
        <v/>
      </c>
    </row>
    <row r="362">
      <c r="A362" s="15"/>
      <c r="B362" s="15"/>
      <c r="C362" s="15"/>
      <c r="D362" s="15"/>
      <c r="E362" s="15"/>
      <c r="F362" s="15"/>
      <c r="G362" s="90"/>
      <c r="H362" s="15"/>
      <c r="I362" s="15"/>
      <c r="J362" s="15"/>
      <c r="K362" s="15"/>
      <c r="L362" s="62" t="str">
        <f t="shared" si="1"/>
        <v/>
      </c>
    </row>
    <row r="363">
      <c r="A363" s="15"/>
      <c r="B363" s="15"/>
      <c r="C363" s="15"/>
      <c r="D363" s="15"/>
      <c r="E363" s="15"/>
      <c r="F363" s="15"/>
      <c r="G363" s="90"/>
      <c r="H363" s="15"/>
      <c r="I363" s="15"/>
      <c r="J363" s="15"/>
      <c r="K363" s="15"/>
      <c r="L363" s="62" t="str">
        <f t="shared" si="1"/>
        <v/>
      </c>
    </row>
    <row r="364">
      <c r="A364" s="15"/>
      <c r="B364" s="15"/>
      <c r="C364" s="15"/>
      <c r="D364" s="15"/>
      <c r="E364" s="15"/>
      <c r="F364" s="15"/>
      <c r="G364" s="90"/>
      <c r="H364" s="15"/>
      <c r="I364" s="15"/>
      <c r="J364" s="15"/>
      <c r="K364" s="15"/>
      <c r="L364" s="62" t="str">
        <f t="shared" si="1"/>
        <v/>
      </c>
    </row>
    <row r="365">
      <c r="A365" s="15"/>
      <c r="B365" s="15"/>
      <c r="C365" s="15"/>
      <c r="D365" s="15"/>
      <c r="E365" s="15"/>
      <c r="F365" s="15"/>
      <c r="G365" s="90"/>
      <c r="H365" s="15"/>
      <c r="I365" s="15"/>
      <c r="J365" s="15"/>
      <c r="K365" s="15"/>
      <c r="L365" s="62" t="str">
        <f t="shared" si="1"/>
        <v/>
      </c>
    </row>
    <row r="366">
      <c r="A366" s="15"/>
      <c r="B366" s="15"/>
      <c r="C366" s="15"/>
      <c r="D366" s="15"/>
      <c r="E366" s="15"/>
      <c r="F366" s="15"/>
      <c r="G366" s="90"/>
      <c r="H366" s="15"/>
      <c r="I366" s="15"/>
      <c r="J366" s="15"/>
      <c r="K366" s="15"/>
      <c r="L366" s="62" t="str">
        <f t="shared" si="1"/>
        <v/>
      </c>
    </row>
    <row r="367">
      <c r="A367" s="15"/>
      <c r="B367" s="15"/>
      <c r="C367" s="15"/>
      <c r="D367" s="15"/>
      <c r="E367" s="15"/>
      <c r="F367" s="15"/>
      <c r="G367" s="90"/>
      <c r="H367" s="15"/>
      <c r="I367" s="15"/>
      <c r="J367" s="15"/>
      <c r="K367" s="15"/>
      <c r="L367" s="62" t="str">
        <f t="shared" si="1"/>
        <v/>
      </c>
    </row>
    <row r="368">
      <c r="A368" s="15"/>
      <c r="B368" s="15"/>
      <c r="C368" s="15"/>
      <c r="D368" s="15"/>
      <c r="E368" s="15"/>
      <c r="F368" s="15"/>
      <c r="G368" s="90"/>
      <c r="H368" s="15"/>
      <c r="I368" s="15"/>
      <c r="J368" s="15"/>
      <c r="K368" s="15"/>
      <c r="L368" s="62" t="str">
        <f t="shared" si="1"/>
        <v/>
      </c>
    </row>
    <row r="369">
      <c r="A369" s="15"/>
      <c r="B369" s="15"/>
      <c r="C369" s="15"/>
      <c r="D369" s="15"/>
      <c r="E369" s="15"/>
      <c r="F369" s="15"/>
      <c r="G369" s="90"/>
      <c r="H369" s="15"/>
      <c r="I369" s="15"/>
      <c r="J369" s="15"/>
      <c r="K369" s="15"/>
      <c r="L369" s="62" t="str">
        <f t="shared" si="1"/>
        <v/>
      </c>
    </row>
    <row r="370">
      <c r="A370" s="15"/>
      <c r="B370" s="15"/>
      <c r="C370" s="15"/>
      <c r="D370" s="15"/>
      <c r="E370" s="15"/>
      <c r="F370" s="15"/>
      <c r="G370" s="90"/>
      <c r="H370" s="15"/>
      <c r="I370" s="15"/>
      <c r="J370" s="15"/>
      <c r="K370" s="15"/>
      <c r="L370" s="62" t="str">
        <f t="shared" si="1"/>
        <v/>
      </c>
    </row>
    <row r="371">
      <c r="A371" s="15"/>
      <c r="B371" s="15"/>
      <c r="C371" s="15"/>
      <c r="D371" s="15"/>
      <c r="E371" s="15"/>
      <c r="F371" s="15"/>
      <c r="G371" s="90"/>
      <c r="H371" s="15"/>
      <c r="I371" s="15"/>
      <c r="J371" s="15"/>
      <c r="K371" s="15"/>
      <c r="L371" s="62" t="str">
        <f t="shared" si="1"/>
        <v/>
      </c>
    </row>
    <row r="372">
      <c r="A372" s="15"/>
      <c r="B372" s="15"/>
      <c r="C372" s="15"/>
      <c r="D372" s="15"/>
      <c r="E372" s="15"/>
      <c r="F372" s="15"/>
      <c r="G372" s="90"/>
      <c r="H372" s="15"/>
      <c r="I372" s="15"/>
      <c r="J372" s="15"/>
      <c r="K372" s="15"/>
      <c r="L372" s="62" t="str">
        <f t="shared" si="1"/>
        <v/>
      </c>
    </row>
    <row r="373">
      <c r="A373" s="15"/>
      <c r="B373" s="15"/>
      <c r="C373" s="15"/>
      <c r="D373" s="15"/>
      <c r="E373" s="15"/>
      <c r="F373" s="15"/>
      <c r="G373" s="90"/>
      <c r="H373" s="15"/>
      <c r="I373" s="15"/>
      <c r="J373" s="15"/>
      <c r="K373" s="15"/>
      <c r="L373" s="62" t="str">
        <f t="shared" si="1"/>
        <v/>
      </c>
    </row>
    <row r="374">
      <c r="A374" s="15"/>
      <c r="B374" s="15"/>
      <c r="C374" s="15"/>
      <c r="D374" s="15"/>
      <c r="E374" s="15"/>
      <c r="F374" s="15"/>
      <c r="G374" s="90"/>
      <c r="H374" s="15"/>
      <c r="I374" s="15"/>
      <c r="J374" s="15"/>
      <c r="K374" s="15"/>
      <c r="L374" s="62" t="str">
        <f t="shared" si="1"/>
        <v/>
      </c>
    </row>
    <row r="375">
      <c r="A375" s="15"/>
      <c r="B375" s="15"/>
      <c r="C375" s="15"/>
      <c r="D375" s="15"/>
      <c r="E375" s="15"/>
      <c r="F375" s="15"/>
      <c r="G375" s="90"/>
      <c r="H375" s="15"/>
      <c r="I375" s="15"/>
      <c r="J375" s="15"/>
      <c r="K375" s="15"/>
      <c r="L375" s="62" t="str">
        <f t="shared" si="1"/>
        <v/>
      </c>
    </row>
    <row r="376">
      <c r="A376" s="15"/>
      <c r="B376" s="15"/>
      <c r="C376" s="15"/>
      <c r="D376" s="15"/>
      <c r="E376" s="15"/>
      <c r="F376" s="15"/>
      <c r="G376" s="90"/>
      <c r="H376" s="15"/>
      <c r="I376" s="15"/>
      <c r="J376" s="15"/>
      <c r="K376" s="15"/>
      <c r="L376" s="62" t="str">
        <f t="shared" si="1"/>
        <v/>
      </c>
    </row>
    <row r="377">
      <c r="A377" s="15"/>
      <c r="B377" s="15"/>
      <c r="C377" s="15"/>
      <c r="D377" s="15"/>
      <c r="E377" s="15"/>
      <c r="F377" s="15"/>
      <c r="G377" s="90"/>
      <c r="H377" s="15"/>
      <c r="I377" s="15"/>
      <c r="J377" s="15"/>
      <c r="K377" s="15"/>
      <c r="L377" s="62" t="str">
        <f t="shared" si="1"/>
        <v/>
      </c>
    </row>
    <row r="378">
      <c r="A378" s="15"/>
      <c r="B378" s="15"/>
      <c r="C378" s="15"/>
      <c r="D378" s="15"/>
      <c r="E378" s="15"/>
      <c r="F378" s="15"/>
      <c r="G378" s="90"/>
      <c r="H378" s="15"/>
      <c r="I378" s="15"/>
      <c r="J378" s="15"/>
      <c r="K378" s="15"/>
      <c r="L378" s="62" t="str">
        <f t="shared" si="1"/>
        <v/>
      </c>
    </row>
    <row r="379">
      <c r="A379" s="15"/>
      <c r="B379" s="15"/>
      <c r="C379" s="15"/>
      <c r="D379" s="15"/>
      <c r="E379" s="15"/>
      <c r="F379" s="15"/>
      <c r="G379" s="90"/>
      <c r="H379" s="15"/>
      <c r="I379" s="15"/>
      <c r="J379" s="15"/>
      <c r="K379" s="15"/>
      <c r="L379" s="62" t="str">
        <f t="shared" si="1"/>
        <v/>
      </c>
    </row>
    <row r="380">
      <c r="A380" s="15"/>
      <c r="B380" s="15"/>
      <c r="C380" s="15"/>
      <c r="D380" s="15"/>
      <c r="E380" s="15"/>
      <c r="F380" s="15"/>
      <c r="G380" s="90"/>
      <c r="H380" s="15"/>
      <c r="I380" s="15"/>
      <c r="J380" s="15"/>
      <c r="K380" s="15"/>
      <c r="L380" s="62" t="str">
        <f t="shared" si="1"/>
        <v/>
      </c>
    </row>
    <row r="381">
      <c r="A381" s="15"/>
      <c r="B381" s="15"/>
      <c r="C381" s="15"/>
      <c r="D381" s="15"/>
      <c r="E381" s="15"/>
      <c r="F381" s="15"/>
      <c r="G381" s="90"/>
      <c r="H381" s="15"/>
      <c r="I381" s="15"/>
      <c r="J381" s="15"/>
      <c r="K381" s="15"/>
      <c r="L381" s="62" t="str">
        <f t="shared" si="1"/>
        <v/>
      </c>
    </row>
    <row r="382">
      <c r="A382" s="15"/>
      <c r="B382" s="15"/>
      <c r="C382" s="15"/>
      <c r="D382" s="15"/>
      <c r="E382" s="15"/>
      <c r="F382" s="15"/>
      <c r="G382" s="90"/>
      <c r="H382" s="15"/>
      <c r="I382" s="15"/>
      <c r="J382" s="15"/>
      <c r="K382" s="15"/>
      <c r="L382" s="62" t="str">
        <f t="shared" si="1"/>
        <v/>
      </c>
    </row>
    <row r="383">
      <c r="A383" s="15"/>
      <c r="B383" s="15"/>
      <c r="C383" s="15"/>
      <c r="D383" s="15"/>
      <c r="E383" s="15"/>
      <c r="F383" s="15"/>
      <c r="G383" s="90"/>
      <c r="H383" s="15"/>
      <c r="I383" s="15"/>
      <c r="J383" s="15"/>
      <c r="K383" s="15"/>
      <c r="L383" s="62" t="str">
        <f t="shared" si="1"/>
        <v/>
      </c>
    </row>
    <row r="384">
      <c r="A384" s="15"/>
      <c r="B384" s="15"/>
      <c r="C384" s="15"/>
      <c r="D384" s="15"/>
      <c r="E384" s="15"/>
      <c r="F384" s="15"/>
      <c r="G384" s="90"/>
      <c r="H384" s="15"/>
      <c r="I384" s="15"/>
      <c r="J384" s="15"/>
      <c r="K384" s="15"/>
      <c r="L384" s="62" t="str">
        <f t="shared" si="1"/>
        <v/>
      </c>
    </row>
    <row r="385">
      <c r="A385" s="15"/>
      <c r="B385" s="15"/>
      <c r="C385" s="15"/>
      <c r="D385" s="15"/>
      <c r="E385" s="15"/>
      <c r="F385" s="15"/>
      <c r="G385" s="90"/>
      <c r="H385" s="15"/>
      <c r="I385" s="15"/>
      <c r="J385" s="15"/>
      <c r="K385" s="15"/>
      <c r="L385" s="62" t="str">
        <f t="shared" si="1"/>
        <v/>
      </c>
    </row>
    <row r="386">
      <c r="A386" s="15"/>
      <c r="B386" s="15"/>
      <c r="C386" s="15"/>
      <c r="D386" s="15"/>
      <c r="E386" s="15"/>
      <c r="F386" s="15"/>
      <c r="G386" s="90"/>
      <c r="H386" s="15"/>
      <c r="I386" s="15"/>
      <c r="J386" s="15"/>
      <c r="K386" s="15"/>
      <c r="L386" s="62" t="str">
        <f t="shared" si="1"/>
        <v/>
      </c>
    </row>
    <row r="387">
      <c r="A387" s="15"/>
      <c r="B387" s="15"/>
      <c r="C387" s="15"/>
      <c r="D387" s="15"/>
      <c r="E387" s="15"/>
      <c r="F387" s="15"/>
      <c r="G387" s="90"/>
      <c r="H387" s="15"/>
      <c r="I387" s="15"/>
      <c r="J387" s="15"/>
      <c r="K387" s="15"/>
      <c r="L387" s="62" t="str">
        <f t="shared" si="1"/>
        <v/>
      </c>
    </row>
    <row r="388">
      <c r="A388" s="15"/>
      <c r="B388" s="15"/>
      <c r="C388" s="15"/>
      <c r="D388" s="15"/>
      <c r="E388" s="15"/>
      <c r="F388" s="15"/>
      <c r="G388" s="90"/>
      <c r="H388" s="15"/>
      <c r="I388" s="15"/>
      <c r="J388" s="15"/>
      <c r="K388" s="15"/>
      <c r="L388" s="62" t="str">
        <f t="shared" si="1"/>
        <v/>
      </c>
    </row>
    <row r="389">
      <c r="A389" s="15"/>
      <c r="B389" s="15"/>
      <c r="C389" s="15"/>
      <c r="D389" s="15"/>
      <c r="E389" s="15"/>
      <c r="F389" s="15"/>
      <c r="G389" s="90"/>
      <c r="H389" s="15"/>
      <c r="I389" s="15"/>
      <c r="J389" s="15"/>
      <c r="K389" s="15"/>
      <c r="L389" s="62" t="str">
        <f t="shared" si="1"/>
        <v/>
      </c>
    </row>
    <row r="390">
      <c r="A390" s="15"/>
      <c r="B390" s="15"/>
      <c r="C390" s="15"/>
      <c r="D390" s="15"/>
      <c r="E390" s="15"/>
      <c r="F390" s="15"/>
      <c r="G390" s="90"/>
      <c r="H390" s="15"/>
      <c r="I390" s="15"/>
      <c r="J390" s="15"/>
      <c r="K390" s="15"/>
      <c r="L390" s="62" t="str">
        <f t="shared" si="1"/>
        <v/>
      </c>
    </row>
    <row r="391">
      <c r="A391" s="15"/>
      <c r="B391" s="15"/>
      <c r="C391" s="15"/>
      <c r="D391" s="15"/>
      <c r="E391" s="15"/>
      <c r="F391" s="15"/>
      <c r="G391" s="90"/>
      <c r="H391" s="15"/>
      <c r="I391" s="15"/>
      <c r="J391" s="15"/>
      <c r="K391" s="15"/>
      <c r="L391" s="62" t="str">
        <f t="shared" si="1"/>
        <v/>
      </c>
    </row>
    <row r="392">
      <c r="A392" s="15"/>
      <c r="B392" s="15"/>
      <c r="C392" s="15"/>
      <c r="D392" s="15"/>
      <c r="E392" s="15"/>
      <c r="F392" s="15"/>
      <c r="G392" s="90"/>
      <c r="H392" s="15"/>
      <c r="I392" s="15"/>
      <c r="J392" s="15"/>
      <c r="K392" s="15"/>
      <c r="L392" s="62" t="str">
        <f t="shared" si="1"/>
        <v/>
      </c>
    </row>
    <row r="393">
      <c r="A393" s="15"/>
      <c r="B393" s="15"/>
      <c r="C393" s="15"/>
      <c r="D393" s="15"/>
      <c r="E393" s="15"/>
      <c r="F393" s="15"/>
      <c r="G393" s="90"/>
      <c r="H393" s="15"/>
      <c r="I393" s="15"/>
      <c r="J393" s="15"/>
      <c r="K393" s="15"/>
      <c r="L393" s="62" t="str">
        <f t="shared" si="1"/>
        <v/>
      </c>
    </row>
    <row r="394">
      <c r="A394" s="15"/>
      <c r="B394" s="15"/>
      <c r="C394" s="15"/>
      <c r="D394" s="15"/>
      <c r="E394" s="15"/>
      <c r="F394" s="15"/>
      <c r="G394" s="90"/>
      <c r="H394" s="15"/>
      <c r="I394" s="15"/>
      <c r="J394" s="15"/>
      <c r="K394" s="15"/>
      <c r="L394" s="62" t="str">
        <f t="shared" si="1"/>
        <v/>
      </c>
    </row>
    <row r="395">
      <c r="A395" s="15"/>
      <c r="B395" s="15"/>
      <c r="C395" s="15"/>
      <c r="D395" s="15"/>
      <c r="E395" s="15"/>
      <c r="F395" s="15"/>
      <c r="G395" s="90"/>
      <c r="H395" s="15"/>
      <c r="I395" s="15"/>
      <c r="J395" s="15"/>
      <c r="K395" s="15"/>
      <c r="L395" s="62" t="str">
        <f t="shared" si="1"/>
        <v/>
      </c>
    </row>
    <row r="396">
      <c r="A396" s="15"/>
      <c r="B396" s="15"/>
      <c r="C396" s="15"/>
      <c r="D396" s="15"/>
      <c r="E396" s="15"/>
      <c r="F396" s="15"/>
      <c r="G396" s="90"/>
      <c r="H396" s="15"/>
      <c r="I396" s="15"/>
      <c r="J396" s="15"/>
      <c r="K396" s="15"/>
      <c r="L396" s="62" t="str">
        <f t="shared" si="1"/>
        <v/>
      </c>
    </row>
    <row r="397">
      <c r="A397" s="15"/>
      <c r="B397" s="15"/>
      <c r="C397" s="15"/>
      <c r="D397" s="15"/>
      <c r="E397" s="15"/>
      <c r="F397" s="15"/>
      <c r="G397" s="90"/>
      <c r="H397" s="15"/>
      <c r="I397" s="15"/>
      <c r="J397" s="15"/>
      <c r="K397" s="15"/>
      <c r="L397" s="62" t="str">
        <f t="shared" si="1"/>
        <v/>
      </c>
    </row>
    <row r="398">
      <c r="A398" s="15"/>
      <c r="B398" s="15"/>
      <c r="C398" s="15"/>
      <c r="D398" s="15"/>
      <c r="E398" s="15"/>
      <c r="F398" s="15"/>
      <c r="G398" s="90"/>
      <c r="H398" s="15"/>
      <c r="I398" s="15"/>
      <c r="J398" s="15"/>
      <c r="K398" s="15"/>
      <c r="L398" s="62" t="str">
        <f t="shared" si="1"/>
        <v/>
      </c>
    </row>
    <row r="399">
      <c r="A399" s="15"/>
      <c r="B399" s="15"/>
      <c r="C399" s="15"/>
      <c r="D399" s="15"/>
      <c r="E399" s="15"/>
      <c r="F399" s="15"/>
      <c r="G399" s="90"/>
      <c r="H399" s="15"/>
      <c r="I399" s="15"/>
      <c r="J399" s="15"/>
      <c r="K399" s="15"/>
      <c r="L399" s="62" t="str">
        <f t="shared" si="1"/>
        <v/>
      </c>
    </row>
    <row r="400">
      <c r="A400" s="15"/>
      <c r="B400" s="15"/>
      <c r="C400" s="15"/>
      <c r="D400" s="15"/>
      <c r="E400" s="15"/>
      <c r="F400" s="15"/>
      <c r="G400" s="90"/>
      <c r="H400" s="15"/>
      <c r="I400" s="15"/>
      <c r="J400" s="15"/>
      <c r="K400" s="15"/>
      <c r="L400" s="62" t="str">
        <f t="shared" si="1"/>
        <v/>
      </c>
    </row>
    <row r="401">
      <c r="A401" s="15"/>
      <c r="B401" s="15"/>
      <c r="C401" s="15"/>
      <c r="D401" s="15"/>
      <c r="E401" s="15"/>
      <c r="F401" s="15"/>
      <c r="G401" s="90"/>
      <c r="H401" s="15"/>
      <c r="I401" s="15"/>
      <c r="J401" s="15"/>
      <c r="K401" s="15"/>
      <c r="L401" s="62" t="str">
        <f t="shared" si="1"/>
        <v/>
      </c>
    </row>
    <row r="402">
      <c r="A402" s="15"/>
      <c r="B402" s="15"/>
      <c r="C402" s="15"/>
      <c r="D402" s="15"/>
      <c r="E402" s="15"/>
      <c r="F402" s="15"/>
      <c r="G402" s="90"/>
      <c r="H402" s="15"/>
      <c r="I402" s="15"/>
      <c r="J402" s="15"/>
      <c r="K402" s="15"/>
      <c r="L402" s="62" t="str">
        <f t="shared" si="1"/>
        <v/>
      </c>
    </row>
    <row r="403">
      <c r="A403" s="15"/>
      <c r="B403" s="15"/>
      <c r="C403" s="15"/>
      <c r="D403" s="15"/>
      <c r="E403" s="15"/>
      <c r="F403" s="15"/>
      <c r="G403" s="90"/>
      <c r="H403" s="15"/>
      <c r="I403" s="15"/>
      <c r="J403" s="15"/>
      <c r="K403" s="15"/>
      <c r="L403" s="62" t="str">
        <f t="shared" si="1"/>
        <v/>
      </c>
    </row>
    <row r="404">
      <c r="A404" s="15"/>
      <c r="B404" s="15"/>
      <c r="C404" s="15"/>
      <c r="D404" s="15"/>
      <c r="E404" s="15"/>
      <c r="F404" s="15"/>
      <c r="G404" s="90"/>
      <c r="H404" s="15"/>
      <c r="I404" s="15"/>
      <c r="J404" s="15"/>
      <c r="K404" s="15"/>
      <c r="L404" s="62" t="str">
        <f t="shared" si="1"/>
        <v/>
      </c>
    </row>
    <row r="405">
      <c r="A405" s="15"/>
      <c r="B405" s="15"/>
      <c r="C405" s="15"/>
      <c r="D405" s="15"/>
      <c r="E405" s="15"/>
      <c r="F405" s="15"/>
      <c r="G405" s="90"/>
      <c r="H405" s="15"/>
      <c r="I405" s="15"/>
      <c r="J405" s="15"/>
      <c r="K405" s="15"/>
      <c r="L405" s="62" t="str">
        <f t="shared" si="1"/>
        <v/>
      </c>
    </row>
    <row r="406">
      <c r="A406" s="15"/>
      <c r="B406" s="15"/>
      <c r="C406" s="15"/>
      <c r="D406" s="15"/>
      <c r="E406" s="15"/>
      <c r="F406" s="15"/>
      <c r="G406" s="90"/>
      <c r="H406" s="15"/>
      <c r="I406" s="15"/>
      <c r="J406" s="15"/>
      <c r="K406" s="15"/>
      <c r="L406" s="62" t="str">
        <f t="shared" si="1"/>
        <v/>
      </c>
    </row>
    <row r="407">
      <c r="A407" s="15"/>
      <c r="B407" s="15"/>
      <c r="C407" s="15"/>
      <c r="D407" s="15"/>
      <c r="E407" s="15"/>
      <c r="F407" s="15"/>
      <c r="G407" s="90"/>
      <c r="H407" s="15"/>
      <c r="I407" s="15"/>
      <c r="J407" s="15"/>
      <c r="K407" s="15"/>
      <c r="L407" s="62" t="str">
        <f t="shared" si="1"/>
        <v/>
      </c>
    </row>
    <row r="408">
      <c r="A408" s="15"/>
      <c r="B408" s="15"/>
      <c r="C408" s="15"/>
      <c r="D408" s="15"/>
      <c r="E408" s="15"/>
      <c r="F408" s="15"/>
      <c r="G408" s="90"/>
      <c r="H408" s="15"/>
      <c r="I408" s="15"/>
      <c r="J408" s="15"/>
      <c r="K408" s="15"/>
      <c r="L408" s="62" t="str">
        <f t="shared" si="1"/>
        <v/>
      </c>
    </row>
    <row r="409">
      <c r="A409" s="15"/>
      <c r="B409" s="15"/>
      <c r="C409" s="15"/>
      <c r="D409" s="15"/>
      <c r="E409" s="15"/>
      <c r="F409" s="15"/>
      <c r="G409" s="90"/>
      <c r="H409" s="15"/>
      <c r="I409" s="15"/>
      <c r="J409" s="15"/>
      <c r="K409" s="15"/>
      <c r="L409" s="62" t="str">
        <f t="shared" si="1"/>
        <v/>
      </c>
    </row>
    <row r="410">
      <c r="A410" s="15"/>
      <c r="B410" s="15"/>
      <c r="C410" s="15"/>
      <c r="D410" s="15"/>
      <c r="E410" s="15"/>
      <c r="F410" s="15"/>
      <c r="G410" s="90"/>
      <c r="H410" s="15"/>
      <c r="I410" s="15"/>
      <c r="J410" s="15"/>
      <c r="K410" s="15"/>
      <c r="L410" s="62" t="str">
        <f t="shared" si="1"/>
        <v/>
      </c>
    </row>
    <row r="411">
      <c r="A411" s="15"/>
      <c r="B411" s="15"/>
      <c r="C411" s="15"/>
      <c r="D411" s="15"/>
      <c r="E411" s="15"/>
      <c r="F411" s="15"/>
      <c r="G411" s="90"/>
      <c r="H411" s="15"/>
      <c r="I411" s="15"/>
      <c r="J411" s="15"/>
      <c r="K411" s="15"/>
      <c r="L411" s="62" t="str">
        <f t="shared" si="1"/>
        <v/>
      </c>
    </row>
    <row r="412">
      <c r="A412" s="15"/>
      <c r="B412" s="15"/>
      <c r="C412" s="15"/>
      <c r="D412" s="15"/>
      <c r="E412" s="15"/>
      <c r="F412" s="15"/>
      <c r="G412" s="90"/>
      <c r="H412" s="15"/>
      <c r="I412" s="15"/>
      <c r="J412" s="15"/>
      <c r="K412" s="15"/>
      <c r="L412" s="62" t="str">
        <f t="shared" si="1"/>
        <v/>
      </c>
    </row>
    <row r="413">
      <c r="A413" s="15"/>
      <c r="B413" s="15"/>
      <c r="C413" s="15"/>
      <c r="D413" s="15"/>
      <c r="E413" s="15"/>
      <c r="F413" s="15"/>
      <c r="G413" s="90"/>
      <c r="H413" s="15"/>
      <c r="I413" s="15"/>
      <c r="J413" s="15"/>
      <c r="K413" s="15"/>
      <c r="L413" s="62" t="str">
        <f t="shared" si="1"/>
        <v/>
      </c>
    </row>
    <row r="414">
      <c r="A414" s="15"/>
      <c r="B414" s="15"/>
      <c r="C414" s="15"/>
      <c r="D414" s="15"/>
      <c r="E414" s="15"/>
      <c r="F414" s="15"/>
      <c r="G414" s="90"/>
      <c r="H414" s="15"/>
      <c r="I414" s="15"/>
      <c r="J414" s="15"/>
      <c r="K414" s="15"/>
      <c r="L414" s="62" t="str">
        <f t="shared" si="1"/>
        <v/>
      </c>
    </row>
    <row r="415">
      <c r="A415" s="15"/>
      <c r="B415" s="15"/>
      <c r="C415" s="15"/>
      <c r="D415" s="15"/>
      <c r="E415" s="15"/>
      <c r="F415" s="15"/>
      <c r="G415" s="90"/>
      <c r="H415" s="15"/>
      <c r="I415" s="15"/>
      <c r="J415" s="15"/>
      <c r="K415" s="15"/>
      <c r="L415" s="62" t="str">
        <f t="shared" si="1"/>
        <v/>
      </c>
    </row>
    <row r="416">
      <c r="A416" s="15"/>
      <c r="B416" s="15"/>
      <c r="C416" s="15"/>
      <c r="D416" s="15"/>
      <c r="E416" s="15"/>
      <c r="F416" s="15"/>
      <c r="G416" s="90"/>
      <c r="H416" s="15"/>
      <c r="I416" s="15"/>
      <c r="J416" s="15"/>
      <c r="K416" s="15"/>
      <c r="L416" s="62" t="str">
        <f t="shared" si="1"/>
        <v/>
      </c>
    </row>
    <row r="417">
      <c r="A417" s="15"/>
      <c r="B417" s="15"/>
      <c r="C417" s="15"/>
      <c r="D417" s="15"/>
      <c r="E417" s="15"/>
      <c r="F417" s="15"/>
      <c r="G417" s="90"/>
      <c r="H417" s="15"/>
      <c r="I417" s="15"/>
      <c r="J417" s="15"/>
      <c r="K417" s="15"/>
      <c r="L417" s="62" t="str">
        <f t="shared" si="1"/>
        <v/>
      </c>
    </row>
    <row r="418">
      <c r="A418" s="15"/>
      <c r="B418" s="15"/>
      <c r="C418" s="15"/>
      <c r="D418" s="15"/>
      <c r="E418" s="15"/>
      <c r="F418" s="15"/>
      <c r="G418" s="90"/>
      <c r="H418" s="15"/>
      <c r="I418" s="15"/>
      <c r="J418" s="15"/>
      <c r="K418" s="15"/>
      <c r="L418" s="62" t="str">
        <f t="shared" si="1"/>
        <v/>
      </c>
    </row>
    <row r="419">
      <c r="A419" s="15"/>
      <c r="B419" s="15"/>
      <c r="C419" s="15"/>
      <c r="D419" s="15"/>
      <c r="E419" s="15"/>
      <c r="F419" s="15"/>
      <c r="G419" s="90"/>
      <c r="H419" s="15"/>
      <c r="I419" s="15"/>
      <c r="J419" s="15"/>
      <c r="K419" s="15"/>
      <c r="L419" s="62" t="str">
        <f t="shared" si="1"/>
        <v/>
      </c>
    </row>
    <row r="420">
      <c r="A420" s="15"/>
      <c r="B420" s="15"/>
      <c r="C420" s="15"/>
      <c r="D420" s="15"/>
      <c r="E420" s="15"/>
      <c r="F420" s="15"/>
      <c r="G420" s="90"/>
      <c r="H420" s="15"/>
      <c r="I420" s="15"/>
      <c r="J420" s="15"/>
      <c r="K420" s="15"/>
      <c r="L420" s="62" t="str">
        <f t="shared" si="1"/>
        <v/>
      </c>
    </row>
    <row r="421">
      <c r="A421" s="15"/>
      <c r="B421" s="15"/>
      <c r="C421" s="15"/>
      <c r="D421" s="15"/>
      <c r="E421" s="15"/>
      <c r="F421" s="15"/>
      <c r="G421" s="90"/>
      <c r="H421" s="15"/>
      <c r="I421" s="15"/>
      <c r="J421" s="15"/>
      <c r="K421" s="15"/>
      <c r="L421" s="62" t="str">
        <f t="shared" si="1"/>
        <v/>
      </c>
    </row>
    <row r="422">
      <c r="A422" s="15"/>
      <c r="B422" s="15"/>
      <c r="C422" s="15"/>
      <c r="D422" s="15"/>
      <c r="E422" s="15"/>
      <c r="F422" s="15"/>
      <c r="G422" s="90"/>
      <c r="H422" s="15"/>
      <c r="I422" s="15"/>
      <c r="J422" s="15"/>
      <c r="K422" s="15"/>
      <c r="L422" s="62" t="str">
        <f t="shared" si="1"/>
        <v/>
      </c>
    </row>
    <row r="423">
      <c r="A423" s="15"/>
      <c r="B423" s="15"/>
      <c r="C423" s="15"/>
      <c r="D423" s="15"/>
      <c r="E423" s="15"/>
      <c r="F423" s="15"/>
      <c r="G423" s="90"/>
      <c r="H423" s="15"/>
      <c r="I423" s="15"/>
      <c r="J423" s="15"/>
      <c r="K423" s="15"/>
      <c r="L423" s="62" t="str">
        <f t="shared" si="1"/>
        <v/>
      </c>
    </row>
    <row r="424">
      <c r="A424" s="15"/>
      <c r="B424" s="15"/>
      <c r="C424" s="15"/>
      <c r="D424" s="15"/>
      <c r="E424" s="15"/>
      <c r="F424" s="15"/>
      <c r="G424" s="90"/>
      <c r="H424" s="15"/>
      <c r="I424" s="15"/>
      <c r="J424" s="15"/>
      <c r="K424" s="15"/>
      <c r="L424" s="62" t="str">
        <f t="shared" si="1"/>
        <v/>
      </c>
    </row>
    <row r="425">
      <c r="A425" s="15"/>
      <c r="B425" s="15"/>
      <c r="C425" s="15"/>
      <c r="D425" s="15"/>
      <c r="E425" s="15"/>
      <c r="F425" s="15"/>
      <c r="G425" s="90"/>
      <c r="H425" s="15"/>
      <c r="I425" s="15"/>
      <c r="J425" s="15"/>
      <c r="K425" s="15"/>
      <c r="L425" s="62" t="str">
        <f t="shared" si="1"/>
        <v/>
      </c>
    </row>
    <row r="426">
      <c r="A426" s="15"/>
      <c r="B426" s="15"/>
      <c r="C426" s="15"/>
      <c r="D426" s="15"/>
      <c r="E426" s="15"/>
      <c r="F426" s="15"/>
      <c r="G426" s="90"/>
      <c r="H426" s="15"/>
      <c r="I426" s="15"/>
      <c r="J426" s="15"/>
      <c r="K426" s="15"/>
      <c r="L426" s="62" t="str">
        <f t="shared" si="1"/>
        <v/>
      </c>
    </row>
    <row r="427">
      <c r="A427" s="15"/>
      <c r="B427" s="15"/>
      <c r="C427" s="15"/>
      <c r="D427" s="15"/>
      <c r="E427" s="15"/>
      <c r="F427" s="15"/>
      <c r="G427" s="90"/>
      <c r="H427" s="15"/>
      <c r="I427" s="15"/>
      <c r="J427" s="15"/>
      <c r="K427" s="15"/>
      <c r="L427" s="62" t="str">
        <f t="shared" si="1"/>
        <v/>
      </c>
    </row>
    <row r="428">
      <c r="A428" s="15"/>
      <c r="B428" s="15"/>
      <c r="C428" s="15"/>
      <c r="D428" s="15"/>
      <c r="E428" s="15"/>
      <c r="F428" s="15"/>
      <c r="G428" s="90"/>
      <c r="H428" s="15"/>
      <c r="I428" s="15"/>
      <c r="J428" s="15"/>
      <c r="K428" s="15"/>
      <c r="L428" s="62" t="str">
        <f t="shared" si="1"/>
        <v/>
      </c>
    </row>
    <row r="429">
      <c r="A429" s="15"/>
      <c r="B429" s="15"/>
      <c r="C429" s="15"/>
      <c r="D429" s="15"/>
      <c r="E429" s="15"/>
      <c r="F429" s="15"/>
      <c r="G429" s="90"/>
      <c r="H429" s="15"/>
      <c r="I429" s="15"/>
      <c r="J429" s="15"/>
      <c r="K429" s="15"/>
      <c r="L429" s="62" t="str">
        <f t="shared" si="1"/>
        <v/>
      </c>
    </row>
    <row r="430">
      <c r="A430" s="15"/>
      <c r="B430" s="15"/>
      <c r="C430" s="15"/>
      <c r="D430" s="15"/>
      <c r="E430" s="15"/>
      <c r="F430" s="15"/>
      <c r="G430" s="90"/>
      <c r="H430" s="15"/>
      <c r="I430" s="15"/>
      <c r="J430" s="15"/>
      <c r="K430" s="15"/>
      <c r="L430" s="62" t="str">
        <f t="shared" si="1"/>
        <v/>
      </c>
    </row>
    <row r="431">
      <c r="A431" s="15"/>
      <c r="B431" s="15"/>
      <c r="C431" s="15"/>
      <c r="D431" s="15"/>
      <c r="E431" s="15"/>
      <c r="F431" s="15"/>
      <c r="G431" s="90"/>
      <c r="H431" s="15"/>
      <c r="I431" s="15"/>
      <c r="J431" s="15"/>
      <c r="K431" s="15"/>
      <c r="L431" s="62" t="str">
        <f t="shared" si="1"/>
        <v/>
      </c>
    </row>
    <row r="432">
      <c r="A432" s="15"/>
      <c r="B432" s="15"/>
      <c r="C432" s="15"/>
      <c r="D432" s="15"/>
      <c r="E432" s="15"/>
      <c r="F432" s="15"/>
      <c r="G432" s="90"/>
      <c r="H432" s="15"/>
      <c r="I432" s="15"/>
      <c r="J432" s="15"/>
      <c r="K432" s="15"/>
      <c r="L432" s="62" t="str">
        <f t="shared" si="1"/>
        <v/>
      </c>
    </row>
    <row r="433">
      <c r="A433" s="15"/>
      <c r="B433" s="15"/>
      <c r="C433" s="15"/>
      <c r="D433" s="15"/>
      <c r="E433" s="15"/>
      <c r="F433" s="15"/>
      <c r="G433" s="90"/>
      <c r="H433" s="15"/>
      <c r="I433" s="15"/>
      <c r="J433" s="15"/>
      <c r="K433" s="15"/>
      <c r="L433" s="62" t="str">
        <f t="shared" si="1"/>
        <v/>
      </c>
    </row>
    <row r="434">
      <c r="A434" s="15"/>
      <c r="B434" s="15"/>
      <c r="C434" s="15"/>
      <c r="D434" s="15"/>
      <c r="E434" s="15"/>
      <c r="F434" s="15"/>
      <c r="G434" s="90"/>
      <c r="H434" s="15"/>
      <c r="I434" s="15"/>
      <c r="J434" s="15"/>
      <c r="K434" s="15"/>
      <c r="L434" s="62" t="str">
        <f t="shared" si="1"/>
        <v/>
      </c>
    </row>
    <row r="435">
      <c r="A435" s="15"/>
      <c r="B435" s="15"/>
      <c r="C435" s="15"/>
      <c r="D435" s="15"/>
      <c r="E435" s="15"/>
      <c r="F435" s="15"/>
      <c r="G435" s="90"/>
      <c r="H435" s="15"/>
      <c r="I435" s="15"/>
      <c r="J435" s="15"/>
      <c r="K435" s="15"/>
      <c r="L435" s="62" t="str">
        <f t="shared" si="1"/>
        <v/>
      </c>
    </row>
    <row r="436">
      <c r="A436" s="15"/>
      <c r="B436" s="15"/>
      <c r="C436" s="15"/>
      <c r="D436" s="15"/>
      <c r="E436" s="15"/>
      <c r="F436" s="15"/>
      <c r="G436" s="90"/>
      <c r="H436" s="15"/>
      <c r="I436" s="15"/>
      <c r="J436" s="15"/>
      <c r="K436" s="15"/>
      <c r="L436" s="62" t="str">
        <f t="shared" si="1"/>
        <v/>
      </c>
    </row>
    <row r="437">
      <c r="A437" s="15"/>
      <c r="B437" s="15"/>
      <c r="C437" s="15"/>
      <c r="D437" s="15"/>
      <c r="E437" s="15"/>
      <c r="F437" s="15"/>
      <c r="G437" s="90"/>
      <c r="H437" s="15"/>
      <c r="I437" s="15"/>
      <c r="J437" s="15"/>
      <c r="K437" s="15"/>
      <c r="L437" s="62" t="str">
        <f t="shared" si="1"/>
        <v/>
      </c>
    </row>
    <row r="438">
      <c r="A438" s="15"/>
      <c r="B438" s="15"/>
      <c r="C438" s="15"/>
      <c r="D438" s="15"/>
      <c r="E438" s="15"/>
      <c r="F438" s="15"/>
      <c r="G438" s="90"/>
      <c r="H438" s="15"/>
      <c r="I438" s="15"/>
      <c r="J438" s="15"/>
      <c r="K438" s="15"/>
      <c r="L438" s="62" t="str">
        <f t="shared" si="1"/>
        <v/>
      </c>
    </row>
    <row r="439">
      <c r="A439" s="15"/>
      <c r="B439" s="15"/>
      <c r="C439" s="15"/>
      <c r="D439" s="15"/>
      <c r="E439" s="15"/>
      <c r="F439" s="15"/>
      <c r="G439" s="90"/>
      <c r="H439" s="15"/>
      <c r="I439" s="15"/>
      <c r="J439" s="15"/>
      <c r="K439" s="15"/>
      <c r="L439" s="62" t="str">
        <f t="shared" si="1"/>
        <v/>
      </c>
    </row>
    <row r="440">
      <c r="A440" s="15"/>
      <c r="B440" s="15"/>
      <c r="C440" s="15"/>
      <c r="D440" s="15"/>
      <c r="E440" s="15"/>
      <c r="F440" s="15"/>
      <c r="G440" s="90"/>
      <c r="H440" s="15"/>
      <c r="I440" s="15"/>
      <c r="J440" s="15"/>
      <c r="K440" s="15"/>
      <c r="L440" s="62" t="str">
        <f t="shared" si="1"/>
        <v/>
      </c>
    </row>
    <row r="441">
      <c r="A441" s="15"/>
      <c r="B441" s="15"/>
      <c r="C441" s="15"/>
      <c r="D441" s="15"/>
      <c r="E441" s="15"/>
      <c r="F441" s="15"/>
      <c r="G441" s="90"/>
      <c r="H441" s="15"/>
      <c r="I441" s="15"/>
      <c r="J441" s="15"/>
      <c r="K441" s="15"/>
      <c r="L441" s="62" t="str">
        <f t="shared" si="1"/>
        <v/>
      </c>
    </row>
    <row r="442">
      <c r="A442" s="15"/>
      <c r="B442" s="15"/>
      <c r="C442" s="15"/>
      <c r="D442" s="15"/>
      <c r="E442" s="15"/>
      <c r="F442" s="15"/>
      <c r="G442" s="90"/>
      <c r="H442" s="15"/>
      <c r="I442" s="15"/>
      <c r="J442" s="15"/>
      <c r="K442" s="15"/>
      <c r="L442" s="62" t="str">
        <f t="shared" si="1"/>
        <v/>
      </c>
    </row>
    <row r="443">
      <c r="A443" s="15"/>
      <c r="B443" s="15"/>
      <c r="C443" s="15"/>
      <c r="D443" s="15"/>
      <c r="E443" s="15"/>
      <c r="F443" s="15"/>
      <c r="G443" s="90"/>
      <c r="H443" s="15"/>
      <c r="I443" s="15"/>
      <c r="J443" s="15"/>
      <c r="K443" s="15"/>
      <c r="L443" s="62" t="str">
        <f t="shared" si="1"/>
        <v/>
      </c>
    </row>
    <row r="444">
      <c r="A444" s="15"/>
      <c r="B444" s="15"/>
      <c r="C444" s="15"/>
      <c r="D444" s="15"/>
      <c r="E444" s="15"/>
      <c r="F444" s="15"/>
      <c r="G444" s="90"/>
      <c r="H444" s="15"/>
      <c r="I444" s="15"/>
      <c r="J444" s="15"/>
      <c r="K444" s="15"/>
      <c r="L444" s="62" t="str">
        <f t="shared" si="1"/>
        <v/>
      </c>
    </row>
    <row r="445">
      <c r="A445" s="15"/>
      <c r="B445" s="15"/>
      <c r="C445" s="15"/>
      <c r="D445" s="15"/>
      <c r="E445" s="15"/>
      <c r="F445" s="15"/>
      <c r="G445" s="90"/>
      <c r="H445" s="15"/>
      <c r="I445" s="15"/>
      <c r="J445" s="15"/>
      <c r="K445" s="15"/>
      <c r="L445" s="62" t="str">
        <f t="shared" si="1"/>
        <v/>
      </c>
    </row>
    <row r="446">
      <c r="A446" s="15"/>
      <c r="B446" s="15"/>
      <c r="C446" s="15"/>
      <c r="D446" s="15"/>
      <c r="E446" s="15"/>
      <c r="F446" s="15"/>
      <c r="G446" s="90"/>
      <c r="H446" s="15"/>
      <c r="I446" s="15"/>
      <c r="J446" s="15"/>
      <c r="K446" s="15"/>
      <c r="L446" s="62" t="str">
        <f t="shared" si="1"/>
        <v/>
      </c>
    </row>
    <row r="447">
      <c r="A447" s="15"/>
      <c r="B447" s="15"/>
      <c r="C447" s="15"/>
      <c r="D447" s="15"/>
      <c r="E447" s="15"/>
      <c r="F447" s="15"/>
      <c r="G447" s="90"/>
      <c r="H447" s="15"/>
      <c r="I447" s="15"/>
      <c r="J447" s="15"/>
      <c r="K447" s="15"/>
      <c r="L447" s="62" t="str">
        <f t="shared" si="1"/>
        <v/>
      </c>
    </row>
    <row r="448">
      <c r="A448" s="15"/>
      <c r="B448" s="15"/>
      <c r="C448" s="15"/>
      <c r="D448" s="15"/>
      <c r="E448" s="15"/>
      <c r="F448" s="15"/>
      <c r="G448" s="90"/>
      <c r="H448" s="15"/>
      <c r="I448" s="15"/>
      <c r="J448" s="15"/>
      <c r="K448" s="15"/>
      <c r="L448" s="62" t="str">
        <f t="shared" si="1"/>
        <v/>
      </c>
    </row>
    <row r="449">
      <c r="A449" s="15"/>
      <c r="B449" s="15"/>
      <c r="C449" s="15"/>
      <c r="D449" s="15"/>
      <c r="E449" s="15"/>
      <c r="F449" s="15"/>
      <c r="G449" s="90"/>
      <c r="H449" s="15"/>
      <c r="I449" s="15"/>
      <c r="J449" s="15"/>
      <c r="K449" s="15"/>
      <c r="L449" s="62" t="str">
        <f t="shared" si="1"/>
        <v/>
      </c>
    </row>
    <row r="450">
      <c r="A450" s="15"/>
      <c r="B450" s="15"/>
      <c r="C450" s="15"/>
      <c r="D450" s="15"/>
      <c r="E450" s="15"/>
      <c r="F450" s="15"/>
      <c r="G450" s="90"/>
      <c r="H450" s="15"/>
      <c r="I450" s="15"/>
      <c r="J450" s="15"/>
      <c r="K450" s="15"/>
      <c r="L450" s="62" t="str">
        <f t="shared" si="1"/>
        <v/>
      </c>
    </row>
    <row r="451">
      <c r="A451" s="15"/>
      <c r="B451" s="15"/>
      <c r="C451" s="15"/>
      <c r="D451" s="15"/>
      <c r="E451" s="15"/>
      <c r="F451" s="15"/>
      <c r="G451" s="90"/>
      <c r="H451" s="15"/>
      <c r="I451" s="15"/>
      <c r="J451" s="15"/>
      <c r="K451" s="15"/>
      <c r="L451" s="62" t="str">
        <f t="shared" si="1"/>
        <v/>
      </c>
    </row>
    <row r="452">
      <c r="A452" s="15"/>
      <c r="B452" s="15"/>
      <c r="C452" s="15"/>
      <c r="D452" s="15"/>
      <c r="E452" s="15"/>
      <c r="F452" s="15"/>
      <c r="G452" s="90"/>
      <c r="H452" s="15"/>
      <c r="I452" s="15"/>
      <c r="J452" s="15"/>
      <c r="K452" s="15"/>
      <c r="L452" s="62" t="str">
        <f t="shared" si="1"/>
        <v/>
      </c>
    </row>
    <row r="453">
      <c r="A453" s="15"/>
      <c r="B453" s="15"/>
      <c r="C453" s="15"/>
      <c r="D453" s="15"/>
      <c r="E453" s="15"/>
      <c r="F453" s="15"/>
      <c r="G453" s="90"/>
      <c r="H453" s="15"/>
      <c r="I453" s="15"/>
      <c r="J453" s="15"/>
      <c r="K453" s="15"/>
      <c r="L453" s="62" t="str">
        <f t="shared" si="1"/>
        <v/>
      </c>
    </row>
    <row r="454">
      <c r="A454" s="15"/>
      <c r="B454" s="15"/>
      <c r="C454" s="15"/>
      <c r="D454" s="15"/>
      <c r="E454" s="15"/>
      <c r="F454" s="15"/>
      <c r="G454" s="90"/>
      <c r="H454" s="15"/>
      <c r="I454" s="15"/>
      <c r="J454" s="15"/>
      <c r="K454" s="15"/>
      <c r="L454" s="62" t="str">
        <f t="shared" si="1"/>
        <v/>
      </c>
    </row>
    <row r="455">
      <c r="A455" s="15"/>
      <c r="B455" s="15"/>
      <c r="C455" s="15"/>
      <c r="D455" s="15"/>
      <c r="E455" s="15"/>
      <c r="F455" s="15"/>
      <c r="G455" s="90"/>
      <c r="H455" s="15"/>
      <c r="I455" s="15"/>
      <c r="J455" s="15"/>
      <c r="K455" s="15"/>
      <c r="L455" s="62" t="str">
        <f t="shared" si="1"/>
        <v/>
      </c>
    </row>
    <row r="456">
      <c r="A456" s="15"/>
      <c r="B456" s="15"/>
      <c r="C456" s="15"/>
      <c r="D456" s="15"/>
      <c r="E456" s="15"/>
      <c r="F456" s="15"/>
      <c r="G456" s="90"/>
      <c r="H456" s="15"/>
      <c r="I456" s="15"/>
      <c r="J456" s="15"/>
      <c r="K456" s="15"/>
      <c r="L456" s="62" t="str">
        <f t="shared" si="1"/>
        <v/>
      </c>
    </row>
    <row r="457">
      <c r="A457" s="15"/>
      <c r="B457" s="15"/>
      <c r="C457" s="15"/>
      <c r="D457" s="15"/>
      <c r="E457" s="15"/>
      <c r="F457" s="15"/>
      <c r="G457" s="90"/>
      <c r="H457" s="15"/>
      <c r="I457" s="15"/>
      <c r="J457" s="15"/>
      <c r="K457" s="15"/>
      <c r="L457" s="62" t="str">
        <f t="shared" si="1"/>
        <v/>
      </c>
    </row>
    <row r="458">
      <c r="A458" s="15"/>
      <c r="B458" s="15"/>
      <c r="C458" s="15"/>
      <c r="D458" s="15"/>
      <c r="E458" s="15"/>
      <c r="F458" s="15"/>
      <c r="G458" s="90"/>
      <c r="H458" s="15"/>
      <c r="I458" s="15"/>
      <c r="J458" s="15"/>
      <c r="K458" s="15"/>
      <c r="L458" s="62" t="str">
        <f t="shared" si="1"/>
        <v/>
      </c>
    </row>
    <row r="459">
      <c r="A459" s="15"/>
      <c r="B459" s="15"/>
      <c r="C459" s="15"/>
      <c r="D459" s="15"/>
      <c r="E459" s="15"/>
      <c r="F459" s="15"/>
      <c r="G459" s="90"/>
      <c r="H459" s="15"/>
      <c r="I459" s="15"/>
      <c r="J459" s="15"/>
      <c r="K459" s="15"/>
      <c r="L459" s="62" t="str">
        <f t="shared" si="1"/>
        <v/>
      </c>
    </row>
    <row r="460">
      <c r="A460" s="15"/>
      <c r="B460" s="15"/>
      <c r="C460" s="15"/>
      <c r="D460" s="15"/>
      <c r="E460" s="15"/>
      <c r="F460" s="15"/>
      <c r="G460" s="90"/>
      <c r="H460" s="15"/>
      <c r="I460" s="15"/>
      <c r="J460" s="15"/>
      <c r="K460" s="15"/>
      <c r="L460" s="62" t="str">
        <f t="shared" si="1"/>
        <v/>
      </c>
    </row>
    <row r="461">
      <c r="A461" s="15"/>
      <c r="B461" s="15"/>
      <c r="C461" s="15"/>
      <c r="D461" s="15"/>
      <c r="E461" s="15"/>
      <c r="F461" s="15"/>
      <c r="G461" s="90"/>
      <c r="H461" s="15"/>
      <c r="I461" s="15"/>
      <c r="J461" s="15"/>
      <c r="K461" s="15"/>
      <c r="L461" s="62" t="str">
        <f t="shared" si="1"/>
        <v/>
      </c>
    </row>
    <row r="462">
      <c r="A462" s="15"/>
      <c r="B462" s="15"/>
      <c r="C462" s="15"/>
      <c r="D462" s="15"/>
      <c r="E462" s="15"/>
      <c r="F462" s="15"/>
      <c r="G462" s="90"/>
      <c r="H462" s="15"/>
      <c r="I462" s="15"/>
      <c r="J462" s="15"/>
      <c r="K462" s="15"/>
      <c r="L462" s="62" t="str">
        <f t="shared" si="1"/>
        <v/>
      </c>
    </row>
    <row r="463">
      <c r="A463" s="15"/>
      <c r="B463" s="15"/>
      <c r="C463" s="15"/>
      <c r="D463" s="15"/>
      <c r="E463" s="15"/>
      <c r="F463" s="15"/>
      <c r="G463" s="90"/>
      <c r="H463" s="15"/>
      <c r="I463" s="15"/>
      <c r="J463" s="15"/>
      <c r="K463" s="15"/>
      <c r="L463" s="62" t="str">
        <f t="shared" si="1"/>
        <v/>
      </c>
    </row>
    <row r="464">
      <c r="A464" s="15"/>
      <c r="B464" s="15"/>
      <c r="C464" s="15"/>
      <c r="D464" s="15"/>
      <c r="E464" s="15"/>
      <c r="F464" s="15"/>
      <c r="G464" s="90"/>
      <c r="H464" s="15"/>
      <c r="I464" s="15"/>
      <c r="J464" s="15"/>
      <c r="K464" s="15"/>
      <c r="L464" s="62" t="str">
        <f t="shared" si="1"/>
        <v/>
      </c>
    </row>
    <row r="465">
      <c r="A465" s="15"/>
      <c r="B465" s="15"/>
      <c r="C465" s="15"/>
      <c r="D465" s="15"/>
      <c r="E465" s="15"/>
      <c r="F465" s="15"/>
      <c r="G465" s="90"/>
      <c r="H465" s="15"/>
      <c r="I465" s="15"/>
      <c r="J465" s="15"/>
      <c r="K465" s="15"/>
      <c r="L465" s="62" t="str">
        <f t="shared" si="1"/>
        <v/>
      </c>
    </row>
    <row r="466">
      <c r="A466" s="15"/>
      <c r="B466" s="15"/>
      <c r="C466" s="15"/>
      <c r="D466" s="15"/>
      <c r="E466" s="15"/>
      <c r="F466" s="15"/>
      <c r="G466" s="90"/>
      <c r="H466" s="15"/>
      <c r="I466" s="15"/>
      <c r="J466" s="15"/>
      <c r="K466" s="15"/>
      <c r="L466" s="62" t="str">
        <f t="shared" si="1"/>
        <v/>
      </c>
    </row>
    <row r="467">
      <c r="A467" s="15"/>
      <c r="B467" s="15"/>
      <c r="C467" s="15"/>
      <c r="D467" s="15"/>
      <c r="E467" s="15"/>
      <c r="F467" s="15"/>
      <c r="G467" s="90"/>
      <c r="H467" s="15"/>
      <c r="I467" s="15"/>
      <c r="J467" s="15"/>
      <c r="K467" s="15"/>
      <c r="L467" s="62" t="str">
        <f t="shared" si="1"/>
        <v/>
      </c>
    </row>
    <row r="468">
      <c r="A468" s="15"/>
      <c r="B468" s="15"/>
      <c r="C468" s="15"/>
      <c r="D468" s="15"/>
      <c r="E468" s="15"/>
      <c r="F468" s="15"/>
      <c r="G468" s="90"/>
      <c r="H468" s="15"/>
      <c r="I468" s="15"/>
      <c r="J468" s="15"/>
      <c r="K468" s="15"/>
      <c r="L468" s="62" t="str">
        <f t="shared" si="1"/>
        <v/>
      </c>
    </row>
    <row r="469">
      <c r="A469" s="15"/>
      <c r="B469" s="15"/>
      <c r="C469" s="15"/>
      <c r="D469" s="15"/>
      <c r="E469" s="15"/>
      <c r="F469" s="15"/>
      <c r="G469" s="90"/>
      <c r="H469" s="15"/>
      <c r="I469" s="15"/>
      <c r="J469" s="15"/>
      <c r="K469" s="15"/>
      <c r="L469" s="62" t="str">
        <f t="shared" si="1"/>
        <v/>
      </c>
    </row>
    <row r="470">
      <c r="A470" s="15"/>
      <c r="B470" s="15"/>
      <c r="C470" s="15"/>
      <c r="D470" s="15"/>
      <c r="E470" s="15"/>
      <c r="F470" s="15"/>
      <c r="G470" s="90"/>
      <c r="H470" s="15"/>
      <c r="I470" s="15"/>
      <c r="J470" s="15"/>
      <c r="K470" s="15"/>
      <c r="L470" s="62" t="str">
        <f t="shared" si="1"/>
        <v/>
      </c>
    </row>
    <row r="471">
      <c r="A471" s="15"/>
      <c r="B471" s="15"/>
      <c r="C471" s="15"/>
      <c r="D471" s="15"/>
      <c r="E471" s="15"/>
      <c r="F471" s="15"/>
      <c r="G471" s="90"/>
      <c r="H471" s="15"/>
      <c r="I471" s="15"/>
      <c r="J471" s="15"/>
      <c r="K471" s="15"/>
      <c r="L471" s="62" t="str">
        <f t="shared" si="1"/>
        <v/>
      </c>
    </row>
    <row r="472">
      <c r="A472" s="15"/>
      <c r="B472" s="15"/>
      <c r="C472" s="15"/>
      <c r="D472" s="15"/>
      <c r="E472" s="15"/>
      <c r="F472" s="15"/>
      <c r="G472" s="90"/>
      <c r="H472" s="15"/>
      <c r="I472" s="15"/>
      <c r="J472" s="15"/>
      <c r="K472" s="15"/>
      <c r="L472" s="62" t="str">
        <f t="shared" si="1"/>
        <v/>
      </c>
    </row>
    <row r="473">
      <c r="A473" s="15"/>
      <c r="B473" s="15"/>
      <c r="C473" s="15"/>
      <c r="D473" s="15"/>
      <c r="E473" s="15"/>
      <c r="F473" s="15"/>
      <c r="G473" s="90"/>
      <c r="H473" s="15"/>
      <c r="I473" s="15"/>
      <c r="J473" s="15"/>
      <c r="K473" s="15"/>
      <c r="L473" s="62" t="str">
        <f t="shared" si="1"/>
        <v/>
      </c>
    </row>
    <row r="474">
      <c r="A474" s="15"/>
      <c r="B474" s="15"/>
      <c r="C474" s="15"/>
      <c r="D474" s="15"/>
      <c r="E474" s="15"/>
      <c r="F474" s="15"/>
      <c r="G474" s="90"/>
      <c r="H474" s="15"/>
      <c r="I474" s="15"/>
      <c r="J474" s="15"/>
      <c r="K474" s="15"/>
      <c r="L474" s="62" t="str">
        <f t="shared" si="1"/>
        <v/>
      </c>
    </row>
    <row r="475">
      <c r="A475" s="15"/>
      <c r="B475" s="15"/>
      <c r="C475" s="15"/>
      <c r="D475" s="15"/>
      <c r="E475" s="15"/>
      <c r="F475" s="15"/>
      <c r="G475" s="90"/>
      <c r="H475" s="15"/>
      <c r="I475" s="15"/>
      <c r="J475" s="15"/>
      <c r="K475" s="15"/>
      <c r="L475" s="62" t="str">
        <f t="shared" si="1"/>
        <v/>
      </c>
    </row>
    <row r="476">
      <c r="A476" s="15"/>
      <c r="B476" s="15"/>
      <c r="C476" s="15"/>
      <c r="D476" s="15"/>
      <c r="E476" s="15"/>
      <c r="F476" s="15"/>
      <c r="G476" s="90"/>
      <c r="H476" s="15"/>
      <c r="I476" s="15"/>
      <c r="J476" s="15"/>
      <c r="K476" s="15"/>
      <c r="L476" s="62" t="str">
        <f t="shared" si="1"/>
        <v/>
      </c>
    </row>
    <row r="477">
      <c r="A477" s="15"/>
      <c r="B477" s="15"/>
      <c r="C477" s="15"/>
      <c r="D477" s="15"/>
      <c r="E477" s="15"/>
      <c r="F477" s="15"/>
      <c r="G477" s="90"/>
      <c r="H477" s="15"/>
      <c r="I477" s="15"/>
      <c r="J477" s="15"/>
      <c r="K477" s="15"/>
      <c r="L477" s="62" t="str">
        <f t="shared" si="1"/>
        <v/>
      </c>
    </row>
    <row r="478">
      <c r="A478" s="15"/>
      <c r="B478" s="15"/>
      <c r="C478" s="15"/>
      <c r="D478" s="15"/>
      <c r="E478" s="15"/>
      <c r="F478" s="15"/>
      <c r="G478" s="90"/>
      <c r="H478" s="15"/>
      <c r="I478" s="15"/>
      <c r="J478" s="15"/>
      <c r="K478" s="15"/>
      <c r="L478" s="62" t="str">
        <f t="shared" si="1"/>
        <v/>
      </c>
    </row>
    <row r="479">
      <c r="A479" s="15"/>
      <c r="B479" s="15"/>
      <c r="C479" s="15"/>
      <c r="D479" s="15"/>
      <c r="E479" s="15"/>
      <c r="F479" s="15"/>
      <c r="G479" s="90"/>
      <c r="H479" s="15"/>
      <c r="I479" s="15"/>
      <c r="J479" s="15"/>
      <c r="K479" s="15"/>
      <c r="L479" s="62" t="str">
        <f t="shared" si="1"/>
        <v/>
      </c>
    </row>
    <row r="480">
      <c r="A480" s="15"/>
      <c r="B480" s="15"/>
      <c r="C480" s="15"/>
      <c r="D480" s="15"/>
      <c r="E480" s="15"/>
      <c r="F480" s="15"/>
      <c r="G480" s="90"/>
      <c r="H480" s="15"/>
      <c r="I480" s="15"/>
      <c r="J480" s="15"/>
      <c r="K480" s="15"/>
      <c r="L480" s="62" t="str">
        <f t="shared" si="1"/>
        <v/>
      </c>
    </row>
    <row r="481">
      <c r="A481" s="15"/>
      <c r="B481" s="15"/>
      <c r="C481" s="15"/>
      <c r="D481" s="15"/>
      <c r="E481" s="15"/>
      <c r="F481" s="15"/>
      <c r="G481" s="90"/>
      <c r="H481" s="15"/>
      <c r="I481" s="15"/>
      <c r="J481" s="15"/>
      <c r="K481" s="15"/>
      <c r="L481" s="62" t="str">
        <f t="shared" si="1"/>
        <v/>
      </c>
    </row>
    <row r="482">
      <c r="A482" s="15"/>
      <c r="B482" s="15"/>
      <c r="C482" s="15"/>
      <c r="D482" s="15"/>
      <c r="E482" s="15"/>
      <c r="F482" s="15"/>
      <c r="G482" s="90"/>
      <c r="H482" s="15"/>
      <c r="I482" s="15"/>
      <c r="J482" s="15"/>
      <c r="K482" s="15"/>
      <c r="L482" s="62" t="str">
        <f t="shared" si="1"/>
        <v/>
      </c>
    </row>
    <row r="483">
      <c r="A483" s="15"/>
      <c r="B483" s="15"/>
      <c r="C483" s="15"/>
      <c r="D483" s="15"/>
      <c r="E483" s="15"/>
      <c r="F483" s="15"/>
      <c r="G483" s="90"/>
      <c r="H483" s="15"/>
      <c r="I483" s="15"/>
      <c r="J483" s="15"/>
      <c r="K483" s="15"/>
      <c r="L483" s="62" t="str">
        <f t="shared" si="1"/>
        <v/>
      </c>
    </row>
    <row r="484">
      <c r="A484" s="15"/>
      <c r="B484" s="15"/>
      <c r="C484" s="15"/>
      <c r="D484" s="15"/>
      <c r="E484" s="15"/>
      <c r="F484" s="15"/>
      <c r="G484" s="90"/>
      <c r="H484" s="15"/>
      <c r="I484" s="15"/>
      <c r="J484" s="15"/>
      <c r="K484" s="15"/>
      <c r="L484" s="62" t="str">
        <f t="shared" si="1"/>
        <v/>
      </c>
    </row>
    <row r="485">
      <c r="A485" s="15"/>
      <c r="B485" s="15"/>
      <c r="C485" s="15"/>
      <c r="D485" s="15"/>
      <c r="E485" s="15"/>
      <c r="F485" s="15"/>
      <c r="G485" s="90"/>
      <c r="H485" s="15"/>
      <c r="I485" s="15"/>
      <c r="J485" s="15"/>
      <c r="K485" s="15"/>
      <c r="L485" s="62" t="str">
        <f t="shared" si="1"/>
        <v/>
      </c>
    </row>
    <row r="486">
      <c r="A486" s="15"/>
      <c r="B486" s="15"/>
      <c r="C486" s="15"/>
      <c r="D486" s="15"/>
      <c r="E486" s="15"/>
      <c r="F486" s="15"/>
      <c r="G486" s="90"/>
      <c r="H486" s="15"/>
      <c r="I486" s="15"/>
      <c r="J486" s="15"/>
      <c r="K486" s="15"/>
      <c r="L486" s="62" t="str">
        <f t="shared" si="1"/>
        <v/>
      </c>
    </row>
    <row r="487">
      <c r="A487" s="15"/>
      <c r="B487" s="15"/>
      <c r="C487" s="15"/>
      <c r="D487" s="15"/>
      <c r="E487" s="15"/>
      <c r="F487" s="15"/>
      <c r="G487" s="90"/>
      <c r="H487" s="15"/>
      <c r="I487" s="15"/>
      <c r="J487" s="15"/>
      <c r="K487" s="15"/>
      <c r="L487" s="62" t="str">
        <f t="shared" si="1"/>
        <v/>
      </c>
    </row>
    <row r="488">
      <c r="A488" s="15"/>
      <c r="B488" s="15"/>
      <c r="C488" s="15"/>
      <c r="D488" s="15"/>
      <c r="E488" s="15"/>
      <c r="F488" s="15"/>
      <c r="G488" s="90"/>
      <c r="H488" s="15"/>
      <c r="I488" s="15"/>
      <c r="J488" s="15"/>
      <c r="K488" s="15"/>
      <c r="L488" s="62" t="str">
        <f t="shared" si="1"/>
        <v/>
      </c>
    </row>
    <row r="489">
      <c r="A489" s="15"/>
      <c r="B489" s="15"/>
      <c r="C489" s="15"/>
      <c r="D489" s="15"/>
      <c r="E489" s="15"/>
      <c r="F489" s="15"/>
      <c r="G489" s="90"/>
      <c r="H489" s="15"/>
      <c r="I489" s="15"/>
      <c r="J489" s="15"/>
      <c r="K489" s="15"/>
      <c r="L489" s="62" t="str">
        <f t="shared" si="1"/>
        <v/>
      </c>
    </row>
    <row r="490">
      <c r="A490" s="15"/>
      <c r="B490" s="15"/>
      <c r="C490" s="15"/>
      <c r="D490" s="15"/>
      <c r="E490" s="15"/>
      <c r="F490" s="15"/>
      <c r="G490" s="90"/>
      <c r="H490" s="15"/>
      <c r="I490" s="15"/>
      <c r="J490" s="15"/>
      <c r="K490" s="15"/>
      <c r="L490" s="62" t="str">
        <f t="shared" si="1"/>
        <v/>
      </c>
    </row>
    <row r="491">
      <c r="A491" s="15"/>
      <c r="B491" s="15"/>
      <c r="C491" s="15"/>
      <c r="D491" s="15"/>
      <c r="E491" s="15"/>
      <c r="F491" s="15"/>
      <c r="G491" s="90"/>
      <c r="H491" s="15"/>
      <c r="I491" s="15"/>
      <c r="J491" s="15"/>
      <c r="K491" s="15"/>
      <c r="L491" s="62" t="str">
        <f t="shared" si="1"/>
        <v/>
      </c>
    </row>
    <row r="492">
      <c r="A492" s="15"/>
      <c r="B492" s="15"/>
      <c r="C492" s="15"/>
      <c r="D492" s="15"/>
      <c r="E492" s="15"/>
      <c r="F492" s="15"/>
      <c r="G492" s="90"/>
      <c r="H492" s="15"/>
      <c r="I492" s="15"/>
      <c r="J492" s="15"/>
      <c r="K492" s="15"/>
      <c r="L492" s="62" t="str">
        <f t="shared" si="1"/>
        <v/>
      </c>
    </row>
    <row r="493">
      <c r="A493" s="15"/>
      <c r="B493" s="15"/>
      <c r="C493" s="15"/>
      <c r="D493" s="15"/>
      <c r="E493" s="15"/>
      <c r="F493" s="15"/>
      <c r="G493" s="90"/>
      <c r="H493" s="15"/>
      <c r="I493" s="15"/>
      <c r="J493" s="15"/>
      <c r="K493" s="15"/>
      <c r="L493" s="62" t="str">
        <f t="shared" si="1"/>
        <v/>
      </c>
    </row>
    <row r="494">
      <c r="A494" s="15"/>
      <c r="B494" s="15"/>
      <c r="C494" s="15"/>
      <c r="D494" s="15"/>
      <c r="E494" s="15"/>
      <c r="F494" s="15"/>
      <c r="G494" s="90"/>
      <c r="H494" s="15"/>
      <c r="I494" s="15"/>
      <c r="J494" s="15"/>
      <c r="K494" s="15"/>
      <c r="L494" s="62" t="str">
        <f t="shared" si="1"/>
        <v/>
      </c>
    </row>
    <row r="495">
      <c r="A495" s="15"/>
      <c r="B495" s="15"/>
      <c r="C495" s="15"/>
      <c r="D495" s="15"/>
      <c r="E495" s="15"/>
      <c r="F495" s="15"/>
      <c r="G495" s="90"/>
      <c r="H495" s="15"/>
      <c r="I495" s="15"/>
      <c r="J495" s="15"/>
      <c r="K495" s="15"/>
      <c r="L495" s="62" t="str">
        <f t="shared" si="1"/>
        <v/>
      </c>
    </row>
    <row r="496">
      <c r="A496" s="15"/>
      <c r="B496" s="15"/>
      <c r="C496" s="15"/>
      <c r="D496" s="15"/>
      <c r="E496" s="15"/>
      <c r="F496" s="15"/>
      <c r="G496" s="90"/>
      <c r="H496" s="15"/>
      <c r="I496" s="15"/>
      <c r="J496" s="15"/>
      <c r="K496" s="15"/>
      <c r="L496" s="62" t="str">
        <f t="shared" si="1"/>
        <v/>
      </c>
    </row>
    <row r="497">
      <c r="A497" s="15"/>
      <c r="B497" s="15"/>
      <c r="C497" s="15"/>
      <c r="D497" s="15"/>
      <c r="E497" s="15"/>
      <c r="F497" s="15"/>
      <c r="G497" s="90"/>
      <c r="H497" s="15"/>
      <c r="I497" s="15"/>
      <c r="J497" s="15"/>
      <c r="K497" s="15"/>
      <c r="L497" s="62" t="str">
        <f t="shared" si="1"/>
        <v/>
      </c>
    </row>
    <row r="498">
      <c r="A498" s="15"/>
      <c r="B498" s="15"/>
      <c r="C498" s="15"/>
      <c r="D498" s="15"/>
      <c r="E498" s="15"/>
      <c r="F498" s="15"/>
      <c r="G498" s="90"/>
      <c r="H498" s="15"/>
      <c r="I498" s="15"/>
      <c r="J498" s="15"/>
      <c r="K498" s="15"/>
      <c r="L498" s="62" t="str">
        <f t="shared" si="1"/>
        <v/>
      </c>
    </row>
    <row r="499">
      <c r="A499" s="15"/>
      <c r="B499" s="15"/>
      <c r="C499" s="15"/>
      <c r="D499" s="15"/>
      <c r="E499" s="15"/>
      <c r="F499" s="15"/>
      <c r="G499" s="90"/>
      <c r="H499" s="15"/>
      <c r="I499" s="15"/>
      <c r="J499" s="15"/>
      <c r="K499" s="15"/>
      <c r="L499" s="62" t="str">
        <f t="shared" si="1"/>
        <v/>
      </c>
    </row>
    <row r="500">
      <c r="A500" s="15"/>
      <c r="B500" s="15"/>
      <c r="C500" s="15"/>
      <c r="D500" s="15"/>
      <c r="E500" s="15"/>
      <c r="F500" s="15"/>
      <c r="G500" s="90"/>
      <c r="H500" s="15"/>
      <c r="I500" s="15"/>
      <c r="J500" s="15"/>
      <c r="K500" s="15"/>
      <c r="L500" s="62" t="str">
        <f t="shared" si="1"/>
        <v/>
      </c>
    </row>
    <row r="501">
      <c r="A501" s="15"/>
      <c r="B501" s="15"/>
      <c r="C501" s="15"/>
      <c r="D501" s="15"/>
      <c r="E501" s="15"/>
      <c r="F501" s="15"/>
      <c r="G501" s="90"/>
      <c r="H501" s="15"/>
      <c r="I501" s="15"/>
      <c r="J501" s="15"/>
      <c r="K501" s="15"/>
      <c r="L501" s="62" t="str">
        <f t="shared" si="1"/>
        <v/>
      </c>
    </row>
    <row r="502">
      <c r="A502" s="15"/>
      <c r="B502" s="15"/>
      <c r="C502" s="15"/>
      <c r="D502" s="15"/>
      <c r="E502" s="15"/>
      <c r="F502" s="15"/>
      <c r="G502" s="90"/>
      <c r="H502" s="15"/>
      <c r="I502" s="15"/>
      <c r="J502" s="15"/>
      <c r="K502" s="15"/>
      <c r="L502" s="62" t="str">
        <f t="shared" si="1"/>
        <v/>
      </c>
    </row>
    <row r="503">
      <c r="A503" s="15"/>
      <c r="B503" s="15"/>
      <c r="C503" s="15"/>
      <c r="D503" s="15"/>
      <c r="E503" s="15"/>
      <c r="F503" s="15"/>
      <c r="G503" s="90"/>
      <c r="H503" s="15"/>
      <c r="I503" s="15"/>
      <c r="J503" s="15"/>
      <c r="K503" s="15"/>
      <c r="L503" s="62" t="str">
        <f t="shared" si="1"/>
        <v/>
      </c>
    </row>
    <row r="504">
      <c r="A504" s="15"/>
      <c r="B504" s="15"/>
      <c r="C504" s="15"/>
      <c r="D504" s="15"/>
      <c r="E504" s="15"/>
      <c r="F504" s="15"/>
      <c r="G504" s="90"/>
      <c r="H504" s="15"/>
      <c r="I504" s="15"/>
      <c r="J504" s="15"/>
      <c r="K504" s="15"/>
      <c r="L504" s="62" t="str">
        <f t="shared" si="1"/>
        <v/>
      </c>
    </row>
    <row r="505">
      <c r="A505" s="15"/>
      <c r="B505" s="15"/>
      <c r="C505" s="15"/>
      <c r="D505" s="15"/>
      <c r="E505" s="15"/>
      <c r="F505" s="15"/>
      <c r="G505" s="90"/>
      <c r="H505" s="15"/>
      <c r="I505" s="15"/>
      <c r="J505" s="15"/>
      <c r="K505" s="15"/>
      <c r="L505" s="62" t="str">
        <f t="shared" si="1"/>
        <v/>
      </c>
    </row>
    <row r="506">
      <c r="A506" s="15"/>
      <c r="B506" s="15"/>
      <c r="C506" s="15"/>
      <c r="D506" s="15"/>
      <c r="E506" s="15"/>
      <c r="F506" s="15"/>
      <c r="G506" s="90"/>
      <c r="H506" s="15"/>
      <c r="I506" s="15"/>
      <c r="J506" s="15"/>
      <c r="K506" s="15"/>
      <c r="L506" s="62" t="str">
        <f t="shared" si="1"/>
        <v/>
      </c>
    </row>
    <row r="507">
      <c r="A507" s="15"/>
      <c r="B507" s="15"/>
      <c r="C507" s="15"/>
      <c r="D507" s="15"/>
      <c r="E507" s="15"/>
      <c r="F507" s="15"/>
      <c r="G507" s="90"/>
      <c r="H507" s="15"/>
      <c r="I507" s="15"/>
      <c r="J507" s="15"/>
      <c r="K507" s="15"/>
      <c r="L507" s="62" t="str">
        <f t="shared" si="1"/>
        <v/>
      </c>
    </row>
    <row r="508">
      <c r="A508" s="15"/>
      <c r="B508" s="15"/>
      <c r="C508" s="15"/>
      <c r="D508" s="15"/>
      <c r="E508" s="15"/>
      <c r="F508" s="15"/>
      <c r="G508" s="90"/>
      <c r="H508" s="15"/>
      <c r="I508" s="15"/>
      <c r="J508" s="15"/>
      <c r="K508" s="15"/>
      <c r="L508" s="62" t="str">
        <f t="shared" si="1"/>
        <v/>
      </c>
    </row>
    <row r="509">
      <c r="A509" s="15"/>
      <c r="B509" s="15"/>
      <c r="C509" s="15"/>
      <c r="D509" s="15"/>
      <c r="E509" s="15"/>
      <c r="F509" s="15"/>
      <c r="G509" s="90"/>
      <c r="H509" s="15"/>
      <c r="I509" s="15"/>
      <c r="J509" s="15"/>
      <c r="K509" s="15"/>
      <c r="L509" s="62" t="str">
        <f t="shared" si="1"/>
        <v/>
      </c>
    </row>
    <row r="510">
      <c r="A510" s="15"/>
      <c r="B510" s="15"/>
      <c r="C510" s="15"/>
      <c r="D510" s="15"/>
      <c r="E510" s="15"/>
      <c r="F510" s="15"/>
      <c r="G510" s="90"/>
      <c r="H510" s="15"/>
      <c r="I510" s="15"/>
      <c r="J510" s="15"/>
      <c r="K510" s="15"/>
      <c r="L510" s="62" t="str">
        <f t="shared" si="1"/>
        <v/>
      </c>
    </row>
    <row r="511">
      <c r="A511" s="15"/>
      <c r="B511" s="15"/>
      <c r="C511" s="15"/>
      <c r="D511" s="15"/>
      <c r="E511" s="15"/>
      <c r="F511" s="15"/>
      <c r="G511" s="90"/>
      <c r="H511" s="15"/>
      <c r="I511" s="15"/>
      <c r="J511" s="15"/>
      <c r="K511" s="15"/>
      <c r="L511" s="62" t="str">
        <f t="shared" si="1"/>
        <v/>
      </c>
    </row>
    <row r="512">
      <c r="A512" s="15"/>
      <c r="B512" s="15"/>
      <c r="C512" s="15"/>
      <c r="D512" s="15"/>
      <c r="E512" s="15"/>
      <c r="F512" s="15"/>
      <c r="G512" s="90"/>
      <c r="H512" s="15"/>
      <c r="I512" s="15"/>
      <c r="J512" s="15"/>
      <c r="K512" s="15"/>
      <c r="L512" s="62" t="str">
        <f t="shared" si="1"/>
        <v/>
      </c>
    </row>
    <row r="513">
      <c r="A513" s="15"/>
      <c r="B513" s="15"/>
      <c r="C513" s="15"/>
      <c r="D513" s="15"/>
      <c r="E513" s="15"/>
      <c r="F513" s="15"/>
      <c r="G513" s="90"/>
      <c r="H513" s="15"/>
      <c r="I513" s="15"/>
      <c r="J513" s="15"/>
      <c r="K513" s="15"/>
      <c r="L513" s="62" t="str">
        <f t="shared" si="1"/>
        <v/>
      </c>
    </row>
    <row r="514">
      <c r="A514" s="15"/>
      <c r="B514" s="15"/>
      <c r="C514" s="15"/>
      <c r="D514" s="15"/>
      <c r="E514" s="15"/>
      <c r="F514" s="15"/>
      <c r="G514" s="90"/>
      <c r="H514" s="15"/>
      <c r="I514" s="15"/>
      <c r="J514" s="15"/>
      <c r="K514" s="15"/>
      <c r="L514" s="62" t="str">
        <f t="shared" si="1"/>
        <v/>
      </c>
    </row>
    <row r="515">
      <c r="A515" s="15"/>
      <c r="B515" s="15"/>
      <c r="C515" s="15"/>
      <c r="D515" s="15"/>
      <c r="E515" s="15"/>
      <c r="F515" s="15"/>
      <c r="G515" s="90"/>
      <c r="H515" s="15"/>
      <c r="I515" s="15"/>
      <c r="J515" s="15"/>
      <c r="K515" s="15"/>
      <c r="L515" s="62" t="str">
        <f t="shared" si="1"/>
        <v/>
      </c>
    </row>
    <row r="516">
      <c r="A516" s="15"/>
      <c r="B516" s="15"/>
      <c r="C516" s="15"/>
      <c r="D516" s="15"/>
      <c r="E516" s="15"/>
      <c r="F516" s="15"/>
      <c r="G516" s="90"/>
      <c r="H516" s="15"/>
      <c r="I516" s="15"/>
      <c r="J516" s="15"/>
      <c r="K516" s="15"/>
      <c r="L516" s="62" t="str">
        <f t="shared" si="1"/>
        <v/>
      </c>
    </row>
    <row r="517">
      <c r="A517" s="15"/>
      <c r="B517" s="15"/>
      <c r="C517" s="15"/>
      <c r="D517" s="15"/>
      <c r="E517" s="15"/>
      <c r="F517" s="15"/>
      <c r="G517" s="90"/>
      <c r="H517" s="15"/>
      <c r="I517" s="15"/>
      <c r="J517" s="15"/>
      <c r="K517" s="15"/>
      <c r="L517" s="62" t="str">
        <f t="shared" si="1"/>
        <v/>
      </c>
    </row>
    <row r="518">
      <c r="A518" s="15"/>
      <c r="B518" s="15"/>
      <c r="C518" s="15"/>
      <c r="D518" s="15"/>
      <c r="E518" s="15"/>
      <c r="F518" s="15"/>
      <c r="G518" s="90"/>
      <c r="H518" s="15"/>
      <c r="I518" s="15"/>
      <c r="J518" s="15"/>
      <c r="K518" s="15"/>
      <c r="L518" s="62" t="str">
        <f t="shared" si="1"/>
        <v/>
      </c>
    </row>
    <row r="519">
      <c r="A519" s="15"/>
      <c r="B519" s="15"/>
      <c r="C519" s="15"/>
      <c r="D519" s="15"/>
      <c r="E519" s="15"/>
      <c r="F519" s="15"/>
      <c r="G519" s="90"/>
      <c r="H519" s="15"/>
      <c r="I519" s="15"/>
      <c r="J519" s="15"/>
      <c r="K519" s="15"/>
      <c r="L519" s="62" t="str">
        <f t="shared" si="1"/>
        <v/>
      </c>
    </row>
    <row r="520">
      <c r="A520" s="15"/>
      <c r="B520" s="15"/>
      <c r="C520" s="15"/>
      <c r="D520" s="15"/>
      <c r="E520" s="15"/>
      <c r="F520" s="15"/>
      <c r="G520" s="90"/>
      <c r="H520" s="15"/>
      <c r="I520" s="15"/>
      <c r="J520" s="15"/>
      <c r="K520" s="15"/>
      <c r="L520" s="62" t="str">
        <f t="shared" si="1"/>
        <v/>
      </c>
    </row>
    <row r="521">
      <c r="A521" s="15"/>
      <c r="B521" s="15"/>
      <c r="C521" s="15"/>
      <c r="D521" s="15"/>
      <c r="E521" s="15"/>
      <c r="F521" s="15"/>
      <c r="G521" s="90"/>
      <c r="H521" s="15"/>
      <c r="I521" s="15"/>
      <c r="J521" s="15"/>
      <c r="K521" s="15"/>
      <c r="L521" s="62" t="str">
        <f t="shared" si="1"/>
        <v/>
      </c>
    </row>
    <row r="522">
      <c r="A522" s="15"/>
      <c r="B522" s="15"/>
      <c r="C522" s="15"/>
      <c r="D522" s="15"/>
      <c r="E522" s="15"/>
      <c r="F522" s="15"/>
      <c r="G522" s="90"/>
      <c r="H522" s="15"/>
      <c r="I522" s="15"/>
      <c r="J522" s="15"/>
      <c r="K522" s="15"/>
      <c r="L522" s="62" t="str">
        <f t="shared" si="1"/>
        <v/>
      </c>
    </row>
    <row r="523">
      <c r="A523" s="15"/>
      <c r="B523" s="15"/>
      <c r="C523" s="15"/>
      <c r="D523" s="15"/>
      <c r="E523" s="15"/>
      <c r="F523" s="15"/>
      <c r="G523" s="90"/>
      <c r="H523" s="15"/>
      <c r="I523" s="15"/>
      <c r="J523" s="15"/>
      <c r="K523" s="15"/>
      <c r="L523" s="62" t="str">
        <f t="shared" si="1"/>
        <v/>
      </c>
    </row>
    <row r="524">
      <c r="A524" s="15"/>
      <c r="B524" s="15"/>
      <c r="C524" s="15"/>
      <c r="D524" s="15"/>
      <c r="E524" s="15"/>
      <c r="F524" s="15"/>
      <c r="G524" s="90"/>
      <c r="H524" s="15"/>
      <c r="I524" s="15"/>
      <c r="J524" s="15"/>
      <c r="K524" s="15"/>
      <c r="L524" s="62" t="str">
        <f t="shared" si="1"/>
        <v/>
      </c>
    </row>
    <row r="525">
      <c r="A525" s="15"/>
      <c r="B525" s="15"/>
      <c r="C525" s="15"/>
      <c r="D525" s="15"/>
      <c r="E525" s="15"/>
      <c r="F525" s="15"/>
      <c r="G525" s="90"/>
      <c r="H525" s="15"/>
      <c r="I525" s="15"/>
      <c r="J525" s="15"/>
      <c r="K525" s="15"/>
      <c r="L525" s="62" t="str">
        <f t="shared" si="1"/>
        <v/>
      </c>
    </row>
    <row r="526">
      <c r="A526" s="15"/>
      <c r="B526" s="15"/>
      <c r="C526" s="15"/>
      <c r="D526" s="15"/>
      <c r="E526" s="15"/>
      <c r="F526" s="15"/>
      <c r="G526" s="90"/>
      <c r="H526" s="15"/>
      <c r="I526" s="15"/>
      <c r="J526" s="15"/>
      <c r="K526" s="15"/>
      <c r="L526" s="62" t="str">
        <f t="shared" si="1"/>
        <v/>
      </c>
    </row>
    <row r="527">
      <c r="A527" s="15"/>
      <c r="B527" s="15"/>
      <c r="C527" s="15"/>
      <c r="D527" s="15"/>
      <c r="E527" s="15"/>
      <c r="F527" s="15"/>
      <c r="G527" s="90"/>
      <c r="H527" s="15"/>
      <c r="I527" s="15"/>
      <c r="J527" s="15"/>
      <c r="K527" s="15"/>
      <c r="L527" s="62" t="str">
        <f t="shared" si="1"/>
        <v/>
      </c>
    </row>
    <row r="528">
      <c r="A528" s="15"/>
      <c r="B528" s="15"/>
      <c r="C528" s="15"/>
      <c r="D528" s="15"/>
      <c r="E528" s="15"/>
      <c r="F528" s="15"/>
      <c r="G528" s="90"/>
      <c r="H528" s="15"/>
      <c r="I528" s="15"/>
      <c r="J528" s="15"/>
      <c r="K528" s="15"/>
      <c r="L528" s="62" t="str">
        <f t="shared" si="1"/>
        <v/>
      </c>
    </row>
    <row r="529">
      <c r="A529" s="15"/>
      <c r="B529" s="15"/>
      <c r="C529" s="15"/>
      <c r="D529" s="15"/>
      <c r="E529" s="15"/>
      <c r="F529" s="15"/>
      <c r="G529" s="90"/>
      <c r="H529" s="15"/>
      <c r="I529" s="15"/>
      <c r="J529" s="15"/>
      <c r="K529" s="15"/>
      <c r="L529" s="62" t="str">
        <f t="shared" si="1"/>
        <v/>
      </c>
    </row>
    <row r="530">
      <c r="A530" s="15"/>
      <c r="B530" s="15"/>
      <c r="C530" s="15"/>
      <c r="D530" s="15"/>
      <c r="E530" s="15"/>
      <c r="F530" s="15"/>
      <c r="G530" s="90"/>
      <c r="H530" s="15"/>
      <c r="I530" s="15"/>
      <c r="J530" s="15"/>
      <c r="K530" s="15"/>
      <c r="L530" s="62" t="str">
        <f t="shared" si="1"/>
        <v/>
      </c>
    </row>
    <row r="531">
      <c r="A531" s="15"/>
      <c r="B531" s="15"/>
      <c r="C531" s="15"/>
      <c r="D531" s="15"/>
      <c r="E531" s="15"/>
      <c r="F531" s="15"/>
      <c r="G531" s="90"/>
      <c r="H531" s="15"/>
      <c r="I531" s="15"/>
      <c r="J531" s="15"/>
      <c r="K531" s="15"/>
      <c r="L531" s="62" t="str">
        <f t="shared" si="1"/>
        <v/>
      </c>
    </row>
    <row r="532">
      <c r="A532" s="15"/>
      <c r="B532" s="15"/>
      <c r="C532" s="15"/>
      <c r="D532" s="15"/>
      <c r="E532" s="15"/>
      <c r="F532" s="15"/>
      <c r="G532" s="90"/>
      <c r="H532" s="15"/>
      <c r="I532" s="15"/>
      <c r="J532" s="15"/>
      <c r="K532" s="15"/>
      <c r="L532" s="62" t="str">
        <f t="shared" si="1"/>
        <v/>
      </c>
    </row>
    <row r="533">
      <c r="A533" s="15"/>
      <c r="B533" s="15"/>
      <c r="C533" s="15"/>
      <c r="D533" s="15"/>
      <c r="E533" s="15"/>
      <c r="F533" s="15"/>
      <c r="G533" s="90"/>
      <c r="H533" s="15"/>
      <c r="I533" s="15"/>
      <c r="J533" s="15"/>
      <c r="K533" s="15"/>
      <c r="L533" s="62" t="str">
        <f t="shared" si="1"/>
        <v/>
      </c>
    </row>
    <row r="534">
      <c r="A534" s="15"/>
      <c r="B534" s="15"/>
      <c r="C534" s="15"/>
      <c r="D534" s="15"/>
      <c r="E534" s="15"/>
      <c r="F534" s="15"/>
      <c r="G534" s="90"/>
      <c r="H534" s="15"/>
      <c r="I534" s="15"/>
      <c r="J534" s="15"/>
      <c r="K534" s="15"/>
      <c r="L534" s="62" t="str">
        <f t="shared" si="1"/>
        <v/>
      </c>
    </row>
    <row r="535">
      <c r="A535" s="15"/>
      <c r="B535" s="15"/>
      <c r="C535" s="15"/>
      <c r="D535" s="15"/>
      <c r="E535" s="15"/>
      <c r="F535" s="15"/>
      <c r="G535" s="90"/>
      <c r="H535" s="15"/>
      <c r="I535" s="15"/>
      <c r="J535" s="15"/>
      <c r="K535" s="15"/>
      <c r="L535" s="62" t="str">
        <f t="shared" si="1"/>
        <v/>
      </c>
    </row>
    <row r="536">
      <c r="A536" s="15"/>
      <c r="B536" s="15"/>
      <c r="C536" s="15"/>
      <c r="D536" s="15"/>
      <c r="E536" s="15"/>
      <c r="F536" s="15"/>
      <c r="G536" s="90"/>
      <c r="H536" s="15"/>
      <c r="I536" s="15"/>
      <c r="J536" s="15"/>
      <c r="K536" s="15"/>
      <c r="L536" s="62" t="str">
        <f t="shared" si="1"/>
        <v/>
      </c>
    </row>
    <row r="537">
      <c r="A537" s="15"/>
      <c r="B537" s="15"/>
      <c r="C537" s="15"/>
      <c r="D537" s="15"/>
      <c r="E537" s="15"/>
      <c r="F537" s="15"/>
      <c r="G537" s="90"/>
      <c r="H537" s="15"/>
      <c r="I537" s="15"/>
      <c r="J537" s="15"/>
      <c r="K537" s="15"/>
      <c r="L537" s="62" t="str">
        <f t="shared" si="1"/>
        <v/>
      </c>
    </row>
    <row r="538">
      <c r="A538" s="15"/>
      <c r="B538" s="15"/>
      <c r="C538" s="15"/>
      <c r="D538" s="15"/>
      <c r="E538" s="15"/>
      <c r="F538" s="15"/>
      <c r="G538" s="90"/>
      <c r="H538" s="15"/>
      <c r="I538" s="15"/>
      <c r="J538" s="15"/>
      <c r="K538" s="15"/>
      <c r="L538" s="62" t="str">
        <f t="shared" si="1"/>
        <v/>
      </c>
    </row>
    <row r="539">
      <c r="A539" s="15"/>
      <c r="B539" s="15"/>
      <c r="C539" s="15"/>
      <c r="D539" s="15"/>
      <c r="E539" s="15"/>
      <c r="F539" s="15"/>
      <c r="G539" s="90"/>
      <c r="H539" s="15"/>
      <c r="I539" s="15"/>
      <c r="J539" s="15"/>
      <c r="K539" s="15"/>
      <c r="L539" s="62" t="str">
        <f t="shared" si="1"/>
        <v/>
      </c>
    </row>
    <row r="540">
      <c r="A540" s="15"/>
      <c r="B540" s="15"/>
      <c r="C540" s="15"/>
      <c r="D540" s="15"/>
      <c r="E540" s="15"/>
      <c r="F540" s="15"/>
      <c r="G540" s="90"/>
      <c r="H540" s="15"/>
      <c r="I540" s="15"/>
      <c r="J540" s="15"/>
      <c r="K540" s="15"/>
      <c r="L540" s="62" t="str">
        <f t="shared" si="1"/>
        <v/>
      </c>
    </row>
    <row r="541">
      <c r="A541" s="15"/>
      <c r="B541" s="15"/>
      <c r="C541" s="15"/>
      <c r="D541" s="15"/>
      <c r="E541" s="15"/>
      <c r="F541" s="15"/>
      <c r="G541" s="90"/>
      <c r="H541" s="15"/>
      <c r="I541" s="15"/>
      <c r="J541" s="15"/>
      <c r="K541" s="15"/>
      <c r="L541" s="62" t="str">
        <f t="shared" si="1"/>
        <v/>
      </c>
    </row>
    <row r="542">
      <c r="A542" s="15"/>
      <c r="B542" s="15"/>
      <c r="C542" s="15"/>
      <c r="D542" s="15"/>
      <c r="E542" s="15"/>
      <c r="F542" s="15"/>
      <c r="G542" s="90"/>
      <c r="H542" s="15"/>
      <c r="I542" s="15"/>
      <c r="J542" s="15"/>
      <c r="K542" s="15"/>
      <c r="L542" s="62" t="str">
        <f t="shared" si="1"/>
        <v/>
      </c>
    </row>
    <row r="543">
      <c r="A543" s="15"/>
      <c r="B543" s="15"/>
      <c r="C543" s="15"/>
      <c r="D543" s="15"/>
      <c r="E543" s="15"/>
      <c r="F543" s="15"/>
      <c r="G543" s="90"/>
      <c r="H543" s="15"/>
      <c r="I543" s="15"/>
      <c r="J543" s="15"/>
      <c r="K543" s="15"/>
      <c r="L543" s="62" t="str">
        <f t="shared" si="1"/>
        <v/>
      </c>
    </row>
    <row r="544">
      <c r="A544" s="15"/>
      <c r="B544" s="15"/>
      <c r="C544" s="15"/>
      <c r="D544" s="15"/>
      <c r="E544" s="15"/>
      <c r="F544" s="15"/>
      <c r="G544" s="90"/>
      <c r="H544" s="15"/>
      <c r="I544" s="15"/>
      <c r="J544" s="15"/>
      <c r="K544" s="15"/>
      <c r="L544" s="62" t="str">
        <f t="shared" si="1"/>
        <v/>
      </c>
    </row>
    <row r="545">
      <c r="A545" s="15"/>
      <c r="B545" s="15"/>
      <c r="C545" s="15"/>
      <c r="D545" s="15"/>
      <c r="E545" s="15"/>
      <c r="F545" s="15"/>
      <c r="G545" s="90"/>
      <c r="H545" s="15"/>
      <c r="I545" s="15"/>
      <c r="J545" s="15"/>
      <c r="K545" s="15"/>
      <c r="L545" s="62" t="str">
        <f t="shared" si="1"/>
        <v/>
      </c>
    </row>
    <row r="546">
      <c r="A546" s="15"/>
      <c r="B546" s="15"/>
      <c r="C546" s="15"/>
      <c r="D546" s="15"/>
      <c r="E546" s="15"/>
      <c r="F546" s="15"/>
      <c r="G546" s="90"/>
      <c r="H546" s="15"/>
      <c r="I546" s="15"/>
      <c r="J546" s="15"/>
      <c r="K546" s="15"/>
      <c r="L546" s="62" t="str">
        <f t="shared" si="1"/>
        <v/>
      </c>
    </row>
    <row r="547">
      <c r="A547" s="15"/>
      <c r="B547" s="15"/>
      <c r="C547" s="15"/>
      <c r="D547" s="15"/>
      <c r="E547" s="15"/>
      <c r="F547" s="15"/>
      <c r="G547" s="90"/>
      <c r="H547" s="15"/>
      <c r="I547" s="15"/>
      <c r="J547" s="15"/>
      <c r="K547" s="15"/>
      <c r="L547" s="62" t="str">
        <f t="shared" si="1"/>
        <v/>
      </c>
    </row>
    <row r="548">
      <c r="A548" s="15"/>
      <c r="B548" s="15"/>
      <c r="C548" s="15"/>
      <c r="D548" s="15"/>
      <c r="E548" s="15"/>
      <c r="F548" s="15"/>
      <c r="G548" s="90"/>
      <c r="H548" s="15"/>
      <c r="I548" s="15"/>
      <c r="J548" s="15"/>
      <c r="K548" s="15"/>
      <c r="L548" s="62" t="str">
        <f t="shared" si="1"/>
        <v/>
      </c>
    </row>
    <row r="549">
      <c r="A549" s="15"/>
      <c r="B549" s="15"/>
      <c r="C549" s="15"/>
      <c r="D549" s="15"/>
      <c r="E549" s="15"/>
      <c r="F549" s="15"/>
      <c r="G549" s="90"/>
      <c r="H549" s="15"/>
      <c r="I549" s="15"/>
      <c r="J549" s="15"/>
      <c r="K549" s="15"/>
      <c r="L549" s="62" t="str">
        <f t="shared" si="1"/>
        <v/>
      </c>
    </row>
    <row r="550">
      <c r="A550" s="15"/>
      <c r="B550" s="15"/>
      <c r="C550" s="15"/>
      <c r="D550" s="15"/>
      <c r="E550" s="15"/>
      <c r="F550" s="15"/>
      <c r="G550" s="90"/>
      <c r="H550" s="15"/>
      <c r="I550" s="15"/>
      <c r="J550" s="15"/>
      <c r="K550" s="15"/>
      <c r="L550" s="62" t="str">
        <f t="shared" si="1"/>
        <v/>
      </c>
    </row>
    <row r="551">
      <c r="A551" s="15"/>
      <c r="B551" s="15"/>
      <c r="C551" s="15"/>
      <c r="D551" s="15"/>
      <c r="E551" s="15"/>
      <c r="F551" s="15"/>
      <c r="G551" s="90"/>
      <c r="H551" s="15"/>
      <c r="I551" s="15"/>
      <c r="J551" s="15"/>
      <c r="K551" s="15"/>
      <c r="L551" s="62" t="str">
        <f t="shared" si="1"/>
        <v/>
      </c>
    </row>
    <row r="552">
      <c r="A552" s="15"/>
      <c r="B552" s="15"/>
      <c r="C552" s="15"/>
      <c r="D552" s="15"/>
      <c r="E552" s="15"/>
      <c r="F552" s="15"/>
      <c r="G552" s="90"/>
      <c r="H552" s="15"/>
      <c r="I552" s="15"/>
      <c r="J552" s="15"/>
      <c r="K552" s="15"/>
      <c r="L552" s="62" t="str">
        <f t="shared" si="1"/>
        <v/>
      </c>
    </row>
    <row r="553">
      <c r="A553" s="15"/>
      <c r="B553" s="15"/>
      <c r="C553" s="15"/>
      <c r="D553" s="15"/>
      <c r="E553" s="15"/>
      <c r="F553" s="15"/>
      <c r="G553" s="90"/>
      <c r="H553" s="15"/>
      <c r="I553" s="15"/>
      <c r="J553" s="15"/>
      <c r="K553" s="15"/>
      <c r="L553" s="62" t="str">
        <f t="shared" si="1"/>
        <v/>
      </c>
    </row>
    <row r="554">
      <c r="A554" s="15"/>
      <c r="B554" s="15"/>
      <c r="C554" s="15"/>
      <c r="D554" s="15"/>
      <c r="E554" s="15"/>
      <c r="F554" s="15"/>
      <c r="G554" s="90"/>
      <c r="H554" s="15"/>
      <c r="I554" s="15"/>
      <c r="J554" s="15"/>
      <c r="K554" s="15"/>
      <c r="L554" s="62" t="str">
        <f t="shared" si="1"/>
        <v/>
      </c>
    </row>
    <row r="555">
      <c r="A555" s="15"/>
      <c r="B555" s="15"/>
      <c r="C555" s="15"/>
      <c r="D555" s="15"/>
      <c r="E555" s="15"/>
      <c r="F555" s="15"/>
      <c r="G555" s="90"/>
      <c r="H555" s="15"/>
      <c r="I555" s="15"/>
      <c r="J555" s="15"/>
      <c r="K555" s="15"/>
      <c r="L555" s="62" t="str">
        <f t="shared" si="1"/>
        <v/>
      </c>
    </row>
    <row r="556">
      <c r="A556" s="15"/>
      <c r="B556" s="15"/>
      <c r="C556" s="15"/>
      <c r="D556" s="15"/>
      <c r="E556" s="15"/>
      <c r="F556" s="15"/>
      <c r="G556" s="90"/>
      <c r="H556" s="15"/>
      <c r="I556" s="15"/>
      <c r="J556" s="15"/>
      <c r="K556" s="15"/>
      <c r="L556" s="62" t="str">
        <f t="shared" si="1"/>
        <v/>
      </c>
    </row>
    <row r="557">
      <c r="A557" s="15"/>
      <c r="B557" s="15"/>
      <c r="C557" s="15"/>
      <c r="D557" s="15"/>
      <c r="E557" s="15"/>
      <c r="F557" s="15"/>
      <c r="G557" s="90"/>
      <c r="H557" s="15"/>
      <c r="I557" s="15"/>
      <c r="J557" s="15"/>
      <c r="K557" s="15"/>
      <c r="L557" s="62" t="str">
        <f t="shared" si="1"/>
        <v/>
      </c>
    </row>
    <row r="558">
      <c r="A558" s="15"/>
      <c r="B558" s="15"/>
      <c r="C558" s="15"/>
      <c r="D558" s="15"/>
      <c r="E558" s="15"/>
      <c r="F558" s="15"/>
      <c r="G558" s="90"/>
      <c r="H558" s="15"/>
      <c r="I558" s="15"/>
      <c r="J558" s="15"/>
      <c r="K558" s="15"/>
      <c r="L558" s="62" t="str">
        <f t="shared" si="1"/>
        <v/>
      </c>
    </row>
    <row r="559">
      <c r="A559" s="15"/>
      <c r="B559" s="15"/>
      <c r="C559" s="15"/>
      <c r="D559" s="15"/>
      <c r="E559" s="15"/>
      <c r="F559" s="15"/>
      <c r="G559" s="90"/>
      <c r="H559" s="15"/>
      <c r="I559" s="15"/>
      <c r="J559" s="15"/>
      <c r="K559" s="15"/>
      <c r="L559" s="62" t="str">
        <f t="shared" si="1"/>
        <v/>
      </c>
    </row>
    <row r="560">
      <c r="A560" s="15"/>
      <c r="B560" s="15"/>
      <c r="C560" s="15"/>
      <c r="D560" s="15"/>
      <c r="E560" s="15"/>
      <c r="F560" s="15"/>
      <c r="G560" s="90"/>
      <c r="H560" s="15"/>
      <c r="I560" s="15"/>
      <c r="J560" s="15"/>
      <c r="K560" s="15"/>
      <c r="L560" s="62" t="str">
        <f t="shared" si="1"/>
        <v/>
      </c>
    </row>
    <row r="561">
      <c r="A561" s="15"/>
      <c r="B561" s="15"/>
      <c r="C561" s="15"/>
      <c r="D561" s="15"/>
      <c r="E561" s="15"/>
      <c r="F561" s="15"/>
      <c r="G561" s="90"/>
      <c r="H561" s="15"/>
      <c r="I561" s="15"/>
      <c r="J561" s="15"/>
      <c r="K561" s="15"/>
      <c r="L561" s="62" t="str">
        <f t="shared" si="1"/>
        <v/>
      </c>
    </row>
    <row r="562">
      <c r="A562" s="15"/>
      <c r="B562" s="15"/>
      <c r="C562" s="15"/>
      <c r="D562" s="15"/>
      <c r="E562" s="15"/>
      <c r="F562" s="15"/>
      <c r="G562" s="90"/>
      <c r="H562" s="15"/>
      <c r="I562" s="15"/>
      <c r="J562" s="15"/>
      <c r="K562" s="15"/>
      <c r="L562" s="62" t="str">
        <f t="shared" si="1"/>
        <v/>
      </c>
    </row>
    <row r="563">
      <c r="A563" s="15"/>
      <c r="B563" s="15"/>
      <c r="C563" s="15"/>
      <c r="D563" s="15"/>
      <c r="E563" s="15"/>
      <c r="F563" s="15"/>
      <c r="G563" s="90"/>
      <c r="H563" s="15"/>
      <c r="I563" s="15"/>
      <c r="J563" s="15"/>
      <c r="K563" s="15"/>
      <c r="L563" s="62" t="str">
        <f t="shared" si="1"/>
        <v/>
      </c>
    </row>
    <row r="564">
      <c r="A564" s="15"/>
      <c r="B564" s="15"/>
      <c r="C564" s="15"/>
      <c r="D564" s="15"/>
      <c r="E564" s="15"/>
      <c r="F564" s="15"/>
      <c r="G564" s="90"/>
      <c r="H564" s="15"/>
      <c r="I564" s="15"/>
      <c r="J564" s="15"/>
      <c r="K564" s="15"/>
      <c r="L564" s="62" t="str">
        <f t="shared" si="1"/>
        <v/>
      </c>
    </row>
    <row r="565">
      <c r="A565" s="15"/>
      <c r="B565" s="15"/>
      <c r="C565" s="15"/>
      <c r="D565" s="15"/>
      <c r="E565" s="15"/>
      <c r="F565" s="15"/>
      <c r="G565" s="90"/>
      <c r="H565" s="15"/>
      <c r="I565" s="15"/>
      <c r="J565" s="15"/>
      <c r="K565" s="15"/>
      <c r="L565" s="62" t="str">
        <f t="shared" si="1"/>
        <v/>
      </c>
    </row>
    <row r="566">
      <c r="A566" s="15"/>
      <c r="B566" s="15"/>
      <c r="C566" s="15"/>
      <c r="D566" s="15"/>
      <c r="E566" s="15"/>
      <c r="F566" s="15"/>
      <c r="G566" s="90"/>
      <c r="H566" s="15"/>
      <c r="I566" s="15"/>
      <c r="J566" s="15"/>
      <c r="K566" s="15"/>
      <c r="L566" s="62" t="str">
        <f t="shared" si="1"/>
        <v/>
      </c>
    </row>
    <row r="567">
      <c r="A567" s="15"/>
      <c r="B567" s="15"/>
      <c r="C567" s="15"/>
      <c r="D567" s="15"/>
      <c r="E567" s="15"/>
      <c r="F567" s="15"/>
      <c r="G567" s="90"/>
      <c r="H567" s="15"/>
      <c r="I567" s="15"/>
      <c r="J567" s="15"/>
      <c r="K567" s="15"/>
      <c r="L567" s="62" t="str">
        <f t="shared" si="1"/>
        <v/>
      </c>
    </row>
    <row r="568">
      <c r="A568" s="15"/>
      <c r="B568" s="15"/>
      <c r="C568" s="15"/>
      <c r="D568" s="15"/>
      <c r="E568" s="15"/>
      <c r="F568" s="15"/>
      <c r="G568" s="90"/>
      <c r="H568" s="15"/>
      <c r="I568" s="15"/>
      <c r="J568" s="15"/>
      <c r="K568" s="15"/>
      <c r="L568" s="62" t="str">
        <f t="shared" si="1"/>
        <v/>
      </c>
    </row>
    <row r="569">
      <c r="A569" s="15"/>
      <c r="B569" s="15"/>
      <c r="C569" s="15"/>
      <c r="D569" s="15"/>
      <c r="E569" s="15"/>
      <c r="F569" s="15"/>
      <c r="G569" s="90"/>
      <c r="H569" s="15"/>
      <c r="I569" s="15"/>
      <c r="J569" s="15"/>
      <c r="K569" s="15"/>
      <c r="L569" s="62" t="str">
        <f t="shared" si="1"/>
        <v/>
      </c>
    </row>
    <row r="570">
      <c r="A570" s="15"/>
      <c r="B570" s="15"/>
      <c r="C570" s="15"/>
      <c r="D570" s="15"/>
      <c r="E570" s="15"/>
      <c r="F570" s="15"/>
      <c r="G570" s="90"/>
      <c r="H570" s="15"/>
      <c r="I570" s="15"/>
      <c r="J570" s="15"/>
      <c r="K570" s="15"/>
      <c r="L570" s="62" t="str">
        <f t="shared" si="1"/>
        <v/>
      </c>
    </row>
    <row r="571">
      <c r="A571" s="15"/>
      <c r="B571" s="15"/>
      <c r="C571" s="15"/>
      <c r="D571" s="15"/>
      <c r="E571" s="15"/>
      <c r="F571" s="15"/>
      <c r="G571" s="90"/>
      <c r="H571" s="15"/>
      <c r="I571" s="15"/>
      <c r="J571" s="15"/>
      <c r="K571" s="15"/>
      <c r="L571" s="62" t="str">
        <f t="shared" si="1"/>
        <v/>
      </c>
    </row>
    <row r="572">
      <c r="A572" s="15"/>
      <c r="B572" s="15"/>
      <c r="C572" s="15"/>
      <c r="D572" s="15"/>
      <c r="E572" s="15"/>
      <c r="F572" s="15"/>
      <c r="G572" s="90"/>
      <c r="H572" s="15"/>
      <c r="I572" s="15"/>
      <c r="J572" s="15"/>
      <c r="K572" s="15"/>
      <c r="L572" s="62" t="str">
        <f t="shared" si="1"/>
        <v/>
      </c>
    </row>
    <row r="573">
      <c r="A573" s="15"/>
      <c r="B573" s="15"/>
      <c r="C573" s="15"/>
      <c r="D573" s="15"/>
      <c r="E573" s="15"/>
      <c r="F573" s="15"/>
      <c r="G573" s="90"/>
      <c r="H573" s="15"/>
      <c r="I573" s="15"/>
      <c r="J573" s="15"/>
      <c r="K573" s="15"/>
      <c r="L573" s="62" t="str">
        <f t="shared" si="1"/>
        <v/>
      </c>
    </row>
    <row r="574">
      <c r="A574" s="15"/>
      <c r="B574" s="15"/>
      <c r="C574" s="15"/>
      <c r="D574" s="15"/>
      <c r="E574" s="15"/>
      <c r="F574" s="15"/>
      <c r="G574" s="90"/>
      <c r="H574" s="15"/>
      <c r="I574" s="15"/>
      <c r="J574" s="15"/>
      <c r="K574" s="15"/>
      <c r="L574" s="62" t="str">
        <f t="shared" si="1"/>
        <v/>
      </c>
    </row>
    <row r="575">
      <c r="A575" s="15"/>
      <c r="B575" s="15"/>
      <c r="C575" s="15"/>
      <c r="D575" s="15"/>
      <c r="E575" s="15"/>
      <c r="F575" s="15"/>
      <c r="G575" s="90"/>
      <c r="H575" s="15"/>
      <c r="I575" s="15"/>
      <c r="J575" s="15"/>
      <c r="K575" s="15"/>
      <c r="L575" s="62" t="str">
        <f t="shared" si="1"/>
        <v/>
      </c>
    </row>
    <row r="576">
      <c r="A576" s="15"/>
      <c r="B576" s="15"/>
      <c r="C576" s="15"/>
      <c r="D576" s="15"/>
      <c r="E576" s="15"/>
      <c r="F576" s="15"/>
      <c r="G576" s="90"/>
      <c r="H576" s="15"/>
      <c r="I576" s="15"/>
      <c r="J576" s="15"/>
      <c r="K576" s="15"/>
      <c r="L576" s="62" t="str">
        <f t="shared" si="1"/>
        <v/>
      </c>
    </row>
    <row r="577">
      <c r="A577" s="15"/>
      <c r="B577" s="15"/>
      <c r="C577" s="15"/>
      <c r="D577" s="15"/>
      <c r="E577" s="15"/>
      <c r="F577" s="15"/>
      <c r="G577" s="90"/>
      <c r="H577" s="15"/>
      <c r="I577" s="15"/>
      <c r="J577" s="15"/>
      <c r="K577" s="15"/>
      <c r="L577" s="62" t="str">
        <f t="shared" si="1"/>
        <v/>
      </c>
    </row>
    <row r="578">
      <c r="A578" s="15"/>
      <c r="B578" s="15"/>
      <c r="C578" s="15"/>
      <c r="D578" s="15"/>
      <c r="E578" s="15"/>
      <c r="F578" s="15"/>
      <c r="G578" s="90"/>
      <c r="H578" s="15"/>
      <c r="I578" s="15"/>
      <c r="J578" s="15"/>
      <c r="K578" s="15"/>
      <c r="L578" s="62" t="str">
        <f t="shared" si="1"/>
        <v/>
      </c>
    </row>
    <row r="579">
      <c r="A579" s="15"/>
      <c r="B579" s="15"/>
      <c r="C579" s="15"/>
      <c r="D579" s="15"/>
      <c r="E579" s="15"/>
      <c r="F579" s="15"/>
      <c r="G579" s="90"/>
      <c r="H579" s="15"/>
      <c r="I579" s="15"/>
      <c r="J579" s="15"/>
      <c r="K579" s="15"/>
      <c r="L579" s="62" t="str">
        <f t="shared" si="1"/>
        <v/>
      </c>
    </row>
    <row r="580">
      <c r="A580" s="15"/>
      <c r="B580" s="15"/>
      <c r="C580" s="15"/>
      <c r="D580" s="15"/>
      <c r="E580" s="15"/>
      <c r="F580" s="15"/>
      <c r="G580" s="90"/>
      <c r="H580" s="15"/>
      <c r="I580" s="15"/>
      <c r="J580" s="15"/>
      <c r="K580" s="15"/>
      <c r="L580" s="62" t="str">
        <f t="shared" si="1"/>
        <v/>
      </c>
    </row>
    <row r="581">
      <c r="A581" s="15"/>
      <c r="B581" s="15"/>
      <c r="C581" s="15"/>
      <c r="D581" s="15"/>
      <c r="E581" s="15"/>
      <c r="F581" s="15"/>
      <c r="G581" s="90"/>
      <c r="H581" s="15"/>
      <c r="I581" s="15"/>
      <c r="J581" s="15"/>
      <c r="K581" s="15"/>
      <c r="L581" s="62" t="str">
        <f t="shared" si="1"/>
        <v/>
      </c>
    </row>
    <row r="582">
      <c r="A582" s="15"/>
      <c r="B582" s="15"/>
      <c r="C582" s="15"/>
      <c r="D582" s="15"/>
      <c r="E582" s="15"/>
      <c r="F582" s="15"/>
      <c r="G582" s="90"/>
      <c r="H582" s="15"/>
      <c r="I582" s="15"/>
      <c r="J582" s="15"/>
      <c r="K582" s="15"/>
      <c r="L582" s="62" t="str">
        <f t="shared" si="1"/>
        <v/>
      </c>
    </row>
    <row r="583">
      <c r="A583" s="15"/>
      <c r="B583" s="15"/>
      <c r="C583" s="15"/>
      <c r="D583" s="15"/>
      <c r="E583" s="15"/>
      <c r="F583" s="15"/>
      <c r="G583" s="90"/>
      <c r="H583" s="15"/>
      <c r="I583" s="15"/>
      <c r="J583" s="15"/>
      <c r="K583" s="15"/>
      <c r="L583" s="62" t="str">
        <f t="shared" si="1"/>
        <v/>
      </c>
    </row>
    <row r="584">
      <c r="A584" s="15"/>
      <c r="B584" s="15"/>
      <c r="C584" s="15"/>
      <c r="D584" s="15"/>
      <c r="E584" s="15"/>
      <c r="F584" s="15"/>
      <c r="G584" s="90"/>
      <c r="H584" s="15"/>
      <c r="I584" s="15"/>
      <c r="J584" s="15"/>
      <c r="K584" s="15"/>
      <c r="L584" s="62" t="str">
        <f t="shared" si="1"/>
        <v/>
      </c>
    </row>
    <row r="585">
      <c r="A585" s="15"/>
      <c r="B585" s="15"/>
      <c r="C585" s="15"/>
      <c r="D585" s="15"/>
      <c r="E585" s="15"/>
      <c r="F585" s="15"/>
      <c r="G585" s="90"/>
      <c r="H585" s="15"/>
      <c r="I585" s="15"/>
      <c r="J585" s="15"/>
      <c r="K585" s="15"/>
      <c r="L585" s="62" t="str">
        <f t="shared" si="1"/>
        <v/>
      </c>
    </row>
    <row r="586">
      <c r="A586" s="15"/>
      <c r="B586" s="15"/>
      <c r="C586" s="15"/>
      <c r="D586" s="15"/>
      <c r="E586" s="15"/>
      <c r="F586" s="15"/>
      <c r="G586" s="90"/>
      <c r="H586" s="15"/>
      <c r="I586" s="15"/>
      <c r="J586" s="15"/>
      <c r="K586" s="15"/>
      <c r="L586" s="62" t="str">
        <f t="shared" si="1"/>
        <v/>
      </c>
    </row>
    <row r="587">
      <c r="A587" s="15"/>
      <c r="B587" s="15"/>
      <c r="C587" s="15"/>
      <c r="D587" s="15"/>
      <c r="E587" s="15"/>
      <c r="F587" s="15"/>
      <c r="G587" s="90"/>
      <c r="H587" s="15"/>
      <c r="I587" s="15"/>
      <c r="J587" s="15"/>
      <c r="K587" s="15"/>
      <c r="L587" s="62" t="str">
        <f t="shared" si="1"/>
        <v/>
      </c>
    </row>
    <row r="588">
      <c r="A588" s="15"/>
      <c r="B588" s="15"/>
      <c r="C588" s="15"/>
      <c r="D588" s="15"/>
      <c r="E588" s="15"/>
      <c r="F588" s="15"/>
      <c r="G588" s="90"/>
      <c r="H588" s="15"/>
      <c r="I588" s="15"/>
      <c r="J588" s="15"/>
      <c r="K588" s="15"/>
      <c r="L588" s="62" t="str">
        <f t="shared" si="1"/>
        <v/>
      </c>
    </row>
    <row r="589">
      <c r="A589" s="15"/>
      <c r="B589" s="15"/>
      <c r="C589" s="15"/>
      <c r="D589" s="15"/>
      <c r="E589" s="15"/>
      <c r="F589" s="15"/>
      <c r="G589" s="90"/>
      <c r="H589" s="15"/>
      <c r="I589" s="15"/>
      <c r="J589" s="15"/>
      <c r="K589" s="15"/>
      <c r="L589" s="62" t="str">
        <f t="shared" si="1"/>
        <v/>
      </c>
    </row>
    <row r="590">
      <c r="A590" s="15"/>
      <c r="B590" s="15"/>
      <c r="C590" s="15"/>
      <c r="D590" s="15"/>
      <c r="E590" s="15"/>
      <c r="F590" s="15"/>
      <c r="G590" s="90"/>
      <c r="H590" s="15"/>
      <c r="I590" s="15"/>
      <c r="J590" s="15"/>
      <c r="K590" s="15"/>
      <c r="L590" s="62" t="str">
        <f t="shared" si="1"/>
        <v/>
      </c>
    </row>
    <row r="591">
      <c r="A591" s="15"/>
      <c r="B591" s="15"/>
      <c r="C591" s="15"/>
      <c r="D591" s="15"/>
      <c r="E591" s="15"/>
      <c r="F591" s="15"/>
      <c r="G591" s="90"/>
      <c r="H591" s="15"/>
      <c r="I591" s="15"/>
      <c r="J591" s="15"/>
      <c r="K591" s="15"/>
      <c r="L591" s="62" t="str">
        <f t="shared" si="1"/>
        <v/>
      </c>
    </row>
    <row r="592">
      <c r="A592" s="15"/>
      <c r="B592" s="15"/>
      <c r="C592" s="15"/>
      <c r="D592" s="15"/>
      <c r="E592" s="15"/>
      <c r="F592" s="15"/>
      <c r="G592" s="90"/>
      <c r="H592" s="15"/>
      <c r="I592" s="15"/>
      <c r="J592" s="15"/>
      <c r="K592" s="15"/>
      <c r="L592" s="62" t="str">
        <f t="shared" si="1"/>
        <v/>
      </c>
    </row>
    <row r="593">
      <c r="A593" s="15"/>
      <c r="B593" s="15"/>
      <c r="C593" s="15"/>
      <c r="D593" s="15"/>
      <c r="E593" s="15"/>
      <c r="F593" s="15"/>
      <c r="G593" s="90"/>
      <c r="H593" s="15"/>
      <c r="I593" s="15"/>
      <c r="J593" s="15"/>
      <c r="K593" s="15"/>
      <c r="L593" s="62" t="str">
        <f t="shared" si="1"/>
        <v/>
      </c>
    </row>
    <row r="594">
      <c r="A594" s="15"/>
      <c r="B594" s="15"/>
      <c r="C594" s="15"/>
      <c r="D594" s="15"/>
      <c r="E594" s="15"/>
      <c r="F594" s="15"/>
      <c r="G594" s="90"/>
      <c r="H594" s="15"/>
      <c r="I594" s="15"/>
      <c r="J594" s="15"/>
      <c r="K594" s="15"/>
      <c r="L594" s="62" t="str">
        <f t="shared" si="1"/>
        <v/>
      </c>
    </row>
    <row r="595">
      <c r="A595" s="15"/>
      <c r="B595" s="15"/>
      <c r="C595" s="15"/>
      <c r="D595" s="15"/>
      <c r="E595" s="15"/>
      <c r="F595" s="15"/>
      <c r="G595" s="90"/>
      <c r="H595" s="15"/>
      <c r="I595" s="15"/>
      <c r="J595" s="15"/>
      <c r="K595" s="15"/>
      <c r="L595" s="62" t="str">
        <f t="shared" si="1"/>
        <v/>
      </c>
    </row>
    <row r="596">
      <c r="A596" s="15"/>
      <c r="B596" s="15"/>
      <c r="C596" s="15"/>
      <c r="D596" s="15"/>
      <c r="E596" s="15"/>
      <c r="F596" s="15"/>
      <c r="G596" s="90"/>
      <c r="H596" s="15"/>
      <c r="I596" s="15"/>
      <c r="J596" s="15"/>
      <c r="K596" s="15"/>
      <c r="L596" s="62" t="str">
        <f t="shared" si="1"/>
        <v/>
      </c>
    </row>
    <row r="597">
      <c r="A597" s="15"/>
      <c r="B597" s="15"/>
      <c r="C597" s="15"/>
      <c r="D597" s="15"/>
      <c r="E597" s="15"/>
      <c r="F597" s="15"/>
      <c r="G597" s="90"/>
      <c r="H597" s="15"/>
      <c r="I597" s="15"/>
      <c r="J597" s="15"/>
      <c r="K597" s="15"/>
      <c r="L597" s="62" t="str">
        <f t="shared" si="1"/>
        <v/>
      </c>
    </row>
    <row r="598">
      <c r="A598" s="15"/>
      <c r="B598" s="15"/>
      <c r="C598" s="15"/>
      <c r="D598" s="15"/>
      <c r="E598" s="15"/>
      <c r="F598" s="15"/>
      <c r="G598" s="90"/>
      <c r="H598" s="15"/>
      <c r="I598" s="15"/>
      <c r="J598" s="15"/>
      <c r="K598" s="15"/>
      <c r="L598" s="62" t="str">
        <f t="shared" si="1"/>
        <v/>
      </c>
    </row>
    <row r="599">
      <c r="A599" s="15"/>
      <c r="B599" s="15"/>
      <c r="C599" s="15"/>
      <c r="D599" s="15"/>
      <c r="E599" s="15"/>
      <c r="F599" s="15"/>
      <c r="G599" s="90"/>
      <c r="H599" s="15"/>
      <c r="I599" s="15"/>
      <c r="J599" s="15"/>
      <c r="K599" s="15"/>
      <c r="L599" s="62" t="str">
        <f t="shared" si="1"/>
        <v/>
      </c>
    </row>
    <row r="600">
      <c r="A600" s="15"/>
      <c r="B600" s="15"/>
      <c r="C600" s="15"/>
      <c r="D600" s="15"/>
      <c r="E600" s="15"/>
      <c r="F600" s="15"/>
      <c r="G600" s="90"/>
      <c r="H600" s="15"/>
      <c r="I600" s="15"/>
      <c r="J600" s="15"/>
      <c r="K600" s="15"/>
      <c r="L600" s="62" t="str">
        <f t="shared" si="1"/>
        <v/>
      </c>
    </row>
    <row r="601">
      <c r="A601" s="15"/>
      <c r="B601" s="15"/>
      <c r="C601" s="15"/>
      <c r="D601" s="15"/>
      <c r="E601" s="15"/>
      <c r="F601" s="15"/>
      <c r="G601" s="90"/>
      <c r="H601" s="15"/>
      <c r="I601" s="15"/>
      <c r="J601" s="15"/>
      <c r="K601" s="15"/>
      <c r="L601" s="62" t="str">
        <f t="shared" si="1"/>
        <v/>
      </c>
    </row>
    <row r="602">
      <c r="A602" s="15"/>
      <c r="B602" s="15"/>
      <c r="C602" s="15"/>
      <c r="D602" s="15"/>
      <c r="E602" s="15"/>
      <c r="F602" s="15"/>
      <c r="G602" s="90"/>
      <c r="H602" s="15"/>
      <c r="I602" s="15"/>
      <c r="J602" s="15"/>
      <c r="K602" s="15"/>
      <c r="L602" s="62" t="str">
        <f t="shared" si="1"/>
        <v/>
      </c>
    </row>
    <row r="603">
      <c r="A603" s="15"/>
      <c r="B603" s="15"/>
      <c r="C603" s="15"/>
      <c r="D603" s="15"/>
      <c r="E603" s="15"/>
      <c r="F603" s="15"/>
      <c r="G603" s="90"/>
      <c r="H603" s="15"/>
      <c r="I603" s="15"/>
      <c r="J603" s="15"/>
      <c r="K603" s="15"/>
      <c r="L603" s="62" t="str">
        <f t="shared" si="1"/>
        <v/>
      </c>
    </row>
    <row r="604">
      <c r="A604" s="15"/>
      <c r="B604" s="15"/>
      <c r="C604" s="15"/>
      <c r="D604" s="15"/>
      <c r="E604" s="15"/>
      <c r="F604" s="15"/>
      <c r="G604" s="90"/>
      <c r="H604" s="15"/>
      <c r="I604" s="15"/>
      <c r="J604" s="15"/>
      <c r="K604" s="15"/>
      <c r="L604" s="62" t="str">
        <f t="shared" si="1"/>
        <v/>
      </c>
    </row>
    <row r="605">
      <c r="A605" s="15"/>
      <c r="B605" s="15"/>
      <c r="C605" s="15"/>
      <c r="D605" s="15"/>
      <c r="E605" s="15"/>
      <c r="F605" s="15"/>
      <c r="G605" s="90"/>
      <c r="H605" s="15"/>
      <c r="I605" s="15"/>
      <c r="J605" s="15"/>
      <c r="K605" s="15"/>
      <c r="L605" s="62" t="str">
        <f t="shared" si="1"/>
        <v/>
      </c>
    </row>
    <row r="606">
      <c r="A606" s="15"/>
      <c r="B606" s="15"/>
      <c r="C606" s="15"/>
      <c r="D606" s="15"/>
      <c r="E606" s="15"/>
      <c r="F606" s="15"/>
      <c r="G606" s="90"/>
      <c r="H606" s="15"/>
      <c r="I606" s="15"/>
      <c r="J606" s="15"/>
      <c r="K606" s="15"/>
      <c r="L606" s="62" t="str">
        <f t="shared" si="1"/>
        <v/>
      </c>
    </row>
    <row r="607">
      <c r="A607" s="15"/>
      <c r="B607" s="15"/>
      <c r="C607" s="15"/>
      <c r="D607" s="15"/>
      <c r="E607" s="15"/>
      <c r="F607" s="15"/>
      <c r="G607" s="90"/>
      <c r="H607" s="15"/>
      <c r="I607" s="15"/>
      <c r="J607" s="15"/>
      <c r="K607" s="15"/>
      <c r="L607" s="62" t="str">
        <f t="shared" si="1"/>
        <v/>
      </c>
    </row>
    <row r="608">
      <c r="A608" s="15"/>
      <c r="B608" s="15"/>
      <c r="C608" s="15"/>
      <c r="D608" s="15"/>
      <c r="E608" s="15"/>
      <c r="F608" s="15"/>
      <c r="G608" s="90"/>
      <c r="H608" s="15"/>
      <c r="I608" s="15"/>
      <c r="J608" s="15"/>
      <c r="K608" s="15"/>
      <c r="L608" s="62" t="str">
        <f t="shared" si="1"/>
        <v/>
      </c>
    </row>
    <row r="609">
      <c r="A609" s="15"/>
      <c r="B609" s="15"/>
      <c r="C609" s="15"/>
      <c r="D609" s="15"/>
      <c r="E609" s="15"/>
      <c r="F609" s="15"/>
      <c r="G609" s="90"/>
      <c r="H609" s="15"/>
      <c r="I609" s="15"/>
      <c r="J609" s="15"/>
      <c r="K609" s="15"/>
      <c r="L609" s="62" t="str">
        <f t="shared" si="1"/>
        <v/>
      </c>
    </row>
    <row r="610">
      <c r="A610" s="15"/>
      <c r="B610" s="15"/>
      <c r="C610" s="15"/>
      <c r="D610" s="15"/>
      <c r="E610" s="15"/>
      <c r="F610" s="15"/>
      <c r="G610" s="90"/>
      <c r="H610" s="15"/>
      <c r="I610" s="15"/>
      <c r="J610" s="15"/>
      <c r="K610" s="15"/>
      <c r="L610" s="62" t="str">
        <f t="shared" si="1"/>
        <v/>
      </c>
    </row>
    <row r="611">
      <c r="A611" s="15"/>
      <c r="B611" s="15"/>
      <c r="C611" s="15"/>
      <c r="D611" s="15"/>
      <c r="E611" s="15"/>
      <c r="F611" s="15"/>
      <c r="G611" s="90"/>
      <c r="H611" s="15"/>
      <c r="I611" s="15"/>
      <c r="J611" s="15"/>
      <c r="K611" s="15"/>
      <c r="L611" s="62" t="str">
        <f t="shared" si="1"/>
        <v/>
      </c>
    </row>
    <row r="612">
      <c r="A612" s="15"/>
      <c r="B612" s="15"/>
      <c r="C612" s="15"/>
      <c r="D612" s="15"/>
      <c r="E612" s="15"/>
      <c r="F612" s="15"/>
      <c r="G612" s="90"/>
      <c r="H612" s="15"/>
      <c r="I612" s="15"/>
      <c r="J612" s="15"/>
      <c r="K612" s="15"/>
      <c r="L612" s="62" t="str">
        <f t="shared" si="1"/>
        <v/>
      </c>
    </row>
    <row r="613">
      <c r="A613" s="15"/>
      <c r="B613" s="15"/>
      <c r="C613" s="15"/>
      <c r="D613" s="15"/>
      <c r="E613" s="15"/>
      <c r="F613" s="15"/>
      <c r="G613" s="90"/>
      <c r="H613" s="15"/>
      <c r="I613" s="15"/>
      <c r="J613" s="15"/>
      <c r="K613" s="15"/>
      <c r="L613" s="62" t="str">
        <f t="shared" si="1"/>
        <v/>
      </c>
    </row>
    <row r="614">
      <c r="A614" s="15"/>
      <c r="B614" s="15"/>
      <c r="C614" s="15"/>
      <c r="D614" s="15"/>
      <c r="E614" s="15"/>
      <c r="F614" s="15"/>
      <c r="G614" s="90"/>
      <c r="H614" s="15"/>
      <c r="I614" s="15"/>
      <c r="J614" s="15"/>
      <c r="K614" s="15"/>
      <c r="L614" s="62" t="str">
        <f t="shared" si="1"/>
        <v/>
      </c>
    </row>
    <row r="615">
      <c r="A615" s="15"/>
      <c r="B615" s="15"/>
      <c r="C615" s="15"/>
      <c r="D615" s="15"/>
      <c r="E615" s="15"/>
      <c r="F615" s="15"/>
      <c r="G615" s="90"/>
      <c r="H615" s="15"/>
      <c r="I615" s="15"/>
      <c r="J615" s="15"/>
      <c r="K615" s="15"/>
      <c r="L615" s="62" t="str">
        <f t="shared" si="1"/>
        <v/>
      </c>
    </row>
    <row r="616">
      <c r="A616" s="15"/>
      <c r="B616" s="15"/>
      <c r="C616" s="15"/>
      <c r="D616" s="15"/>
      <c r="E616" s="15"/>
      <c r="F616" s="15"/>
      <c r="G616" s="90"/>
      <c r="H616" s="15"/>
      <c r="I616" s="15"/>
      <c r="J616" s="15"/>
      <c r="K616" s="15"/>
      <c r="L616" s="62" t="str">
        <f t="shared" si="1"/>
        <v/>
      </c>
    </row>
    <row r="617">
      <c r="A617" s="15"/>
      <c r="B617" s="15"/>
      <c r="C617" s="15"/>
      <c r="D617" s="15"/>
      <c r="E617" s="15"/>
      <c r="F617" s="15"/>
      <c r="G617" s="90"/>
      <c r="H617" s="15"/>
      <c r="I617" s="15"/>
      <c r="J617" s="15"/>
      <c r="K617" s="15"/>
      <c r="L617" s="62" t="str">
        <f t="shared" si="1"/>
        <v/>
      </c>
    </row>
    <row r="618">
      <c r="A618" s="15"/>
      <c r="B618" s="15"/>
      <c r="C618" s="15"/>
      <c r="D618" s="15"/>
      <c r="E618" s="15"/>
      <c r="F618" s="15"/>
      <c r="G618" s="90"/>
      <c r="H618" s="15"/>
      <c r="I618" s="15"/>
      <c r="J618" s="15"/>
      <c r="K618" s="15"/>
      <c r="L618" s="62" t="str">
        <f t="shared" si="1"/>
        <v/>
      </c>
    </row>
    <row r="619">
      <c r="A619" s="15"/>
      <c r="B619" s="15"/>
      <c r="C619" s="15"/>
      <c r="D619" s="15"/>
      <c r="E619" s="15"/>
      <c r="F619" s="15"/>
      <c r="G619" s="90"/>
      <c r="H619" s="15"/>
      <c r="I619" s="15"/>
      <c r="J619" s="15"/>
      <c r="K619" s="15"/>
      <c r="L619" s="62" t="str">
        <f t="shared" si="1"/>
        <v/>
      </c>
    </row>
    <row r="620">
      <c r="A620" s="15"/>
      <c r="B620" s="15"/>
      <c r="C620" s="15"/>
      <c r="D620" s="15"/>
      <c r="E620" s="15"/>
      <c r="F620" s="15"/>
      <c r="G620" s="90"/>
      <c r="H620" s="15"/>
      <c r="I620" s="15"/>
      <c r="J620" s="15"/>
      <c r="K620" s="15"/>
      <c r="L620" s="62" t="str">
        <f t="shared" si="1"/>
        <v/>
      </c>
    </row>
    <row r="621">
      <c r="A621" s="15"/>
      <c r="B621" s="15"/>
      <c r="C621" s="15"/>
      <c r="D621" s="15"/>
      <c r="E621" s="15"/>
      <c r="F621" s="15"/>
      <c r="G621" s="90"/>
      <c r="H621" s="15"/>
      <c r="I621" s="15"/>
      <c r="J621" s="15"/>
      <c r="K621" s="15"/>
      <c r="L621" s="62" t="str">
        <f t="shared" si="1"/>
        <v/>
      </c>
    </row>
    <row r="622">
      <c r="A622" s="15"/>
      <c r="B622" s="15"/>
      <c r="C622" s="15"/>
      <c r="D622" s="15"/>
      <c r="E622" s="15"/>
      <c r="F622" s="15"/>
      <c r="G622" s="90"/>
      <c r="H622" s="15"/>
      <c r="I622" s="15"/>
      <c r="J622" s="15"/>
      <c r="K622" s="15"/>
      <c r="L622" s="62" t="str">
        <f t="shared" si="1"/>
        <v/>
      </c>
    </row>
    <row r="623">
      <c r="A623" s="15"/>
      <c r="B623" s="15"/>
      <c r="C623" s="15"/>
      <c r="D623" s="15"/>
      <c r="E623" s="15"/>
      <c r="F623" s="15"/>
      <c r="G623" s="90"/>
      <c r="H623" s="15"/>
      <c r="I623" s="15"/>
      <c r="J623" s="15"/>
      <c r="K623" s="15"/>
      <c r="L623" s="62" t="str">
        <f t="shared" si="1"/>
        <v/>
      </c>
    </row>
    <row r="624">
      <c r="A624" s="15"/>
      <c r="B624" s="15"/>
      <c r="C624" s="15"/>
      <c r="D624" s="15"/>
      <c r="E624" s="15"/>
      <c r="F624" s="15"/>
      <c r="G624" s="90"/>
      <c r="H624" s="15"/>
      <c r="I624" s="15"/>
      <c r="J624" s="15"/>
      <c r="K624" s="15"/>
      <c r="L624" s="62" t="str">
        <f t="shared" si="1"/>
        <v/>
      </c>
    </row>
    <row r="625">
      <c r="A625" s="15"/>
      <c r="B625" s="15"/>
      <c r="C625" s="15"/>
      <c r="D625" s="15"/>
      <c r="E625" s="15"/>
      <c r="F625" s="15"/>
      <c r="G625" s="90"/>
      <c r="H625" s="15"/>
      <c r="I625" s="15"/>
      <c r="J625" s="15"/>
      <c r="K625" s="15"/>
      <c r="L625" s="62" t="str">
        <f t="shared" si="1"/>
        <v/>
      </c>
    </row>
    <row r="626">
      <c r="A626" s="15"/>
      <c r="B626" s="15"/>
      <c r="C626" s="15"/>
      <c r="D626" s="15"/>
      <c r="E626" s="15"/>
      <c r="F626" s="15"/>
      <c r="G626" s="90"/>
      <c r="H626" s="15"/>
      <c r="I626" s="15"/>
      <c r="J626" s="15"/>
      <c r="K626" s="15"/>
      <c r="L626" s="62" t="str">
        <f t="shared" si="1"/>
        <v/>
      </c>
    </row>
    <row r="627">
      <c r="A627" s="15"/>
      <c r="B627" s="15"/>
      <c r="C627" s="15"/>
      <c r="D627" s="15"/>
      <c r="E627" s="15"/>
      <c r="F627" s="15"/>
      <c r="G627" s="90"/>
      <c r="H627" s="15"/>
      <c r="I627" s="15"/>
      <c r="J627" s="15"/>
      <c r="K627" s="15"/>
      <c r="L627" s="62" t="str">
        <f t="shared" si="1"/>
        <v/>
      </c>
    </row>
    <row r="628">
      <c r="A628" s="15"/>
      <c r="B628" s="15"/>
      <c r="C628" s="15"/>
      <c r="D628" s="15"/>
      <c r="E628" s="15"/>
      <c r="F628" s="15"/>
      <c r="G628" s="90"/>
      <c r="H628" s="15"/>
      <c r="I628" s="15"/>
      <c r="J628" s="15"/>
      <c r="K628" s="15"/>
      <c r="L628" s="62" t="str">
        <f t="shared" si="1"/>
        <v/>
      </c>
    </row>
    <row r="629">
      <c r="A629" s="15"/>
      <c r="B629" s="15"/>
      <c r="C629" s="15"/>
      <c r="D629" s="15"/>
      <c r="E629" s="15"/>
      <c r="F629" s="15"/>
      <c r="G629" s="90"/>
      <c r="H629" s="15"/>
      <c r="I629" s="15"/>
      <c r="J629" s="15"/>
      <c r="K629" s="15"/>
      <c r="L629" s="62" t="str">
        <f t="shared" si="1"/>
        <v/>
      </c>
    </row>
    <row r="630">
      <c r="A630" s="15"/>
      <c r="B630" s="15"/>
      <c r="C630" s="15"/>
      <c r="D630" s="15"/>
      <c r="E630" s="15"/>
      <c r="F630" s="15"/>
      <c r="G630" s="90"/>
      <c r="H630" s="15"/>
      <c r="I630" s="15"/>
      <c r="J630" s="15"/>
      <c r="K630" s="15"/>
      <c r="L630" s="62" t="str">
        <f t="shared" si="1"/>
        <v/>
      </c>
    </row>
    <row r="631">
      <c r="A631" s="15"/>
      <c r="B631" s="15"/>
      <c r="C631" s="15"/>
      <c r="D631" s="15"/>
      <c r="E631" s="15"/>
      <c r="F631" s="15"/>
      <c r="G631" s="90"/>
      <c r="H631" s="15"/>
      <c r="I631" s="15"/>
      <c r="J631" s="15"/>
      <c r="K631" s="15"/>
      <c r="L631" s="62" t="str">
        <f t="shared" si="1"/>
        <v/>
      </c>
    </row>
    <row r="632">
      <c r="A632" s="15"/>
      <c r="B632" s="15"/>
      <c r="C632" s="15"/>
      <c r="D632" s="15"/>
      <c r="E632" s="15"/>
      <c r="F632" s="15"/>
      <c r="G632" s="90"/>
      <c r="H632" s="15"/>
      <c r="I632" s="15"/>
      <c r="J632" s="15"/>
      <c r="K632" s="15"/>
      <c r="L632" s="62" t="str">
        <f t="shared" si="1"/>
        <v/>
      </c>
    </row>
    <row r="633">
      <c r="A633" s="15"/>
      <c r="B633" s="15"/>
      <c r="C633" s="15"/>
      <c r="D633" s="15"/>
      <c r="E633" s="15"/>
      <c r="F633" s="15"/>
      <c r="G633" s="90"/>
      <c r="H633" s="15"/>
      <c r="I633" s="15"/>
      <c r="J633" s="15"/>
      <c r="K633" s="15"/>
      <c r="L633" s="62" t="str">
        <f t="shared" si="1"/>
        <v/>
      </c>
    </row>
    <row r="634">
      <c r="A634" s="15"/>
      <c r="B634" s="15"/>
      <c r="C634" s="15"/>
      <c r="D634" s="15"/>
      <c r="E634" s="15"/>
      <c r="F634" s="15"/>
      <c r="G634" s="90"/>
      <c r="H634" s="15"/>
      <c r="I634" s="15"/>
      <c r="J634" s="15"/>
      <c r="K634" s="15"/>
      <c r="L634" s="62" t="str">
        <f t="shared" si="1"/>
        <v/>
      </c>
    </row>
    <row r="635">
      <c r="A635" s="15"/>
      <c r="B635" s="15"/>
      <c r="C635" s="15"/>
      <c r="D635" s="15"/>
      <c r="E635" s="15"/>
      <c r="F635" s="15"/>
      <c r="G635" s="90"/>
      <c r="H635" s="15"/>
      <c r="I635" s="15"/>
      <c r="J635" s="15"/>
      <c r="K635" s="15"/>
      <c r="L635" s="62" t="str">
        <f t="shared" si="1"/>
        <v/>
      </c>
    </row>
    <row r="636">
      <c r="A636" s="15"/>
      <c r="B636" s="15"/>
      <c r="C636" s="15"/>
      <c r="D636" s="15"/>
      <c r="E636" s="15"/>
      <c r="F636" s="15"/>
      <c r="G636" s="90"/>
      <c r="H636" s="15"/>
      <c r="I636" s="15"/>
      <c r="J636" s="15"/>
      <c r="K636" s="15"/>
      <c r="L636" s="62" t="str">
        <f t="shared" si="1"/>
        <v/>
      </c>
    </row>
    <row r="637">
      <c r="A637" s="15"/>
      <c r="B637" s="15"/>
      <c r="C637" s="15"/>
      <c r="D637" s="15"/>
      <c r="E637" s="15"/>
      <c r="F637" s="15"/>
      <c r="G637" s="90"/>
      <c r="H637" s="15"/>
      <c r="I637" s="15"/>
      <c r="J637" s="15"/>
      <c r="K637" s="15"/>
      <c r="L637" s="62" t="str">
        <f t="shared" si="1"/>
        <v/>
      </c>
    </row>
    <row r="638">
      <c r="A638" s="15"/>
      <c r="B638" s="15"/>
      <c r="C638" s="15"/>
      <c r="D638" s="15"/>
      <c r="E638" s="15"/>
      <c r="F638" s="15"/>
      <c r="G638" s="90"/>
      <c r="H638" s="15"/>
      <c r="I638" s="15"/>
      <c r="J638" s="15"/>
      <c r="K638" s="15"/>
      <c r="L638" s="62" t="str">
        <f t="shared" si="1"/>
        <v/>
      </c>
    </row>
    <row r="639">
      <c r="A639" s="15"/>
      <c r="B639" s="15"/>
      <c r="C639" s="15"/>
      <c r="D639" s="15"/>
      <c r="E639" s="15"/>
      <c r="F639" s="15"/>
      <c r="G639" s="90"/>
      <c r="H639" s="15"/>
      <c r="I639" s="15"/>
      <c r="J639" s="15"/>
      <c r="K639" s="15"/>
      <c r="L639" s="62" t="str">
        <f t="shared" si="1"/>
        <v/>
      </c>
    </row>
    <row r="640">
      <c r="A640" s="15"/>
      <c r="B640" s="15"/>
      <c r="C640" s="15"/>
      <c r="D640" s="15"/>
      <c r="E640" s="15"/>
      <c r="F640" s="15"/>
      <c r="G640" s="90"/>
      <c r="H640" s="15"/>
      <c r="I640" s="15"/>
      <c r="J640" s="15"/>
      <c r="K640" s="15"/>
      <c r="L640" s="62" t="str">
        <f t="shared" si="1"/>
        <v/>
      </c>
    </row>
    <row r="641">
      <c r="A641" s="15"/>
      <c r="B641" s="15"/>
      <c r="C641" s="15"/>
      <c r="D641" s="15"/>
      <c r="E641" s="15"/>
      <c r="F641" s="15"/>
      <c r="G641" s="90"/>
      <c r="H641" s="15"/>
      <c r="I641" s="15"/>
      <c r="J641" s="15"/>
      <c r="K641" s="15"/>
      <c r="L641" s="62" t="str">
        <f t="shared" si="1"/>
        <v/>
      </c>
    </row>
    <row r="642">
      <c r="A642" s="15"/>
      <c r="B642" s="15"/>
      <c r="C642" s="15"/>
      <c r="D642" s="15"/>
      <c r="E642" s="15"/>
      <c r="F642" s="15"/>
      <c r="G642" s="90"/>
      <c r="H642" s="15"/>
      <c r="I642" s="15"/>
      <c r="J642" s="15"/>
      <c r="K642" s="15"/>
      <c r="L642" s="62" t="str">
        <f t="shared" si="1"/>
        <v/>
      </c>
    </row>
    <row r="643">
      <c r="A643" s="15"/>
      <c r="B643" s="15"/>
      <c r="C643" s="15"/>
      <c r="D643" s="15"/>
      <c r="E643" s="15"/>
      <c r="F643" s="15"/>
      <c r="G643" s="90"/>
      <c r="H643" s="15"/>
      <c r="I643" s="15"/>
      <c r="J643" s="15"/>
      <c r="K643" s="15"/>
      <c r="L643" s="62" t="str">
        <f t="shared" si="1"/>
        <v/>
      </c>
    </row>
    <row r="644">
      <c r="A644" s="15"/>
      <c r="B644" s="15"/>
      <c r="C644" s="15"/>
      <c r="D644" s="15"/>
      <c r="E644" s="15"/>
      <c r="F644" s="15"/>
      <c r="G644" s="90"/>
      <c r="H644" s="15"/>
      <c r="I644" s="15"/>
      <c r="J644" s="15"/>
      <c r="K644" s="15"/>
      <c r="L644" s="62" t="str">
        <f t="shared" si="1"/>
        <v/>
      </c>
    </row>
    <row r="645">
      <c r="A645" s="15"/>
      <c r="B645" s="15"/>
      <c r="C645" s="15"/>
      <c r="D645" s="15"/>
      <c r="E645" s="15"/>
      <c r="F645" s="15"/>
      <c r="G645" s="90"/>
      <c r="H645" s="15"/>
      <c r="I645" s="15"/>
      <c r="J645" s="15"/>
      <c r="K645" s="15"/>
      <c r="L645" s="62" t="str">
        <f t="shared" si="1"/>
        <v/>
      </c>
    </row>
    <row r="646">
      <c r="A646" s="15"/>
      <c r="B646" s="15"/>
      <c r="C646" s="15"/>
      <c r="D646" s="15"/>
      <c r="E646" s="15"/>
      <c r="F646" s="15"/>
      <c r="G646" s="90"/>
      <c r="H646" s="15"/>
      <c r="I646" s="15"/>
      <c r="J646" s="15"/>
      <c r="K646" s="15"/>
      <c r="L646" s="62" t="str">
        <f t="shared" si="1"/>
        <v/>
      </c>
    </row>
    <row r="647">
      <c r="A647" s="15"/>
      <c r="B647" s="15"/>
      <c r="C647" s="15"/>
      <c r="D647" s="15"/>
      <c r="E647" s="15"/>
      <c r="F647" s="15"/>
      <c r="G647" s="90"/>
      <c r="H647" s="15"/>
      <c r="I647" s="15"/>
      <c r="J647" s="15"/>
      <c r="K647" s="15"/>
      <c r="L647" s="62" t="str">
        <f t="shared" si="1"/>
        <v/>
      </c>
    </row>
    <row r="648">
      <c r="A648" s="15"/>
      <c r="B648" s="15"/>
      <c r="C648" s="15"/>
      <c r="D648" s="15"/>
      <c r="E648" s="15"/>
      <c r="F648" s="15"/>
      <c r="G648" s="90"/>
      <c r="H648" s="15"/>
      <c r="I648" s="15"/>
      <c r="J648" s="15"/>
      <c r="K648" s="15"/>
      <c r="L648" s="62" t="str">
        <f t="shared" si="1"/>
        <v/>
      </c>
    </row>
    <row r="649">
      <c r="A649" s="15"/>
      <c r="B649" s="15"/>
      <c r="C649" s="15"/>
      <c r="D649" s="15"/>
      <c r="E649" s="15"/>
      <c r="F649" s="15"/>
      <c r="G649" s="90"/>
      <c r="H649" s="15"/>
      <c r="I649" s="15"/>
      <c r="J649" s="15"/>
      <c r="K649" s="15"/>
      <c r="L649" s="62" t="str">
        <f t="shared" si="1"/>
        <v/>
      </c>
    </row>
    <row r="650">
      <c r="A650" s="15"/>
      <c r="B650" s="15"/>
      <c r="C650" s="15"/>
      <c r="D650" s="15"/>
      <c r="E650" s="15"/>
      <c r="F650" s="15"/>
      <c r="G650" s="90"/>
      <c r="H650" s="15"/>
      <c r="I650" s="15"/>
      <c r="J650" s="15"/>
      <c r="K650" s="15"/>
      <c r="L650" s="62" t="str">
        <f t="shared" si="1"/>
        <v/>
      </c>
    </row>
    <row r="651">
      <c r="A651" s="15"/>
      <c r="B651" s="15"/>
      <c r="C651" s="15"/>
      <c r="D651" s="15"/>
      <c r="E651" s="15"/>
      <c r="F651" s="15"/>
      <c r="G651" s="90"/>
      <c r="H651" s="15"/>
      <c r="I651" s="15"/>
      <c r="J651" s="15"/>
      <c r="K651" s="15"/>
      <c r="L651" s="62" t="str">
        <f t="shared" si="1"/>
        <v/>
      </c>
    </row>
    <row r="652">
      <c r="A652" s="15"/>
      <c r="B652" s="15"/>
      <c r="C652" s="15"/>
      <c r="D652" s="15"/>
      <c r="E652" s="15"/>
      <c r="F652" s="15"/>
      <c r="G652" s="90"/>
      <c r="H652" s="15"/>
      <c r="I652" s="15"/>
      <c r="J652" s="15"/>
      <c r="K652" s="15"/>
      <c r="L652" s="62" t="str">
        <f t="shared" si="1"/>
        <v/>
      </c>
    </row>
    <row r="653">
      <c r="A653" s="15"/>
      <c r="B653" s="15"/>
      <c r="C653" s="15"/>
      <c r="D653" s="15"/>
      <c r="E653" s="15"/>
      <c r="F653" s="15"/>
      <c r="G653" s="90"/>
      <c r="H653" s="15"/>
      <c r="I653" s="15"/>
      <c r="J653" s="15"/>
      <c r="K653" s="15"/>
      <c r="L653" s="62" t="str">
        <f t="shared" si="1"/>
        <v/>
      </c>
    </row>
    <row r="654">
      <c r="A654" s="15"/>
      <c r="B654" s="15"/>
      <c r="C654" s="15"/>
      <c r="D654" s="15"/>
      <c r="E654" s="15"/>
      <c r="F654" s="15"/>
      <c r="G654" s="90"/>
      <c r="H654" s="15"/>
      <c r="I654" s="15"/>
      <c r="J654" s="15"/>
      <c r="K654" s="15"/>
      <c r="L654" s="62" t="str">
        <f t="shared" si="1"/>
        <v/>
      </c>
    </row>
    <row r="655">
      <c r="A655" s="15"/>
      <c r="B655" s="15"/>
      <c r="C655" s="15"/>
      <c r="D655" s="15"/>
      <c r="E655" s="15"/>
      <c r="F655" s="15"/>
      <c r="G655" s="90"/>
      <c r="H655" s="15"/>
      <c r="I655" s="15"/>
      <c r="J655" s="15"/>
      <c r="K655" s="15"/>
      <c r="L655" s="62" t="str">
        <f t="shared" si="1"/>
        <v/>
      </c>
    </row>
    <row r="656">
      <c r="A656" s="15"/>
      <c r="B656" s="15"/>
      <c r="C656" s="15"/>
      <c r="D656" s="15"/>
      <c r="E656" s="15"/>
      <c r="F656" s="15"/>
      <c r="G656" s="90"/>
      <c r="H656" s="15"/>
      <c r="I656" s="15"/>
      <c r="J656" s="15"/>
      <c r="K656" s="15"/>
      <c r="L656" s="62" t="str">
        <f t="shared" si="1"/>
        <v/>
      </c>
    </row>
    <row r="657">
      <c r="A657" s="15"/>
      <c r="B657" s="15"/>
      <c r="C657" s="15"/>
      <c r="D657" s="15"/>
      <c r="E657" s="15"/>
      <c r="F657" s="15"/>
      <c r="G657" s="90"/>
      <c r="H657" s="15"/>
      <c r="I657" s="15"/>
      <c r="J657" s="15"/>
      <c r="K657" s="15"/>
      <c r="L657" s="62" t="str">
        <f t="shared" si="1"/>
        <v/>
      </c>
    </row>
    <row r="658">
      <c r="A658" s="15"/>
      <c r="B658" s="15"/>
      <c r="C658" s="15"/>
      <c r="D658" s="15"/>
      <c r="E658" s="15"/>
      <c r="F658" s="15"/>
      <c r="G658" s="90"/>
      <c r="H658" s="15"/>
      <c r="I658" s="15"/>
      <c r="J658" s="15"/>
      <c r="K658" s="15"/>
      <c r="L658" s="62" t="str">
        <f t="shared" si="1"/>
        <v/>
      </c>
    </row>
    <row r="659">
      <c r="A659" s="15"/>
      <c r="B659" s="15"/>
      <c r="C659" s="15"/>
      <c r="D659" s="15"/>
      <c r="E659" s="15"/>
      <c r="F659" s="15"/>
      <c r="G659" s="90"/>
      <c r="H659" s="15"/>
      <c r="I659" s="15"/>
      <c r="J659" s="15"/>
      <c r="K659" s="15"/>
      <c r="L659" s="62" t="str">
        <f t="shared" si="1"/>
        <v/>
      </c>
    </row>
    <row r="660">
      <c r="A660" s="15"/>
      <c r="B660" s="15"/>
      <c r="C660" s="15"/>
      <c r="D660" s="15"/>
      <c r="E660" s="15"/>
      <c r="F660" s="15"/>
      <c r="G660" s="90"/>
      <c r="H660" s="15"/>
      <c r="I660" s="15"/>
      <c r="J660" s="15"/>
      <c r="K660" s="15"/>
      <c r="L660" s="62" t="str">
        <f t="shared" si="1"/>
        <v/>
      </c>
    </row>
    <row r="661">
      <c r="A661" s="15"/>
      <c r="B661" s="15"/>
      <c r="C661" s="15"/>
      <c r="D661" s="15"/>
      <c r="E661" s="15"/>
      <c r="F661" s="15"/>
      <c r="G661" s="90"/>
      <c r="H661" s="15"/>
      <c r="I661" s="15"/>
      <c r="J661" s="15"/>
      <c r="K661" s="15"/>
      <c r="L661" s="62" t="str">
        <f t="shared" si="1"/>
        <v/>
      </c>
    </row>
    <row r="662">
      <c r="A662" s="15"/>
      <c r="B662" s="15"/>
      <c r="C662" s="15"/>
      <c r="D662" s="15"/>
      <c r="E662" s="15"/>
      <c r="F662" s="15"/>
      <c r="G662" s="90"/>
      <c r="H662" s="15"/>
      <c r="I662" s="15"/>
      <c r="J662" s="15"/>
      <c r="K662" s="15"/>
      <c r="L662" s="62" t="str">
        <f t="shared" si="1"/>
        <v/>
      </c>
    </row>
    <row r="663">
      <c r="A663" s="15"/>
      <c r="B663" s="15"/>
      <c r="C663" s="15"/>
      <c r="D663" s="15"/>
      <c r="E663" s="15"/>
      <c r="F663" s="15"/>
      <c r="G663" s="90"/>
      <c r="H663" s="15"/>
      <c r="I663" s="15"/>
      <c r="J663" s="15"/>
      <c r="K663" s="15"/>
      <c r="L663" s="62" t="str">
        <f t="shared" si="1"/>
        <v/>
      </c>
    </row>
    <row r="664">
      <c r="A664" s="15"/>
      <c r="B664" s="15"/>
      <c r="C664" s="15"/>
      <c r="D664" s="15"/>
      <c r="E664" s="15"/>
      <c r="F664" s="15"/>
      <c r="G664" s="90"/>
      <c r="H664" s="15"/>
      <c r="I664" s="15"/>
      <c r="J664" s="15"/>
      <c r="K664" s="15"/>
      <c r="L664" s="62" t="str">
        <f t="shared" si="1"/>
        <v/>
      </c>
    </row>
    <row r="665">
      <c r="A665" s="15"/>
      <c r="B665" s="15"/>
      <c r="C665" s="15"/>
      <c r="D665" s="15"/>
      <c r="E665" s="15"/>
      <c r="F665" s="15"/>
      <c r="G665" s="90"/>
      <c r="H665" s="15"/>
      <c r="I665" s="15"/>
      <c r="J665" s="15"/>
      <c r="K665" s="15"/>
      <c r="L665" s="62" t="str">
        <f t="shared" si="1"/>
        <v/>
      </c>
    </row>
    <row r="666">
      <c r="A666" s="15"/>
      <c r="B666" s="15"/>
      <c r="C666" s="15"/>
      <c r="D666" s="15"/>
      <c r="E666" s="15"/>
      <c r="F666" s="15"/>
      <c r="G666" s="90"/>
      <c r="H666" s="15"/>
      <c r="I666" s="15"/>
      <c r="J666" s="15"/>
      <c r="K666" s="15"/>
      <c r="L666" s="62" t="str">
        <f t="shared" si="1"/>
        <v/>
      </c>
    </row>
    <row r="667">
      <c r="A667" s="15"/>
      <c r="B667" s="15"/>
      <c r="C667" s="15"/>
      <c r="D667" s="15"/>
      <c r="E667" s="15"/>
      <c r="F667" s="15"/>
      <c r="G667" s="90"/>
      <c r="H667" s="15"/>
      <c r="I667" s="15"/>
      <c r="J667" s="15"/>
      <c r="K667" s="15"/>
      <c r="L667" s="62" t="str">
        <f t="shared" si="1"/>
        <v/>
      </c>
    </row>
    <row r="668">
      <c r="A668" s="15"/>
      <c r="B668" s="15"/>
      <c r="C668" s="15"/>
      <c r="D668" s="15"/>
      <c r="E668" s="15"/>
      <c r="F668" s="15"/>
      <c r="G668" s="90"/>
      <c r="H668" s="15"/>
      <c r="I668" s="15"/>
      <c r="J668" s="15"/>
      <c r="K668" s="15"/>
      <c r="L668" s="62" t="str">
        <f t="shared" si="1"/>
        <v/>
      </c>
    </row>
    <row r="669">
      <c r="A669" s="15"/>
      <c r="B669" s="15"/>
      <c r="C669" s="15"/>
      <c r="D669" s="15"/>
      <c r="E669" s="15"/>
      <c r="F669" s="15"/>
      <c r="G669" s="90"/>
      <c r="H669" s="15"/>
      <c r="I669" s="15"/>
      <c r="J669" s="15"/>
      <c r="K669" s="15"/>
      <c r="L669" s="62" t="str">
        <f t="shared" si="1"/>
        <v/>
      </c>
    </row>
    <row r="670">
      <c r="A670" s="15"/>
      <c r="B670" s="15"/>
      <c r="C670" s="15"/>
      <c r="D670" s="15"/>
      <c r="E670" s="15"/>
      <c r="F670" s="15"/>
      <c r="G670" s="90"/>
      <c r="H670" s="15"/>
      <c r="I670" s="15"/>
      <c r="J670" s="15"/>
      <c r="K670" s="15"/>
      <c r="L670" s="62" t="str">
        <f t="shared" si="1"/>
        <v/>
      </c>
    </row>
    <row r="671">
      <c r="A671" s="15"/>
      <c r="B671" s="15"/>
      <c r="C671" s="15"/>
      <c r="D671" s="15"/>
      <c r="E671" s="15"/>
      <c r="F671" s="15"/>
      <c r="G671" s="90"/>
      <c r="H671" s="15"/>
      <c r="I671" s="15"/>
      <c r="J671" s="15"/>
      <c r="K671" s="15"/>
      <c r="L671" s="62" t="str">
        <f t="shared" si="1"/>
        <v/>
      </c>
    </row>
    <row r="672">
      <c r="A672" s="15"/>
      <c r="B672" s="15"/>
      <c r="C672" s="15"/>
      <c r="D672" s="15"/>
      <c r="E672" s="15"/>
      <c r="F672" s="15"/>
      <c r="G672" s="90"/>
      <c r="H672" s="15"/>
      <c r="I672" s="15"/>
      <c r="J672" s="15"/>
      <c r="K672" s="15"/>
      <c r="L672" s="62" t="str">
        <f t="shared" si="1"/>
        <v/>
      </c>
    </row>
    <row r="673">
      <c r="A673" s="15"/>
      <c r="B673" s="15"/>
      <c r="C673" s="15"/>
      <c r="D673" s="15"/>
      <c r="E673" s="15"/>
      <c r="F673" s="15"/>
      <c r="G673" s="90"/>
      <c r="H673" s="15"/>
      <c r="I673" s="15"/>
      <c r="J673" s="15"/>
      <c r="K673" s="15"/>
      <c r="L673" s="62" t="str">
        <f t="shared" si="1"/>
        <v/>
      </c>
    </row>
    <row r="674">
      <c r="A674" s="15"/>
      <c r="B674" s="15"/>
      <c r="C674" s="15"/>
      <c r="D674" s="15"/>
      <c r="E674" s="15"/>
      <c r="F674" s="15"/>
      <c r="G674" s="90"/>
      <c r="H674" s="15"/>
      <c r="I674" s="15"/>
      <c r="J674" s="15"/>
      <c r="K674" s="15"/>
      <c r="L674" s="62" t="str">
        <f t="shared" si="1"/>
        <v/>
      </c>
    </row>
    <row r="675">
      <c r="A675" s="15"/>
      <c r="B675" s="15"/>
      <c r="C675" s="15"/>
      <c r="D675" s="15"/>
      <c r="E675" s="15"/>
      <c r="F675" s="15"/>
      <c r="G675" s="90"/>
      <c r="H675" s="15"/>
      <c r="I675" s="15"/>
      <c r="J675" s="15"/>
      <c r="K675" s="15"/>
      <c r="L675" s="62" t="str">
        <f t="shared" si="1"/>
        <v/>
      </c>
    </row>
    <row r="676">
      <c r="A676" s="15"/>
      <c r="B676" s="15"/>
      <c r="C676" s="15"/>
      <c r="D676" s="15"/>
      <c r="E676" s="15"/>
      <c r="F676" s="15"/>
      <c r="G676" s="90"/>
      <c r="H676" s="15"/>
      <c r="I676" s="15"/>
      <c r="J676" s="15"/>
      <c r="K676" s="15"/>
      <c r="L676" s="62" t="str">
        <f t="shared" si="1"/>
        <v/>
      </c>
    </row>
    <row r="677">
      <c r="A677" s="15"/>
      <c r="B677" s="15"/>
      <c r="C677" s="15"/>
      <c r="D677" s="15"/>
      <c r="E677" s="15"/>
      <c r="F677" s="15"/>
      <c r="G677" s="90"/>
      <c r="H677" s="15"/>
      <c r="I677" s="15"/>
      <c r="J677" s="15"/>
      <c r="K677" s="15"/>
      <c r="L677" s="62" t="str">
        <f t="shared" si="1"/>
        <v/>
      </c>
    </row>
    <row r="678">
      <c r="A678" s="15"/>
      <c r="B678" s="15"/>
      <c r="C678" s="15"/>
      <c r="D678" s="15"/>
      <c r="E678" s="15"/>
      <c r="F678" s="15"/>
      <c r="G678" s="90"/>
      <c r="H678" s="15"/>
      <c r="I678" s="15"/>
      <c r="J678" s="15"/>
      <c r="K678" s="15"/>
      <c r="L678" s="62" t="str">
        <f t="shared" si="1"/>
        <v/>
      </c>
    </row>
    <row r="679">
      <c r="A679" s="15"/>
      <c r="B679" s="15"/>
      <c r="C679" s="15"/>
      <c r="D679" s="15"/>
      <c r="E679" s="15"/>
      <c r="F679" s="15"/>
      <c r="G679" s="90"/>
      <c r="H679" s="15"/>
      <c r="I679" s="15"/>
      <c r="J679" s="15"/>
      <c r="K679" s="15"/>
      <c r="L679" s="62" t="str">
        <f t="shared" si="1"/>
        <v/>
      </c>
    </row>
    <row r="680">
      <c r="A680" s="15"/>
      <c r="B680" s="15"/>
      <c r="C680" s="15"/>
      <c r="D680" s="15"/>
      <c r="E680" s="15"/>
      <c r="F680" s="15"/>
      <c r="G680" s="90"/>
      <c r="H680" s="15"/>
      <c r="I680" s="15"/>
      <c r="J680" s="15"/>
      <c r="K680" s="15"/>
      <c r="L680" s="62" t="str">
        <f t="shared" si="1"/>
        <v/>
      </c>
    </row>
    <row r="681">
      <c r="A681" s="15"/>
      <c r="B681" s="15"/>
      <c r="C681" s="15"/>
      <c r="D681" s="15"/>
      <c r="E681" s="15"/>
      <c r="F681" s="15"/>
      <c r="G681" s="90"/>
      <c r="H681" s="15"/>
      <c r="I681" s="15"/>
      <c r="J681" s="15"/>
      <c r="K681" s="15"/>
      <c r="L681" s="62" t="str">
        <f t="shared" si="1"/>
        <v/>
      </c>
    </row>
    <row r="682">
      <c r="A682" s="15"/>
      <c r="B682" s="15"/>
      <c r="C682" s="15"/>
      <c r="D682" s="15"/>
      <c r="E682" s="15"/>
      <c r="F682" s="15"/>
      <c r="G682" s="90"/>
      <c r="H682" s="15"/>
      <c r="I682" s="15"/>
      <c r="J682" s="15"/>
      <c r="K682" s="15"/>
      <c r="L682" s="62" t="str">
        <f t="shared" si="1"/>
        <v/>
      </c>
    </row>
    <row r="683">
      <c r="A683" s="15"/>
      <c r="B683" s="15"/>
      <c r="C683" s="15"/>
      <c r="D683" s="15"/>
      <c r="E683" s="15"/>
      <c r="F683" s="15"/>
      <c r="G683" s="90"/>
      <c r="H683" s="15"/>
      <c r="I683" s="15"/>
      <c r="J683" s="15"/>
      <c r="K683" s="15"/>
      <c r="L683" s="62" t="str">
        <f t="shared" si="1"/>
        <v/>
      </c>
    </row>
    <row r="684">
      <c r="A684" s="15"/>
      <c r="B684" s="15"/>
      <c r="C684" s="15"/>
      <c r="D684" s="15"/>
      <c r="E684" s="15"/>
      <c r="F684" s="15"/>
      <c r="G684" s="90"/>
      <c r="H684" s="15"/>
      <c r="I684" s="15"/>
      <c r="J684" s="15"/>
      <c r="K684" s="15"/>
      <c r="L684" s="62" t="str">
        <f t="shared" si="1"/>
        <v/>
      </c>
    </row>
    <row r="685">
      <c r="A685" s="15"/>
      <c r="B685" s="15"/>
      <c r="C685" s="15"/>
      <c r="D685" s="15"/>
      <c r="E685" s="15"/>
      <c r="F685" s="15"/>
      <c r="G685" s="90"/>
      <c r="H685" s="15"/>
      <c r="I685" s="15"/>
      <c r="J685" s="15"/>
      <c r="K685" s="15"/>
      <c r="L685" s="62" t="str">
        <f t="shared" si="1"/>
        <v/>
      </c>
    </row>
    <row r="686">
      <c r="A686" s="15"/>
      <c r="B686" s="15"/>
      <c r="C686" s="15"/>
      <c r="D686" s="15"/>
      <c r="E686" s="15"/>
      <c r="F686" s="15"/>
      <c r="G686" s="90"/>
      <c r="H686" s="15"/>
      <c r="I686" s="15"/>
      <c r="J686" s="15"/>
      <c r="K686" s="15"/>
      <c r="L686" s="62" t="str">
        <f t="shared" si="1"/>
        <v/>
      </c>
    </row>
    <row r="687">
      <c r="A687" s="15"/>
      <c r="B687" s="15"/>
      <c r="C687" s="15"/>
      <c r="D687" s="15"/>
      <c r="E687" s="15"/>
      <c r="F687" s="15"/>
      <c r="G687" s="90"/>
      <c r="H687" s="15"/>
      <c r="I687" s="15"/>
      <c r="J687" s="15"/>
      <c r="K687" s="15"/>
      <c r="L687" s="62" t="str">
        <f t="shared" si="1"/>
        <v/>
      </c>
    </row>
    <row r="688">
      <c r="A688" s="15"/>
      <c r="B688" s="15"/>
      <c r="C688" s="15"/>
      <c r="D688" s="15"/>
      <c r="E688" s="15"/>
      <c r="F688" s="15"/>
      <c r="G688" s="90"/>
      <c r="H688" s="15"/>
      <c r="I688" s="15"/>
      <c r="J688" s="15"/>
      <c r="K688" s="15"/>
      <c r="L688" s="62" t="str">
        <f t="shared" si="1"/>
        <v/>
      </c>
    </row>
    <row r="689">
      <c r="A689" s="15"/>
      <c r="B689" s="15"/>
      <c r="C689" s="15"/>
      <c r="D689" s="15"/>
      <c r="E689" s="15"/>
      <c r="F689" s="15"/>
      <c r="G689" s="90"/>
      <c r="H689" s="15"/>
      <c r="I689" s="15"/>
      <c r="J689" s="15"/>
      <c r="K689" s="15"/>
      <c r="L689" s="62" t="str">
        <f t="shared" si="1"/>
        <v/>
      </c>
    </row>
    <row r="690">
      <c r="A690" s="15"/>
      <c r="B690" s="15"/>
      <c r="C690" s="15"/>
      <c r="D690" s="15"/>
      <c r="E690" s="15"/>
      <c r="F690" s="15"/>
      <c r="G690" s="90"/>
      <c r="H690" s="15"/>
      <c r="I690" s="15"/>
      <c r="J690" s="15"/>
      <c r="K690" s="15"/>
      <c r="L690" s="62" t="str">
        <f t="shared" si="1"/>
        <v/>
      </c>
    </row>
    <row r="691">
      <c r="A691" s="15"/>
      <c r="B691" s="15"/>
      <c r="C691" s="15"/>
      <c r="D691" s="15"/>
      <c r="E691" s="15"/>
      <c r="F691" s="15"/>
      <c r="G691" s="90"/>
      <c r="H691" s="15"/>
      <c r="I691" s="15"/>
      <c r="J691" s="15"/>
      <c r="K691" s="15"/>
      <c r="L691" s="62" t="str">
        <f t="shared" si="1"/>
        <v/>
      </c>
    </row>
    <row r="692">
      <c r="A692" s="15"/>
      <c r="B692" s="15"/>
      <c r="C692" s="15"/>
      <c r="D692" s="15"/>
      <c r="E692" s="15"/>
      <c r="F692" s="15"/>
      <c r="G692" s="90"/>
      <c r="H692" s="15"/>
      <c r="I692" s="15"/>
      <c r="J692" s="15"/>
      <c r="K692" s="15"/>
      <c r="L692" s="62" t="str">
        <f t="shared" si="1"/>
        <v/>
      </c>
    </row>
    <row r="693">
      <c r="A693" s="15"/>
      <c r="B693" s="15"/>
      <c r="C693" s="15"/>
      <c r="D693" s="15"/>
      <c r="E693" s="15"/>
      <c r="F693" s="15"/>
      <c r="G693" s="90"/>
      <c r="H693" s="15"/>
      <c r="I693" s="15"/>
      <c r="J693" s="15"/>
      <c r="K693" s="15"/>
      <c r="L693" s="62" t="str">
        <f t="shared" si="1"/>
        <v/>
      </c>
    </row>
    <row r="694">
      <c r="A694" s="15"/>
      <c r="B694" s="15"/>
      <c r="C694" s="15"/>
      <c r="D694" s="15"/>
      <c r="E694" s="15"/>
      <c r="F694" s="15"/>
      <c r="G694" s="90"/>
      <c r="H694" s="15"/>
      <c r="I694" s="15"/>
      <c r="J694" s="15"/>
      <c r="K694" s="15"/>
      <c r="L694" s="62" t="str">
        <f t="shared" si="1"/>
        <v/>
      </c>
    </row>
    <row r="695">
      <c r="A695" s="15"/>
      <c r="B695" s="15"/>
      <c r="C695" s="15"/>
      <c r="D695" s="15"/>
      <c r="E695" s="15"/>
      <c r="F695" s="15"/>
      <c r="G695" s="90"/>
      <c r="H695" s="15"/>
      <c r="I695" s="15"/>
      <c r="J695" s="15"/>
      <c r="K695" s="15"/>
      <c r="L695" s="62" t="str">
        <f t="shared" si="1"/>
        <v/>
      </c>
    </row>
    <row r="696">
      <c r="A696" s="15"/>
      <c r="B696" s="15"/>
      <c r="C696" s="15"/>
      <c r="D696" s="15"/>
      <c r="E696" s="15"/>
      <c r="F696" s="15"/>
      <c r="G696" s="90"/>
      <c r="H696" s="15"/>
      <c r="I696" s="15"/>
      <c r="J696" s="15"/>
      <c r="K696" s="15"/>
      <c r="L696" s="62" t="str">
        <f t="shared" si="1"/>
        <v/>
      </c>
    </row>
    <row r="697">
      <c r="A697" s="15"/>
      <c r="B697" s="15"/>
      <c r="C697" s="15"/>
      <c r="D697" s="15"/>
      <c r="E697" s="15"/>
      <c r="F697" s="15"/>
      <c r="G697" s="90"/>
      <c r="H697" s="15"/>
      <c r="I697" s="15"/>
      <c r="J697" s="15"/>
      <c r="K697" s="15"/>
      <c r="L697" s="62" t="str">
        <f t="shared" si="1"/>
        <v/>
      </c>
    </row>
    <row r="698">
      <c r="A698" s="15"/>
      <c r="B698" s="15"/>
      <c r="C698" s="15"/>
      <c r="D698" s="15"/>
      <c r="E698" s="15"/>
      <c r="F698" s="15"/>
      <c r="G698" s="90"/>
      <c r="H698" s="15"/>
      <c r="I698" s="15"/>
      <c r="J698" s="15"/>
      <c r="K698" s="15"/>
      <c r="L698" s="62" t="str">
        <f t="shared" si="1"/>
        <v/>
      </c>
    </row>
    <row r="699">
      <c r="A699" s="15"/>
      <c r="B699" s="15"/>
      <c r="C699" s="15"/>
      <c r="D699" s="15"/>
      <c r="E699" s="15"/>
      <c r="F699" s="15"/>
      <c r="G699" s="90"/>
      <c r="H699" s="15"/>
      <c r="I699" s="15"/>
      <c r="J699" s="15"/>
      <c r="K699" s="15"/>
      <c r="L699" s="62" t="str">
        <f t="shared" si="1"/>
        <v/>
      </c>
    </row>
    <row r="700">
      <c r="A700" s="15"/>
      <c r="B700" s="15"/>
      <c r="C700" s="15"/>
      <c r="D700" s="15"/>
      <c r="E700" s="15"/>
      <c r="F700" s="15"/>
      <c r="G700" s="90"/>
      <c r="H700" s="15"/>
      <c r="I700" s="15"/>
      <c r="J700" s="15"/>
      <c r="K700" s="15"/>
      <c r="L700" s="62" t="str">
        <f t="shared" si="1"/>
        <v/>
      </c>
    </row>
    <row r="701">
      <c r="A701" s="15"/>
      <c r="B701" s="15"/>
      <c r="C701" s="15"/>
      <c r="D701" s="15"/>
      <c r="E701" s="15"/>
      <c r="F701" s="15"/>
      <c r="G701" s="90"/>
      <c r="H701" s="15"/>
      <c r="I701" s="15"/>
      <c r="J701" s="15"/>
      <c r="K701" s="15"/>
      <c r="L701" s="62" t="str">
        <f t="shared" si="1"/>
        <v/>
      </c>
    </row>
    <row r="702">
      <c r="A702" s="15"/>
      <c r="B702" s="15"/>
      <c r="C702" s="15"/>
      <c r="D702" s="15"/>
      <c r="E702" s="15"/>
      <c r="F702" s="15"/>
      <c r="G702" s="90"/>
      <c r="H702" s="15"/>
      <c r="I702" s="15"/>
      <c r="J702" s="15"/>
      <c r="K702" s="15"/>
      <c r="L702" s="62" t="str">
        <f t="shared" si="1"/>
        <v/>
      </c>
    </row>
    <row r="703">
      <c r="A703" s="15"/>
      <c r="B703" s="15"/>
      <c r="C703" s="15"/>
      <c r="D703" s="15"/>
      <c r="E703" s="15"/>
      <c r="F703" s="15"/>
      <c r="G703" s="90"/>
      <c r="H703" s="15"/>
      <c r="I703" s="15"/>
      <c r="J703" s="15"/>
      <c r="K703" s="15"/>
      <c r="L703" s="62" t="str">
        <f t="shared" si="1"/>
        <v/>
      </c>
    </row>
    <row r="704">
      <c r="A704" s="15"/>
      <c r="B704" s="15"/>
      <c r="C704" s="15"/>
      <c r="D704" s="15"/>
      <c r="E704" s="15"/>
      <c r="F704" s="15"/>
      <c r="G704" s="90"/>
      <c r="H704" s="15"/>
      <c r="I704" s="15"/>
      <c r="J704" s="15"/>
      <c r="K704" s="15"/>
      <c r="L704" s="62" t="str">
        <f t="shared" si="1"/>
        <v/>
      </c>
    </row>
    <row r="705">
      <c r="A705" s="15"/>
      <c r="B705" s="15"/>
      <c r="C705" s="15"/>
      <c r="D705" s="15"/>
      <c r="E705" s="15"/>
      <c r="F705" s="15"/>
      <c r="G705" s="90"/>
      <c r="H705" s="15"/>
      <c r="I705" s="15"/>
      <c r="J705" s="15"/>
      <c r="K705" s="15"/>
      <c r="L705" s="62" t="str">
        <f t="shared" si="1"/>
        <v/>
      </c>
    </row>
    <row r="706">
      <c r="A706" s="15"/>
      <c r="B706" s="15"/>
      <c r="C706" s="15"/>
      <c r="D706" s="15"/>
      <c r="E706" s="15"/>
      <c r="F706" s="15"/>
      <c r="G706" s="90"/>
      <c r="H706" s="15"/>
      <c r="I706" s="15"/>
      <c r="J706" s="15"/>
      <c r="K706" s="15"/>
      <c r="L706" s="62" t="str">
        <f t="shared" si="1"/>
        <v/>
      </c>
    </row>
    <row r="707">
      <c r="A707" s="15"/>
      <c r="B707" s="15"/>
      <c r="C707" s="15"/>
      <c r="D707" s="15"/>
      <c r="E707" s="15"/>
      <c r="F707" s="15"/>
      <c r="G707" s="90"/>
      <c r="H707" s="15"/>
      <c r="I707" s="15"/>
      <c r="J707" s="15"/>
      <c r="K707" s="15"/>
      <c r="L707" s="62" t="str">
        <f t="shared" si="1"/>
        <v/>
      </c>
    </row>
    <row r="708">
      <c r="A708" s="15"/>
      <c r="B708" s="15"/>
      <c r="C708" s="15"/>
      <c r="D708" s="15"/>
      <c r="E708" s="15"/>
      <c r="F708" s="15"/>
      <c r="G708" s="90"/>
      <c r="H708" s="15"/>
      <c r="I708" s="15"/>
      <c r="J708" s="15"/>
      <c r="K708" s="15"/>
      <c r="L708" s="62" t="str">
        <f t="shared" si="1"/>
        <v/>
      </c>
    </row>
    <row r="709">
      <c r="A709" s="15"/>
      <c r="B709" s="15"/>
      <c r="C709" s="15"/>
      <c r="D709" s="15"/>
      <c r="E709" s="15"/>
      <c r="F709" s="15"/>
      <c r="G709" s="90"/>
      <c r="H709" s="15"/>
      <c r="I709" s="15"/>
      <c r="J709" s="15"/>
      <c r="K709" s="15"/>
      <c r="L709" s="62" t="str">
        <f t="shared" si="1"/>
        <v/>
      </c>
    </row>
    <row r="710">
      <c r="A710" s="15"/>
      <c r="B710" s="15"/>
      <c r="C710" s="15"/>
      <c r="D710" s="15"/>
      <c r="E710" s="15"/>
      <c r="F710" s="15"/>
      <c r="G710" s="90"/>
      <c r="H710" s="15"/>
      <c r="I710" s="15"/>
      <c r="J710" s="15"/>
      <c r="K710" s="15"/>
      <c r="L710" s="62" t="str">
        <f t="shared" si="1"/>
        <v/>
      </c>
    </row>
    <row r="711">
      <c r="A711" s="15"/>
      <c r="B711" s="15"/>
      <c r="C711" s="15"/>
      <c r="D711" s="15"/>
      <c r="E711" s="15"/>
      <c r="F711" s="15"/>
      <c r="G711" s="90"/>
      <c r="H711" s="15"/>
      <c r="I711" s="15"/>
      <c r="J711" s="15"/>
      <c r="K711" s="15"/>
      <c r="L711" s="62" t="str">
        <f t="shared" si="1"/>
        <v/>
      </c>
    </row>
    <row r="712">
      <c r="A712" s="15"/>
      <c r="B712" s="15"/>
      <c r="C712" s="15"/>
      <c r="D712" s="15"/>
      <c r="E712" s="15"/>
      <c r="F712" s="15"/>
      <c r="G712" s="90"/>
      <c r="H712" s="15"/>
      <c r="I712" s="15"/>
      <c r="J712" s="15"/>
      <c r="K712" s="15"/>
      <c r="L712" s="62" t="str">
        <f t="shared" si="1"/>
        <v/>
      </c>
    </row>
    <row r="713">
      <c r="A713" s="15"/>
      <c r="B713" s="15"/>
      <c r="C713" s="15"/>
      <c r="D713" s="15"/>
      <c r="E713" s="15"/>
      <c r="F713" s="15"/>
      <c r="G713" s="90"/>
      <c r="H713" s="15"/>
      <c r="I713" s="15"/>
      <c r="J713" s="15"/>
      <c r="K713" s="15"/>
      <c r="L713" s="62" t="str">
        <f t="shared" si="1"/>
        <v/>
      </c>
    </row>
    <row r="714">
      <c r="A714" s="15"/>
      <c r="B714" s="15"/>
      <c r="C714" s="15"/>
      <c r="D714" s="15"/>
      <c r="E714" s="15"/>
      <c r="F714" s="15"/>
      <c r="G714" s="90"/>
      <c r="H714" s="15"/>
      <c r="I714" s="15"/>
      <c r="J714" s="15"/>
      <c r="K714" s="15"/>
      <c r="L714" s="62" t="str">
        <f t="shared" si="1"/>
        <v/>
      </c>
    </row>
    <row r="715">
      <c r="A715" s="15"/>
      <c r="B715" s="15"/>
      <c r="C715" s="15"/>
      <c r="D715" s="15"/>
      <c r="E715" s="15"/>
      <c r="F715" s="15"/>
      <c r="G715" s="90"/>
      <c r="H715" s="15"/>
      <c r="I715" s="15"/>
      <c r="J715" s="15"/>
      <c r="K715" s="15"/>
      <c r="L715" s="62" t="str">
        <f t="shared" si="1"/>
        <v/>
      </c>
    </row>
    <row r="716">
      <c r="A716" s="15"/>
      <c r="B716" s="15"/>
      <c r="C716" s="15"/>
      <c r="D716" s="15"/>
      <c r="E716" s="15"/>
      <c r="F716" s="15"/>
      <c r="G716" s="90"/>
      <c r="H716" s="15"/>
      <c r="I716" s="15"/>
      <c r="J716" s="15"/>
      <c r="K716" s="15"/>
      <c r="L716" s="62" t="str">
        <f t="shared" si="1"/>
        <v/>
      </c>
    </row>
    <row r="717">
      <c r="A717" s="15"/>
      <c r="B717" s="15"/>
      <c r="C717" s="15"/>
      <c r="D717" s="15"/>
      <c r="E717" s="15"/>
      <c r="F717" s="15"/>
      <c r="G717" s="90"/>
      <c r="H717" s="15"/>
      <c r="I717" s="15"/>
      <c r="J717" s="15"/>
      <c r="K717" s="15"/>
      <c r="L717" s="62" t="str">
        <f t="shared" si="1"/>
        <v/>
      </c>
    </row>
    <row r="718">
      <c r="A718" s="15"/>
      <c r="B718" s="15"/>
      <c r="C718" s="15"/>
      <c r="D718" s="15"/>
      <c r="E718" s="15"/>
      <c r="F718" s="15"/>
      <c r="G718" s="90"/>
      <c r="H718" s="15"/>
      <c r="I718" s="15"/>
      <c r="J718" s="15"/>
      <c r="K718" s="15"/>
      <c r="L718" s="62" t="str">
        <f t="shared" si="1"/>
        <v/>
      </c>
    </row>
    <row r="719">
      <c r="A719" s="15"/>
      <c r="B719" s="15"/>
      <c r="C719" s="15"/>
      <c r="D719" s="15"/>
      <c r="E719" s="15"/>
      <c r="F719" s="15"/>
      <c r="G719" s="90"/>
      <c r="H719" s="15"/>
      <c r="I719" s="15"/>
      <c r="J719" s="15"/>
      <c r="K719" s="15"/>
      <c r="L719" s="62" t="str">
        <f t="shared" si="1"/>
        <v/>
      </c>
    </row>
    <row r="720">
      <c r="A720" s="15"/>
      <c r="B720" s="15"/>
      <c r="C720" s="15"/>
      <c r="D720" s="15"/>
      <c r="E720" s="15"/>
      <c r="F720" s="15"/>
      <c r="G720" s="90"/>
      <c r="H720" s="15"/>
      <c r="I720" s="15"/>
      <c r="J720" s="15"/>
      <c r="K720" s="15"/>
      <c r="L720" s="62" t="str">
        <f t="shared" si="1"/>
        <v/>
      </c>
    </row>
    <row r="721">
      <c r="A721" s="15"/>
      <c r="B721" s="15"/>
      <c r="C721" s="15"/>
      <c r="D721" s="15"/>
      <c r="E721" s="15"/>
      <c r="F721" s="15"/>
      <c r="G721" s="90"/>
      <c r="H721" s="15"/>
      <c r="I721" s="15"/>
      <c r="J721" s="15"/>
      <c r="K721" s="15"/>
      <c r="L721" s="62" t="str">
        <f t="shared" si="1"/>
        <v/>
      </c>
    </row>
    <row r="722">
      <c r="A722" s="15"/>
      <c r="B722" s="15"/>
      <c r="C722" s="15"/>
      <c r="D722" s="15"/>
      <c r="E722" s="15"/>
      <c r="F722" s="15"/>
      <c r="G722" s="90"/>
      <c r="H722" s="15"/>
      <c r="I722" s="15"/>
      <c r="J722" s="15"/>
      <c r="K722" s="15"/>
      <c r="L722" s="62" t="str">
        <f t="shared" si="1"/>
        <v/>
      </c>
    </row>
    <row r="723">
      <c r="A723" s="15"/>
      <c r="B723" s="15"/>
      <c r="C723" s="15"/>
      <c r="D723" s="15"/>
      <c r="E723" s="15"/>
      <c r="F723" s="15"/>
      <c r="G723" s="90"/>
      <c r="H723" s="15"/>
      <c r="I723" s="15"/>
      <c r="J723" s="15"/>
      <c r="K723" s="15"/>
      <c r="L723" s="62" t="str">
        <f t="shared" si="1"/>
        <v/>
      </c>
    </row>
    <row r="724">
      <c r="A724" s="15"/>
      <c r="B724" s="15"/>
      <c r="C724" s="15"/>
      <c r="D724" s="15"/>
      <c r="E724" s="15"/>
      <c r="F724" s="15"/>
      <c r="G724" s="90"/>
      <c r="H724" s="15"/>
      <c r="I724" s="15"/>
      <c r="J724" s="15"/>
      <c r="K724" s="15"/>
      <c r="L724" s="62" t="str">
        <f t="shared" si="1"/>
        <v/>
      </c>
    </row>
    <row r="725">
      <c r="A725" s="15"/>
      <c r="B725" s="15"/>
      <c r="C725" s="15"/>
      <c r="D725" s="15"/>
      <c r="E725" s="15"/>
      <c r="F725" s="15"/>
      <c r="G725" s="90"/>
      <c r="H725" s="15"/>
      <c r="I725" s="15"/>
      <c r="J725" s="15"/>
      <c r="K725" s="15"/>
      <c r="L725" s="62" t="str">
        <f t="shared" si="1"/>
        <v/>
      </c>
    </row>
    <row r="726">
      <c r="A726" s="15"/>
      <c r="B726" s="15"/>
      <c r="C726" s="15"/>
      <c r="D726" s="15"/>
      <c r="E726" s="15"/>
      <c r="F726" s="15"/>
      <c r="G726" s="90"/>
      <c r="H726" s="15"/>
      <c r="I726" s="15"/>
      <c r="J726" s="15"/>
      <c r="K726" s="15"/>
      <c r="L726" s="62" t="str">
        <f t="shared" si="1"/>
        <v/>
      </c>
    </row>
    <row r="727">
      <c r="A727" s="15"/>
      <c r="B727" s="15"/>
      <c r="C727" s="15"/>
      <c r="D727" s="15"/>
      <c r="E727" s="15"/>
      <c r="F727" s="15"/>
      <c r="G727" s="90"/>
      <c r="H727" s="15"/>
      <c r="I727" s="15"/>
      <c r="J727" s="15"/>
      <c r="K727" s="15"/>
      <c r="L727" s="62" t="str">
        <f t="shared" si="1"/>
        <v/>
      </c>
    </row>
    <row r="728">
      <c r="A728" s="15"/>
      <c r="B728" s="15"/>
      <c r="C728" s="15"/>
      <c r="D728" s="15"/>
      <c r="E728" s="15"/>
      <c r="F728" s="15"/>
      <c r="G728" s="90"/>
      <c r="H728" s="15"/>
      <c r="I728" s="15"/>
      <c r="J728" s="15"/>
      <c r="K728" s="15"/>
      <c r="L728" s="62" t="str">
        <f t="shared" si="1"/>
        <v/>
      </c>
    </row>
    <row r="729">
      <c r="A729" s="15"/>
      <c r="B729" s="15"/>
      <c r="C729" s="15"/>
      <c r="D729" s="15"/>
      <c r="E729" s="15"/>
      <c r="F729" s="15"/>
      <c r="G729" s="90"/>
      <c r="H729" s="15"/>
      <c r="I729" s="15"/>
      <c r="J729" s="15"/>
      <c r="K729" s="15"/>
      <c r="L729" s="62" t="str">
        <f t="shared" si="1"/>
        <v/>
      </c>
    </row>
    <row r="730">
      <c r="A730" s="15"/>
      <c r="B730" s="15"/>
      <c r="C730" s="15"/>
      <c r="D730" s="15"/>
      <c r="E730" s="15"/>
      <c r="F730" s="15"/>
      <c r="G730" s="90"/>
      <c r="H730" s="15"/>
      <c r="I730" s="15"/>
      <c r="J730" s="15"/>
      <c r="K730" s="15"/>
      <c r="L730" s="62" t="str">
        <f t="shared" si="1"/>
        <v/>
      </c>
    </row>
    <row r="731">
      <c r="A731" s="15"/>
      <c r="B731" s="15"/>
      <c r="C731" s="15"/>
      <c r="D731" s="15"/>
      <c r="E731" s="15"/>
      <c r="F731" s="15"/>
      <c r="G731" s="90"/>
      <c r="H731" s="15"/>
      <c r="I731" s="15"/>
      <c r="J731" s="15"/>
      <c r="K731" s="15"/>
      <c r="L731" s="62" t="str">
        <f t="shared" si="1"/>
        <v/>
      </c>
    </row>
    <row r="732">
      <c r="A732" s="15"/>
      <c r="B732" s="15"/>
      <c r="C732" s="15"/>
      <c r="D732" s="15"/>
      <c r="E732" s="15"/>
      <c r="F732" s="15"/>
      <c r="G732" s="90"/>
      <c r="H732" s="15"/>
      <c r="I732" s="15"/>
      <c r="J732" s="15"/>
      <c r="K732" s="15"/>
      <c r="L732" s="62" t="str">
        <f t="shared" si="1"/>
        <v/>
      </c>
    </row>
    <row r="733">
      <c r="A733" s="15"/>
      <c r="B733" s="15"/>
      <c r="C733" s="15"/>
      <c r="D733" s="15"/>
      <c r="E733" s="15"/>
      <c r="F733" s="15"/>
      <c r="G733" s="90"/>
      <c r="H733" s="15"/>
      <c r="I733" s="15"/>
      <c r="J733" s="15"/>
      <c r="K733" s="15"/>
      <c r="L733" s="62" t="str">
        <f t="shared" si="1"/>
        <v/>
      </c>
    </row>
    <row r="734">
      <c r="A734" s="15"/>
      <c r="B734" s="15"/>
      <c r="C734" s="15"/>
      <c r="D734" s="15"/>
      <c r="E734" s="15"/>
      <c r="F734" s="15"/>
      <c r="G734" s="90"/>
      <c r="H734" s="15"/>
      <c r="I734" s="15"/>
      <c r="J734" s="15"/>
      <c r="K734" s="15"/>
      <c r="L734" s="62" t="str">
        <f t="shared" si="1"/>
        <v/>
      </c>
    </row>
    <row r="735">
      <c r="A735" s="15"/>
      <c r="B735" s="15"/>
      <c r="C735" s="15"/>
      <c r="D735" s="15"/>
      <c r="E735" s="15"/>
      <c r="F735" s="15"/>
      <c r="G735" s="90"/>
      <c r="H735" s="15"/>
      <c r="I735" s="15"/>
      <c r="J735" s="15"/>
      <c r="K735" s="15"/>
      <c r="L735" s="62" t="str">
        <f t="shared" si="1"/>
        <v/>
      </c>
    </row>
    <row r="736">
      <c r="A736" s="15"/>
      <c r="B736" s="15"/>
      <c r="C736" s="15"/>
      <c r="D736" s="15"/>
      <c r="E736" s="15"/>
      <c r="F736" s="15"/>
      <c r="G736" s="90"/>
      <c r="H736" s="15"/>
      <c r="I736" s="15"/>
      <c r="J736" s="15"/>
      <c r="K736" s="15"/>
      <c r="L736" s="62" t="str">
        <f t="shared" si="1"/>
        <v/>
      </c>
    </row>
    <row r="737">
      <c r="A737" s="15"/>
      <c r="B737" s="15"/>
      <c r="C737" s="15"/>
      <c r="D737" s="15"/>
      <c r="E737" s="15"/>
      <c r="F737" s="15"/>
      <c r="G737" s="90"/>
      <c r="H737" s="15"/>
      <c r="I737" s="15"/>
      <c r="J737" s="15"/>
      <c r="K737" s="15"/>
      <c r="L737" s="62" t="str">
        <f t="shared" si="1"/>
        <v/>
      </c>
    </row>
    <row r="738">
      <c r="A738" s="15"/>
      <c r="B738" s="15"/>
      <c r="C738" s="15"/>
      <c r="D738" s="15"/>
      <c r="E738" s="15"/>
      <c r="F738" s="15"/>
      <c r="G738" s="90"/>
      <c r="H738" s="15"/>
      <c r="I738" s="15"/>
      <c r="J738" s="15"/>
      <c r="K738" s="15"/>
      <c r="L738" s="62" t="str">
        <f t="shared" si="1"/>
        <v/>
      </c>
    </row>
    <row r="739">
      <c r="A739" s="15"/>
      <c r="B739" s="15"/>
      <c r="C739" s="15"/>
      <c r="D739" s="15"/>
      <c r="E739" s="15"/>
      <c r="F739" s="15"/>
      <c r="G739" s="90"/>
      <c r="H739" s="15"/>
      <c r="I739" s="15"/>
      <c r="J739" s="15"/>
      <c r="K739" s="15"/>
      <c r="L739" s="62" t="str">
        <f t="shared" si="1"/>
        <v/>
      </c>
    </row>
    <row r="740">
      <c r="A740" s="15"/>
      <c r="B740" s="15"/>
      <c r="C740" s="15"/>
      <c r="D740" s="15"/>
      <c r="E740" s="15"/>
      <c r="F740" s="15"/>
      <c r="G740" s="90"/>
      <c r="H740" s="15"/>
      <c r="I740" s="15"/>
      <c r="J740" s="15"/>
      <c r="K740" s="15"/>
      <c r="L740" s="62" t="str">
        <f t="shared" si="1"/>
        <v/>
      </c>
    </row>
    <row r="741">
      <c r="A741" s="15"/>
      <c r="B741" s="15"/>
      <c r="C741" s="15"/>
      <c r="D741" s="15"/>
      <c r="E741" s="15"/>
      <c r="F741" s="15"/>
      <c r="G741" s="90"/>
      <c r="H741" s="15"/>
      <c r="I741" s="15"/>
      <c r="J741" s="15"/>
      <c r="K741" s="15"/>
      <c r="L741" s="62" t="str">
        <f t="shared" si="1"/>
        <v/>
      </c>
    </row>
    <row r="742">
      <c r="A742" s="15"/>
      <c r="B742" s="15"/>
      <c r="C742" s="15"/>
      <c r="D742" s="15"/>
      <c r="E742" s="15"/>
      <c r="F742" s="15"/>
      <c r="G742" s="90"/>
      <c r="H742" s="15"/>
      <c r="I742" s="15"/>
      <c r="J742" s="15"/>
      <c r="K742" s="15"/>
      <c r="L742" s="62" t="str">
        <f t="shared" si="1"/>
        <v/>
      </c>
    </row>
    <row r="743">
      <c r="A743" s="15"/>
      <c r="B743" s="15"/>
      <c r="C743" s="15"/>
      <c r="D743" s="15"/>
      <c r="E743" s="15"/>
      <c r="F743" s="15"/>
      <c r="G743" s="90"/>
      <c r="H743" s="15"/>
      <c r="I743" s="15"/>
      <c r="J743" s="15"/>
      <c r="K743" s="15"/>
      <c r="L743" s="62" t="str">
        <f t="shared" si="1"/>
        <v/>
      </c>
    </row>
    <row r="744">
      <c r="A744" s="15"/>
      <c r="B744" s="15"/>
      <c r="C744" s="15"/>
      <c r="D744" s="15"/>
      <c r="E744" s="15"/>
      <c r="F744" s="15"/>
      <c r="G744" s="90"/>
      <c r="H744" s="15"/>
      <c r="I744" s="15"/>
      <c r="J744" s="15"/>
      <c r="K744" s="15"/>
      <c r="L744" s="62" t="str">
        <f t="shared" si="1"/>
        <v/>
      </c>
    </row>
    <row r="745">
      <c r="A745" s="15"/>
      <c r="B745" s="15"/>
      <c r="C745" s="15"/>
      <c r="D745" s="15"/>
      <c r="E745" s="15"/>
      <c r="F745" s="15"/>
      <c r="G745" s="90"/>
      <c r="H745" s="15"/>
      <c r="I745" s="15"/>
      <c r="J745" s="15"/>
      <c r="K745" s="15"/>
      <c r="L745" s="62" t="str">
        <f t="shared" si="1"/>
        <v/>
      </c>
    </row>
    <row r="746">
      <c r="A746" s="15"/>
      <c r="B746" s="15"/>
      <c r="C746" s="15"/>
      <c r="D746" s="15"/>
      <c r="E746" s="15"/>
      <c r="F746" s="15"/>
      <c r="G746" s="90"/>
      <c r="H746" s="15"/>
      <c r="I746" s="15"/>
      <c r="J746" s="15"/>
      <c r="K746" s="15"/>
      <c r="L746" s="62" t="str">
        <f t="shared" si="1"/>
        <v/>
      </c>
    </row>
    <row r="747">
      <c r="A747" s="15"/>
      <c r="B747" s="15"/>
      <c r="C747" s="15"/>
      <c r="D747" s="15"/>
      <c r="E747" s="15"/>
      <c r="F747" s="15"/>
      <c r="G747" s="90"/>
      <c r="H747" s="15"/>
      <c r="I747" s="15"/>
      <c r="J747" s="15"/>
      <c r="K747" s="15"/>
      <c r="L747" s="62" t="str">
        <f t="shared" si="1"/>
        <v/>
      </c>
    </row>
    <row r="748">
      <c r="A748" s="15"/>
      <c r="B748" s="15"/>
      <c r="C748" s="15"/>
      <c r="D748" s="15"/>
      <c r="E748" s="15"/>
      <c r="F748" s="15"/>
      <c r="G748" s="90"/>
      <c r="H748" s="15"/>
      <c r="I748" s="15"/>
      <c r="J748" s="15"/>
      <c r="K748" s="15"/>
      <c r="L748" s="62" t="str">
        <f t="shared" si="1"/>
        <v/>
      </c>
    </row>
    <row r="749">
      <c r="A749" s="15"/>
      <c r="B749" s="15"/>
      <c r="C749" s="15"/>
      <c r="D749" s="15"/>
      <c r="E749" s="15"/>
      <c r="F749" s="15"/>
      <c r="G749" s="90"/>
      <c r="H749" s="15"/>
      <c r="I749" s="15"/>
      <c r="J749" s="15"/>
      <c r="K749" s="15"/>
      <c r="L749" s="62" t="str">
        <f t="shared" si="1"/>
        <v/>
      </c>
    </row>
    <row r="750">
      <c r="A750" s="15"/>
      <c r="B750" s="15"/>
      <c r="C750" s="15"/>
      <c r="D750" s="15"/>
      <c r="E750" s="15"/>
      <c r="F750" s="15"/>
      <c r="G750" s="90"/>
      <c r="H750" s="15"/>
      <c r="I750" s="15"/>
      <c r="J750" s="15"/>
      <c r="K750" s="15"/>
      <c r="L750" s="62" t="str">
        <f t="shared" si="1"/>
        <v/>
      </c>
    </row>
    <row r="751">
      <c r="A751" s="15"/>
      <c r="B751" s="15"/>
      <c r="C751" s="15"/>
      <c r="D751" s="15"/>
      <c r="E751" s="15"/>
      <c r="F751" s="15"/>
      <c r="G751" s="90"/>
      <c r="H751" s="15"/>
      <c r="I751" s="15"/>
      <c r="J751" s="15"/>
      <c r="K751" s="15"/>
      <c r="L751" s="62" t="str">
        <f t="shared" si="1"/>
        <v/>
      </c>
    </row>
    <row r="752">
      <c r="A752" s="15"/>
      <c r="B752" s="15"/>
      <c r="C752" s="15"/>
      <c r="D752" s="15"/>
      <c r="E752" s="15"/>
      <c r="F752" s="15"/>
      <c r="G752" s="90"/>
      <c r="H752" s="15"/>
      <c r="I752" s="15"/>
      <c r="J752" s="15"/>
      <c r="K752" s="15"/>
      <c r="L752" s="62" t="str">
        <f t="shared" si="1"/>
        <v/>
      </c>
    </row>
    <row r="753">
      <c r="A753" s="15"/>
      <c r="B753" s="15"/>
      <c r="C753" s="15"/>
      <c r="D753" s="15"/>
      <c r="E753" s="15"/>
      <c r="F753" s="15"/>
      <c r="G753" s="90"/>
      <c r="H753" s="15"/>
      <c r="I753" s="15"/>
      <c r="J753" s="15"/>
      <c r="K753" s="15"/>
      <c r="L753" s="62" t="str">
        <f t="shared" si="1"/>
        <v/>
      </c>
    </row>
    <row r="754">
      <c r="A754" s="15"/>
      <c r="B754" s="15"/>
      <c r="C754" s="15"/>
      <c r="D754" s="15"/>
      <c r="E754" s="15"/>
      <c r="F754" s="15"/>
      <c r="G754" s="90"/>
      <c r="H754" s="15"/>
      <c r="I754" s="15"/>
      <c r="J754" s="15"/>
      <c r="K754" s="15"/>
      <c r="L754" s="62" t="str">
        <f t="shared" si="1"/>
        <v/>
      </c>
    </row>
    <row r="755">
      <c r="A755" s="15"/>
      <c r="B755" s="15"/>
      <c r="C755" s="15"/>
      <c r="D755" s="15"/>
      <c r="E755" s="15"/>
      <c r="F755" s="15"/>
      <c r="G755" s="90"/>
      <c r="H755" s="15"/>
      <c r="I755" s="15"/>
      <c r="J755" s="15"/>
      <c r="K755" s="15"/>
      <c r="L755" s="62" t="str">
        <f t="shared" si="1"/>
        <v/>
      </c>
    </row>
    <row r="756">
      <c r="A756" s="15"/>
      <c r="B756" s="15"/>
      <c r="C756" s="15"/>
      <c r="D756" s="15"/>
      <c r="E756" s="15"/>
      <c r="F756" s="15"/>
      <c r="G756" s="90"/>
      <c r="H756" s="15"/>
      <c r="I756" s="15"/>
      <c r="J756" s="15"/>
      <c r="K756" s="15"/>
      <c r="L756" s="62" t="str">
        <f t="shared" si="1"/>
        <v/>
      </c>
    </row>
    <row r="757">
      <c r="A757" s="15"/>
      <c r="B757" s="15"/>
      <c r="C757" s="15"/>
      <c r="D757" s="15"/>
      <c r="E757" s="15"/>
      <c r="F757" s="15"/>
      <c r="G757" s="90"/>
      <c r="H757" s="15"/>
      <c r="I757" s="15"/>
      <c r="J757" s="15"/>
      <c r="K757" s="15"/>
      <c r="L757" s="62" t="str">
        <f t="shared" si="1"/>
        <v/>
      </c>
    </row>
    <row r="758">
      <c r="A758" s="15"/>
      <c r="B758" s="15"/>
      <c r="C758" s="15"/>
      <c r="D758" s="15"/>
      <c r="E758" s="15"/>
      <c r="F758" s="15"/>
      <c r="G758" s="90"/>
      <c r="H758" s="15"/>
      <c r="I758" s="15"/>
      <c r="J758" s="15"/>
      <c r="K758" s="15"/>
      <c r="L758" s="62" t="str">
        <f t="shared" si="1"/>
        <v/>
      </c>
    </row>
    <row r="759">
      <c r="A759" s="15"/>
      <c r="B759" s="15"/>
      <c r="C759" s="15"/>
      <c r="D759" s="15"/>
      <c r="E759" s="15"/>
      <c r="F759" s="15"/>
      <c r="G759" s="90"/>
      <c r="H759" s="15"/>
      <c r="I759" s="15"/>
      <c r="J759" s="15"/>
      <c r="K759" s="15"/>
      <c r="L759" s="62" t="str">
        <f t="shared" si="1"/>
        <v/>
      </c>
    </row>
    <row r="760">
      <c r="A760" s="15"/>
      <c r="B760" s="15"/>
      <c r="C760" s="15"/>
      <c r="D760" s="15"/>
      <c r="E760" s="15"/>
      <c r="F760" s="15"/>
      <c r="G760" s="90"/>
      <c r="H760" s="15"/>
      <c r="I760" s="15"/>
      <c r="J760" s="15"/>
      <c r="K760" s="15"/>
      <c r="L760" s="62" t="str">
        <f t="shared" si="1"/>
        <v/>
      </c>
    </row>
    <row r="761">
      <c r="A761" s="15"/>
      <c r="B761" s="15"/>
      <c r="C761" s="15"/>
      <c r="D761" s="15"/>
      <c r="E761" s="15"/>
      <c r="F761" s="15"/>
      <c r="G761" s="90"/>
      <c r="H761" s="15"/>
      <c r="I761" s="15"/>
      <c r="J761" s="15"/>
      <c r="K761" s="15"/>
      <c r="L761" s="62" t="str">
        <f t="shared" si="1"/>
        <v/>
      </c>
    </row>
    <row r="762">
      <c r="A762" s="15"/>
      <c r="B762" s="15"/>
      <c r="C762" s="15"/>
      <c r="D762" s="15"/>
      <c r="E762" s="15"/>
      <c r="F762" s="15"/>
      <c r="G762" s="90"/>
      <c r="H762" s="15"/>
      <c r="I762" s="15"/>
      <c r="J762" s="15"/>
      <c r="K762" s="15"/>
      <c r="L762" s="62" t="str">
        <f t="shared" si="1"/>
        <v/>
      </c>
    </row>
    <row r="763">
      <c r="A763" s="15"/>
      <c r="B763" s="15"/>
      <c r="C763" s="15"/>
      <c r="D763" s="15"/>
      <c r="E763" s="15"/>
      <c r="F763" s="15"/>
      <c r="G763" s="90"/>
      <c r="H763" s="15"/>
      <c r="I763" s="15"/>
      <c r="J763" s="15"/>
      <c r="K763" s="15"/>
      <c r="L763" s="62" t="str">
        <f t="shared" si="1"/>
        <v/>
      </c>
    </row>
    <row r="764">
      <c r="A764" s="15"/>
      <c r="B764" s="15"/>
      <c r="C764" s="15"/>
      <c r="D764" s="15"/>
      <c r="E764" s="15"/>
      <c r="F764" s="15"/>
      <c r="G764" s="90"/>
      <c r="H764" s="15"/>
      <c r="I764" s="15"/>
      <c r="J764" s="15"/>
      <c r="K764" s="15"/>
      <c r="L764" s="62" t="str">
        <f t="shared" si="1"/>
        <v/>
      </c>
    </row>
    <row r="765">
      <c r="A765" s="15"/>
      <c r="B765" s="15"/>
      <c r="C765" s="15"/>
      <c r="D765" s="15"/>
      <c r="E765" s="15"/>
      <c r="F765" s="15"/>
      <c r="G765" s="90"/>
      <c r="H765" s="15"/>
      <c r="I765" s="15"/>
      <c r="J765" s="15"/>
      <c r="K765" s="15"/>
      <c r="L765" s="62" t="str">
        <f t="shared" si="1"/>
        <v/>
      </c>
    </row>
    <row r="766">
      <c r="A766" s="15"/>
      <c r="B766" s="15"/>
      <c r="C766" s="15"/>
      <c r="D766" s="15"/>
      <c r="E766" s="15"/>
      <c r="F766" s="15"/>
      <c r="G766" s="90"/>
      <c r="H766" s="15"/>
      <c r="I766" s="15"/>
      <c r="J766" s="15"/>
      <c r="K766" s="15"/>
      <c r="L766" s="62" t="str">
        <f t="shared" si="1"/>
        <v/>
      </c>
    </row>
    <row r="767">
      <c r="A767" s="15"/>
      <c r="B767" s="15"/>
      <c r="C767" s="15"/>
      <c r="D767" s="15"/>
      <c r="E767" s="15"/>
      <c r="F767" s="15"/>
      <c r="G767" s="90"/>
      <c r="H767" s="15"/>
      <c r="I767" s="15"/>
      <c r="J767" s="15"/>
      <c r="K767" s="15"/>
      <c r="L767" s="62" t="str">
        <f t="shared" si="1"/>
        <v/>
      </c>
    </row>
    <row r="768">
      <c r="A768" s="15"/>
      <c r="B768" s="15"/>
      <c r="C768" s="15"/>
      <c r="D768" s="15"/>
      <c r="E768" s="15"/>
      <c r="F768" s="15"/>
      <c r="G768" s="90"/>
      <c r="H768" s="15"/>
      <c r="I768" s="15"/>
      <c r="J768" s="15"/>
      <c r="K768" s="15"/>
      <c r="L768" s="62" t="str">
        <f t="shared" si="1"/>
        <v/>
      </c>
    </row>
    <row r="769">
      <c r="A769" s="15"/>
      <c r="B769" s="15"/>
      <c r="C769" s="15"/>
      <c r="D769" s="15"/>
      <c r="E769" s="15"/>
      <c r="F769" s="15"/>
      <c r="G769" s="90"/>
      <c r="H769" s="15"/>
      <c r="I769" s="15"/>
      <c r="J769" s="15"/>
      <c r="K769" s="15"/>
      <c r="L769" s="62" t="str">
        <f t="shared" si="1"/>
        <v/>
      </c>
    </row>
    <row r="770">
      <c r="A770" s="15"/>
      <c r="B770" s="15"/>
      <c r="C770" s="15"/>
      <c r="D770" s="15"/>
      <c r="E770" s="15"/>
      <c r="F770" s="15"/>
      <c r="G770" s="90"/>
      <c r="H770" s="15"/>
      <c r="I770" s="15"/>
      <c r="J770" s="15"/>
      <c r="K770" s="15"/>
      <c r="L770" s="62" t="str">
        <f t="shared" si="1"/>
        <v/>
      </c>
    </row>
    <row r="771">
      <c r="A771" s="15"/>
      <c r="B771" s="15"/>
      <c r="C771" s="15"/>
      <c r="D771" s="15"/>
      <c r="E771" s="15"/>
      <c r="F771" s="15"/>
      <c r="G771" s="90"/>
      <c r="H771" s="15"/>
      <c r="I771" s="15"/>
      <c r="J771" s="15"/>
      <c r="K771" s="15"/>
      <c r="L771" s="62" t="str">
        <f t="shared" si="1"/>
        <v/>
      </c>
    </row>
    <row r="772">
      <c r="A772" s="15"/>
      <c r="B772" s="15"/>
      <c r="C772" s="15"/>
      <c r="D772" s="15"/>
      <c r="E772" s="15"/>
      <c r="F772" s="15"/>
      <c r="G772" s="90"/>
      <c r="H772" s="15"/>
      <c r="I772" s="15"/>
      <c r="J772" s="15"/>
      <c r="K772" s="15"/>
      <c r="L772" s="62" t="str">
        <f t="shared" si="1"/>
        <v/>
      </c>
    </row>
    <row r="773">
      <c r="A773" s="15"/>
      <c r="B773" s="15"/>
      <c r="C773" s="15"/>
      <c r="D773" s="15"/>
      <c r="E773" s="15"/>
      <c r="F773" s="15"/>
      <c r="G773" s="90"/>
      <c r="H773" s="15"/>
      <c r="I773" s="15"/>
      <c r="J773" s="15"/>
      <c r="K773" s="15"/>
      <c r="L773" s="62" t="str">
        <f t="shared" si="1"/>
        <v/>
      </c>
    </row>
    <row r="774">
      <c r="A774" s="15"/>
      <c r="B774" s="15"/>
      <c r="C774" s="15"/>
      <c r="D774" s="15"/>
      <c r="E774" s="15"/>
      <c r="F774" s="15"/>
      <c r="G774" s="90"/>
      <c r="H774" s="15"/>
      <c r="I774" s="15"/>
      <c r="J774" s="15"/>
      <c r="K774" s="15"/>
      <c r="L774" s="62" t="str">
        <f t="shared" si="1"/>
        <v/>
      </c>
    </row>
    <row r="775">
      <c r="A775" s="15"/>
      <c r="B775" s="15"/>
      <c r="C775" s="15"/>
      <c r="D775" s="15"/>
      <c r="E775" s="15"/>
      <c r="F775" s="15"/>
      <c r="G775" s="90"/>
      <c r="H775" s="15"/>
      <c r="I775" s="15"/>
      <c r="J775" s="15"/>
      <c r="K775" s="15"/>
      <c r="L775" s="62" t="str">
        <f t="shared" si="1"/>
        <v/>
      </c>
    </row>
    <row r="776">
      <c r="A776" s="15"/>
      <c r="B776" s="15"/>
      <c r="C776" s="15"/>
      <c r="D776" s="15"/>
      <c r="E776" s="15"/>
      <c r="F776" s="15"/>
      <c r="G776" s="90"/>
      <c r="H776" s="15"/>
      <c r="I776" s="15"/>
      <c r="J776" s="15"/>
      <c r="K776" s="15"/>
      <c r="L776" s="62" t="str">
        <f t="shared" si="1"/>
        <v/>
      </c>
    </row>
    <row r="777">
      <c r="A777" s="15"/>
      <c r="B777" s="15"/>
      <c r="C777" s="15"/>
      <c r="D777" s="15"/>
      <c r="E777" s="15"/>
      <c r="F777" s="15"/>
      <c r="G777" s="90"/>
      <c r="H777" s="15"/>
      <c r="I777" s="15"/>
      <c r="J777" s="15"/>
      <c r="K777" s="15"/>
      <c r="L777" s="62" t="str">
        <f t="shared" si="1"/>
        <v/>
      </c>
    </row>
    <row r="778">
      <c r="A778" s="15"/>
      <c r="B778" s="15"/>
      <c r="C778" s="15"/>
      <c r="D778" s="15"/>
      <c r="E778" s="15"/>
      <c r="F778" s="15"/>
      <c r="G778" s="90"/>
      <c r="H778" s="15"/>
      <c r="I778" s="15"/>
      <c r="J778" s="15"/>
      <c r="K778" s="15"/>
      <c r="L778" s="62" t="str">
        <f t="shared" si="1"/>
        <v/>
      </c>
    </row>
    <row r="779">
      <c r="A779" s="15"/>
      <c r="B779" s="15"/>
      <c r="C779" s="15"/>
      <c r="D779" s="15"/>
      <c r="E779" s="15"/>
      <c r="F779" s="15"/>
      <c r="G779" s="90"/>
      <c r="H779" s="15"/>
      <c r="I779" s="15"/>
      <c r="J779" s="15"/>
      <c r="K779" s="15"/>
      <c r="L779" s="62" t="str">
        <f t="shared" si="1"/>
        <v/>
      </c>
    </row>
    <row r="780">
      <c r="A780" s="15"/>
      <c r="B780" s="15"/>
      <c r="C780" s="15"/>
      <c r="D780" s="15"/>
      <c r="E780" s="15"/>
      <c r="F780" s="15"/>
      <c r="G780" s="90"/>
      <c r="H780" s="15"/>
      <c r="I780" s="15"/>
      <c r="J780" s="15"/>
      <c r="K780" s="15"/>
      <c r="L780" s="62" t="str">
        <f t="shared" si="1"/>
        <v/>
      </c>
    </row>
    <row r="781">
      <c r="A781" s="15"/>
      <c r="B781" s="15"/>
      <c r="C781" s="15"/>
      <c r="D781" s="15"/>
      <c r="E781" s="15"/>
      <c r="F781" s="15"/>
      <c r="G781" s="90"/>
      <c r="H781" s="15"/>
      <c r="I781" s="15"/>
      <c r="J781" s="15"/>
      <c r="K781" s="15"/>
      <c r="L781" s="62" t="str">
        <f t="shared" si="1"/>
        <v/>
      </c>
    </row>
    <row r="782">
      <c r="A782" s="15"/>
      <c r="B782" s="15"/>
      <c r="C782" s="15"/>
      <c r="D782" s="15"/>
      <c r="E782" s="15"/>
      <c r="F782" s="15"/>
      <c r="G782" s="90"/>
      <c r="H782" s="15"/>
      <c r="I782" s="15"/>
      <c r="J782" s="15"/>
      <c r="K782" s="15"/>
      <c r="L782" s="62" t="str">
        <f t="shared" si="1"/>
        <v/>
      </c>
    </row>
    <row r="783">
      <c r="A783" s="15"/>
      <c r="B783" s="15"/>
      <c r="C783" s="15"/>
      <c r="D783" s="15"/>
      <c r="E783" s="15"/>
      <c r="F783" s="15"/>
      <c r="G783" s="90"/>
      <c r="H783" s="15"/>
      <c r="I783" s="15"/>
      <c r="J783" s="15"/>
      <c r="K783" s="15"/>
      <c r="L783" s="62" t="str">
        <f t="shared" si="1"/>
        <v/>
      </c>
    </row>
    <row r="784">
      <c r="A784" s="15"/>
      <c r="B784" s="15"/>
      <c r="C784" s="15"/>
      <c r="D784" s="15"/>
      <c r="E784" s="15"/>
      <c r="F784" s="15"/>
      <c r="G784" s="90"/>
      <c r="H784" s="15"/>
      <c r="I784" s="15"/>
      <c r="J784" s="15"/>
      <c r="K784" s="15"/>
      <c r="L784" s="62" t="str">
        <f t="shared" si="1"/>
        <v/>
      </c>
    </row>
    <row r="785">
      <c r="A785" s="15"/>
      <c r="B785" s="15"/>
      <c r="C785" s="15"/>
      <c r="D785" s="15"/>
      <c r="E785" s="15"/>
      <c r="F785" s="15"/>
      <c r="G785" s="90"/>
      <c r="H785" s="15"/>
      <c r="I785" s="15"/>
      <c r="J785" s="15"/>
      <c r="K785" s="15"/>
      <c r="L785" s="62" t="str">
        <f t="shared" si="1"/>
        <v/>
      </c>
    </row>
    <row r="786">
      <c r="A786" s="15"/>
      <c r="B786" s="15"/>
      <c r="C786" s="15"/>
      <c r="D786" s="15"/>
      <c r="E786" s="15"/>
      <c r="F786" s="15"/>
      <c r="G786" s="90"/>
      <c r="H786" s="15"/>
      <c r="I786" s="15"/>
      <c r="J786" s="15"/>
      <c r="K786" s="15"/>
      <c r="L786" s="62" t="str">
        <f t="shared" si="1"/>
        <v/>
      </c>
    </row>
    <row r="787">
      <c r="A787" s="15"/>
      <c r="B787" s="15"/>
      <c r="C787" s="15"/>
      <c r="D787" s="15"/>
      <c r="E787" s="15"/>
      <c r="F787" s="15"/>
      <c r="G787" s="90"/>
      <c r="H787" s="15"/>
      <c r="I787" s="15"/>
      <c r="J787" s="15"/>
      <c r="K787" s="15"/>
      <c r="L787" s="62" t="str">
        <f t="shared" si="1"/>
        <v/>
      </c>
    </row>
    <row r="788">
      <c r="A788" s="15"/>
      <c r="B788" s="15"/>
      <c r="C788" s="15"/>
      <c r="D788" s="15"/>
      <c r="E788" s="15"/>
      <c r="F788" s="15"/>
      <c r="G788" s="90"/>
      <c r="H788" s="15"/>
      <c r="I788" s="15"/>
      <c r="J788" s="15"/>
      <c r="K788" s="15"/>
      <c r="L788" s="62" t="str">
        <f t="shared" si="1"/>
        <v/>
      </c>
    </row>
    <row r="789">
      <c r="A789" s="15"/>
      <c r="B789" s="15"/>
      <c r="C789" s="15"/>
      <c r="D789" s="15"/>
      <c r="E789" s="15"/>
      <c r="F789" s="15"/>
      <c r="G789" s="90"/>
      <c r="H789" s="15"/>
      <c r="I789" s="15"/>
      <c r="J789" s="15"/>
      <c r="K789" s="15"/>
      <c r="L789" s="62" t="str">
        <f t="shared" si="1"/>
        <v/>
      </c>
    </row>
    <row r="790">
      <c r="A790" s="15"/>
      <c r="B790" s="15"/>
      <c r="C790" s="15"/>
      <c r="D790" s="15"/>
      <c r="E790" s="15"/>
      <c r="F790" s="15"/>
      <c r="G790" s="90"/>
      <c r="H790" s="15"/>
      <c r="I790" s="15"/>
      <c r="J790" s="15"/>
      <c r="K790" s="15"/>
      <c r="L790" s="62" t="str">
        <f t="shared" si="1"/>
        <v/>
      </c>
    </row>
    <row r="791">
      <c r="A791" s="15"/>
      <c r="B791" s="15"/>
      <c r="C791" s="15"/>
      <c r="D791" s="15"/>
      <c r="E791" s="15"/>
      <c r="F791" s="15"/>
      <c r="G791" s="90"/>
      <c r="H791" s="15"/>
      <c r="I791" s="15"/>
      <c r="J791" s="15"/>
      <c r="K791" s="15"/>
      <c r="L791" s="62" t="str">
        <f t="shared" si="1"/>
        <v/>
      </c>
    </row>
    <row r="792">
      <c r="A792" s="15"/>
      <c r="B792" s="15"/>
      <c r="C792" s="15"/>
      <c r="D792" s="15"/>
      <c r="E792" s="15"/>
      <c r="F792" s="15"/>
      <c r="G792" s="90"/>
      <c r="H792" s="15"/>
      <c r="I792" s="15"/>
      <c r="J792" s="15"/>
      <c r="K792" s="15"/>
      <c r="L792" s="62" t="str">
        <f t="shared" si="1"/>
        <v/>
      </c>
    </row>
    <row r="793">
      <c r="A793" s="15"/>
      <c r="B793" s="15"/>
      <c r="C793" s="15"/>
      <c r="D793" s="15"/>
      <c r="E793" s="15"/>
      <c r="F793" s="15"/>
      <c r="G793" s="90"/>
      <c r="H793" s="15"/>
      <c r="I793" s="15"/>
      <c r="J793" s="15"/>
      <c r="K793" s="15"/>
      <c r="L793" s="62" t="str">
        <f t="shared" si="1"/>
        <v/>
      </c>
    </row>
    <row r="794">
      <c r="A794" s="15"/>
      <c r="B794" s="15"/>
      <c r="C794" s="15"/>
      <c r="D794" s="15"/>
      <c r="E794" s="15"/>
      <c r="F794" s="15"/>
      <c r="G794" s="90"/>
      <c r="H794" s="15"/>
      <c r="I794" s="15"/>
      <c r="J794" s="15"/>
      <c r="K794" s="15"/>
      <c r="L794" s="62" t="str">
        <f t="shared" si="1"/>
        <v/>
      </c>
    </row>
    <row r="795">
      <c r="A795" s="15"/>
      <c r="B795" s="15"/>
      <c r="C795" s="15"/>
      <c r="D795" s="15"/>
      <c r="E795" s="15"/>
      <c r="F795" s="15"/>
      <c r="G795" s="90"/>
      <c r="H795" s="15"/>
      <c r="I795" s="15"/>
      <c r="J795" s="15"/>
      <c r="K795" s="15"/>
      <c r="L795" s="62" t="str">
        <f t="shared" si="1"/>
        <v/>
      </c>
    </row>
    <row r="796">
      <c r="A796" s="15"/>
      <c r="B796" s="15"/>
      <c r="C796" s="15"/>
      <c r="D796" s="15"/>
      <c r="E796" s="15"/>
      <c r="F796" s="15"/>
      <c r="G796" s="90"/>
      <c r="H796" s="15"/>
      <c r="I796" s="15"/>
      <c r="J796" s="15"/>
      <c r="K796" s="15"/>
      <c r="L796" s="62" t="str">
        <f t="shared" si="1"/>
        <v/>
      </c>
    </row>
    <row r="797">
      <c r="A797" s="15"/>
      <c r="B797" s="15"/>
      <c r="C797" s="15"/>
      <c r="D797" s="15"/>
      <c r="E797" s="15"/>
      <c r="F797" s="15"/>
      <c r="G797" s="90"/>
      <c r="H797" s="15"/>
      <c r="I797" s="15"/>
      <c r="J797" s="15"/>
      <c r="K797" s="15"/>
      <c r="L797" s="62" t="str">
        <f t="shared" si="1"/>
        <v/>
      </c>
    </row>
    <row r="798">
      <c r="A798" s="15"/>
      <c r="B798" s="15"/>
      <c r="C798" s="15"/>
      <c r="D798" s="15"/>
      <c r="E798" s="15"/>
      <c r="F798" s="15"/>
      <c r="G798" s="90"/>
      <c r="H798" s="15"/>
      <c r="I798" s="15"/>
      <c r="J798" s="15"/>
      <c r="K798" s="15"/>
      <c r="L798" s="62" t="str">
        <f t="shared" si="1"/>
        <v/>
      </c>
    </row>
    <row r="799">
      <c r="A799" s="15"/>
      <c r="B799" s="15"/>
      <c r="C799" s="15"/>
      <c r="D799" s="15"/>
      <c r="E799" s="15"/>
      <c r="F799" s="15"/>
      <c r="G799" s="90"/>
      <c r="H799" s="15"/>
      <c r="I799" s="15"/>
      <c r="J799" s="15"/>
      <c r="K799" s="15"/>
      <c r="L799" s="62" t="str">
        <f t="shared" si="1"/>
        <v/>
      </c>
    </row>
    <row r="800">
      <c r="A800" s="15"/>
      <c r="B800" s="15"/>
      <c r="C800" s="15"/>
      <c r="D800" s="15"/>
      <c r="E800" s="15"/>
      <c r="F800" s="15"/>
      <c r="G800" s="90"/>
      <c r="H800" s="15"/>
      <c r="I800" s="15"/>
      <c r="J800" s="15"/>
      <c r="K800" s="15"/>
      <c r="L800" s="62" t="str">
        <f t="shared" si="1"/>
        <v/>
      </c>
    </row>
    <row r="801">
      <c r="A801" s="15"/>
      <c r="B801" s="15"/>
      <c r="C801" s="15"/>
      <c r="D801" s="15"/>
      <c r="E801" s="15"/>
      <c r="F801" s="15"/>
      <c r="G801" s="90"/>
      <c r="H801" s="15"/>
      <c r="I801" s="15"/>
      <c r="J801" s="15"/>
      <c r="K801" s="15"/>
      <c r="L801" s="62" t="str">
        <f t="shared" si="1"/>
        <v/>
      </c>
    </row>
    <row r="802">
      <c r="A802" s="15"/>
      <c r="B802" s="15"/>
      <c r="C802" s="15"/>
      <c r="D802" s="15"/>
      <c r="E802" s="15"/>
      <c r="F802" s="15"/>
      <c r="G802" s="90"/>
      <c r="H802" s="15"/>
      <c r="I802" s="15"/>
      <c r="J802" s="15"/>
      <c r="K802" s="15"/>
      <c r="L802" s="62" t="str">
        <f t="shared" si="1"/>
        <v/>
      </c>
    </row>
    <row r="803">
      <c r="A803" s="15"/>
      <c r="B803" s="15"/>
      <c r="C803" s="15"/>
      <c r="D803" s="15"/>
      <c r="E803" s="15"/>
      <c r="F803" s="15"/>
      <c r="G803" s="90"/>
      <c r="H803" s="15"/>
      <c r="I803" s="15"/>
      <c r="J803" s="15"/>
      <c r="K803" s="15"/>
      <c r="L803" s="62" t="str">
        <f t="shared" si="1"/>
        <v/>
      </c>
    </row>
    <row r="804">
      <c r="A804" s="15"/>
      <c r="B804" s="15"/>
      <c r="C804" s="15"/>
      <c r="D804" s="15"/>
      <c r="E804" s="15"/>
      <c r="F804" s="15"/>
      <c r="G804" s="90"/>
      <c r="H804" s="15"/>
      <c r="I804" s="15"/>
      <c r="J804" s="15"/>
      <c r="K804" s="15"/>
      <c r="L804" s="62" t="str">
        <f t="shared" si="1"/>
        <v/>
      </c>
    </row>
    <row r="805">
      <c r="A805" s="15"/>
      <c r="B805" s="15"/>
      <c r="C805" s="15"/>
      <c r="D805" s="15"/>
      <c r="E805" s="15"/>
      <c r="F805" s="15"/>
      <c r="G805" s="90"/>
      <c r="H805" s="15"/>
      <c r="I805" s="15"/>
      <c r="J805" s="15"/>
      <c r="K805" s="15"/>
      <c r="L805" s="62" t="str">
        <f t="shared" si="1"/>
        <v/>
      </c>
    </row>
    <row r="806">
      <c r="A806" s="15"/>
      <c r="B806" s="15"/>
      <c r="C806" s="15"/>
      <c r="D806" s="15"/>
      <c r="E806" s="15"/>
      <c r="F806" s="15"/>
      <c r="G806" s="90"/>
      <c r="H806" s="15"/>
      <c r="I806" s="15"/>
      <c r="J806" s="15"/>
      <c r="K806" s="15"/>
      <c r="L806" s="62" t="str">
        <f t="shared" si="1"/>
        <v/>
      </c>
    </row>
    <row r="807">
      <c r="A807" s="15"/>
      <c r="B807" s="15"/>
      <c r="C807" s="15"/>
      <c r="D807" s="15"/>
      <c r="E807" s="15"/>
      <c r="F807" s="15"/>
      <c r="G807" s="90"/>
      <c r="H807" s="15"/>
      <c r="I807" s="15"/>
      <c r="J807" s="15"/>
      <c r="K807" s="15"/>
      <c r="L807" s="62" t="str">
        <f t="shared" si="1"/>
        <v/>
      </c>
    </row>
    <row r="808">
      <c r="A808" s="15"/>
      <c r="B808" s="15"/>
      <c r="C808" s="15"/>
      <c r="D808" s="15"/>
      <c r="E808" s="15"/>
      <c r="F808" s="15"/>
      <c r="G808" s="90"/>
      <c r="H808" s="15"/>
      <c r="I808" s="15"/>
      <c r="J808" s="15"/>
      <c r="K808" s="15"/>
      <c r="L808" s="62" t="str">
        <f t="shared" si="1"/>
        <v/>
      </c>
    </row>
    <row r="809">
      <c r="A809" s="15"/>
      <c r="B809" s="15"/>
      <c r="C809" s="15"/>
      <c r="D809" s="15"/>
      <c r="E809" s="15"/>
      <c r="F809" s="15"/>
      <c r="G809" s="90"/>
      <c r="H809" s="15"/>
      <c r="I809" s="15"/>
      <c r="J809" s="15"/>
      <c r="K809" s="15"/>
      <c r="L809" s="62" t="str">
        <f t="shared" si="1"/>
        <v/>
      </c>
    </row>
    <row r="810">
      <c r="A810" s="15"/>
      <c r="B810" s="15"/>
      <c r="C810" s="15"/>
      <c r="D810" s="15"/>
      <c r="E810" s="15"/>
      <c r="F810" s="15"/>
      <c r="G810" s="90"/>
      <c r="H810" s="15"/>
      <c r="I810" s="15"/>
      <c r="J810" s="15"/>
      <c r="K810" s="15"/>
      <c r="L810" s="62" t="str">
        <f t="shared" si="1"/>
        <v/>
      </c>
    </row>
    <row r="811">
      <c r="A811" s="15"/>
      <c r="B811" s="15"/>
      <c r="C811" s="15"/>
      <c r="D811" s="15"/>
      <c r="E811" s="15"/>
      <c r="F811" s="15"/>
      <c r="G811" s="90"/>
      <c r="H811" s="15"/>
      <c r="I811" s="15"/>
      <c r="J811" s="15"/>
      <c r="K811" s="15"/>
      <c r="L811" s="62" t="str">
        <f t="shared" si="1"/>
        <v/>
      </c>
    </row>
    <row r="812">
      <c r="A812" s="15"/>
      <c r="B812" s="15"/>
      <c r="C812" s="15"/>
      <c r="D812" s="15"/>
      <c r="E812" s="15"/>
      <c r="F812" s="15"/>
      <c r="G812" s="90"/>
      <c r="H812" s="15"/>
      <c r="I812" s="15"/>
      <c r="J812" s="15"/>
      <c r="K812" s="15"/>
      <c r="L812" s="62" t="str">
        <f t="shared" si="1"/>
        <v/>
      </c>
    </row>
    <row r="813">
      <c r="A813" s="15"/>
      <c r="B813" s="15"/>
      <c r="C813" s="15"/>
      <c r="D813" s="15"/>
      <c r="E813" s="15"/>
      <c r="F813" s="15"/>
      <c r="G813" s="90"/>
      <c r="H813" s="15"/>
      <c r="I813" s="15"/>
      <c r="J813" s="15"/>
      <c r="K813" s="15"/>
      <c r="L813" s="62" t="str">
        <f t="shared" si="1"/>
        <v/>
      </c>
    </row>
    <row r="814">
      <c r="A814" s="15"/>
      <c r="B814" s="15"/>
      <c r="C814" s="15"/>
      <c r="D814" s="15"/>
      <c r="E814" s="15"/>
      <c r="F814" s="15"/>
      <c r="G814" s="90"/>
      <c r="H814" s="15"/>
      <c r="I814" s="15"/>
      <c r="J814" s="15"/>
      <c r="K814" s="15"/>
      <c r="L814" s="62" t="str">
        <f t="shared" si="1"/>
        <v/>
      </c>
    </row>
    <row r="815">
      <c r="A815" s="15"/>
      <c r="B815" s="15"/>
      <c r="C815" s="15"/>
      <c r="D815" s="15"/>
      <c r="E815" s="15"/>
      <c r="F815" s="15"/>
      <c r="G815" s="90"/>
      <c r="H815" s="15"/>
      <c r="I815" s="15"/>
      <c r="J815" s="15"/>
      <c r="K815" s="15"/>
      <c r="L815" s="62" t="str">
        <f t="shared" si="1"/>
        <v/>
      </c>
    </row>
    <row r="816">
      <c r="A816" s="15"/>
      <c r="B816" s="15"/>
      <c r="C816" s="15"/>
      <c r="D816" s="15"/>
      <c r="E816" s="15"/>
      <c r="F816" s="15"/>
      <c r="G816" s="90"/>
      <c r="H816" s="15"/>
      <c r="I816" s="15"/>
      <c r="J816" s="15"/>
      <c r="K816" s="15"/>
      <c r="L816" s="62" t="str">
        <f t="shared" si="1"/>
        <v/>
      </c>
    </row>
    <row r="817">
      <c r="A817" s="15"/>
      <c r="B817" s="15"/>
      <c r="C817" s="15"/>
      <c r="D817" s="15"/>
      <c r="E817" s="15"/>
      <c r="F817" s="15"/>
      <c r="G817" s="90"/>
      <c r="H817" s="15"/>
      <c r="I817" s="15"/>
      <c r="J817" s="15"/>
      <c r="K817" s="15"/>
      <c r="L817" s="62" t="str">
        <f t="shared" si="1"/>
        <v/>
      </c>
    </row>
    <row r="818">
      <c r="A818" s="15"/>
      <c r="B818" s="15"/>
      <c r="C818" s="15"/>
      <c r="D818" s="15"/>
      <c r="E818" s="15"/>
      <c r="F818" s="15"/>
      <c r="G818" s="90"/>
      <c r="H818" s="15"/>
      <c r="I818" s="15"/>
      <c r="J818" s="15"/>
      <c r="K818" s="15"/>
      <c r="L818" s="62" t="str">
        <f t="shared" si="1"/>
        <v/>
      </c>
    </row>
    <row r="819">
      <c r="A819" s="15"/>
      <c r="B819" s="15"/>
      <c r="C819" s="15"/>
      <c r="D819" s="15"/>
      <c r="E819" s="15"/>
      <c r="F819" s="15"/>
      <c r="G819" s="90"/>
      <c r="H819" s="15"/>
      <c r="I819" s="15"/>
      <c r="J819" s="15"/>
      <c r="K819" s="15"/>
      <c r="L819" s="62" t="str">
        <f t="shared" si="1"/>
        <v/>
      </c>
    </row>
    <row r="820">
      <c r="A820" s="15"/>
      <c r="B820" s="15"/>
      <c r="C820" s="15"/>
      <c r="D820" s="15"/>
      <c r="E820" s="15"/>
      <c r="F820" s="15"/>
      <c r="G820" s="90"/>
      <c r="H820" s="15"/>
      <c r="I820" s="15"/>
      <c r="J820" s="15"/>
      <c r="K820" s="15"/>
      <c r="L820" s="62" t="str">
        <f t="shared" si="1"/>
        <v/>
      </c>
    </row>
    <row r="821">
      <c r="A821" s="15"/>
      <c r="B821" s="15"/>
      <c r="C821" s="15"/>
      <c r="D821" s="15"/>
      <c r="E821" s="15"/>
      <c r="F821" s="15"/>
      <c r="G821" s="90"/>
      <c r="H821" s="15"/>
      <c r="I821" s="15"/>
      <c r="J821" s="15"/>
      <c r="K821" s="15"/>
      <c r="L821" s="62" t="str">
        <f t="shared" si="1"/>
        <v/>
      </c>
    </row>
    <row r="822">
      <c r="A822" s="15"/>
      <c r="B822" s="15"/>
      <c r="C822" s="15"/>
      <c r="D822" s="15"/>
      <c r="E822" s="15"/>
      <c r="F822" s="15"/>
      <c r="G822" s="90"/>
      <c r="H822" s="15"/>
      <c r="I822" s="15"/>
      <c r="J822" s="15"/>
      <c r="K822" s="15"/>
      <c r="L822" s="62" t="str">
        <f t="shared" si="1"/>
        <v/>
      </c>
    </row>
    <row r="823">
      <c r="A823" s="15"/>
      <c r="B823" s="15"/>
      <c r="C823" s="15"/>
      <c r="D823" s="15"/>
      <c r="E823" s="15"/>
      <c r="F823" s="15"/>
      <c r="G823" s="90"/>
      <c r="H823" s="15"/>
      <c r="I823" s="15"/>
      <c r="J823" s="15"/>
      <c r="K823" s="15"/>
      <c r="L823" s="62" t="str">
        <f t="shared" si="1"/>
        <v/>
      </c>
    </row>
    <row r="824">
      <c r="A824" s="15"/>
      <c r="B824" s="15"/>
      <c r="C824" s="15"/>
      <c r="D824" s="15"/>
      <c r="E824" s="15"/>
      <c r="F824" s="15"/>
      <c r="G824" s="90"/>
      <c r="H824" s="15"/>
      <c r="I824" s="15"/>
      <c r="J824" s="15"/>
      <c r="K824" s="15"/>
      <c r="L824" s="62" t="str">
        <f t="shared" si="1"/>
        <v/>
      </c>
    </row>
    <row r="825">
      <c r="A825" s="15"/>
      <c r="B825" s="15"/>
      <c r="C825" s="15"/>
      <c r="D825" s="15"/>
      <c r="E825" s="15"/>
      <c r="F825" s="15"/>
      <c r="G825" s="90"/>
      <c r="H825" s="15"/>
      <c r="I825" s="15"/>
      <c r="J825" s="15"/>
      <c r="K825" s="15"/>
      <c r="L825" s="62" t="str">
        <f t="shared" si="1"/>
        <v/>
      </c>
    </row>
    <row r="826">
      <c r="A826" s="15"/>
      <c r="B826" s="15"/>
      <c r="C826" s="15"/>
      <c r="D826" s="15"/>
      <c r="E826" s="15"/>
      <c r="F826" s="15"/>
      <c r="G826" s="90"/>
      <c r="H826" s="15"/>
      <c r="I826" s="15"/>
      <c r="J826" s="15"/>
      <c r="K826" s="15"/>
      <c r="L826" s="62" t="str">
        <f t="shared" si="1"/>
        <v/>
      </c>
    </row>
    <row r="827">
      <c r="A827" s="15"/>
      <c r="B827" s="15"/>
      <c r="C827" s="15"/>
      <c r="D827" s="15"/>
      <c r="E827" s="15"/>
      <c r="F827" s="15"/>
      <c r="G827" s="90"/>
      <c r="H827" s="15"/>
      <c r="I827" s="15"/>
      <c r="J827" s="15"/>
      <c r="K827" s="15"/>
      <c r="L827" s="62" t="str">
        <f t="shared" si="1"/>
        <v/>
      </c>
    </row>
    <row r="828">
      <c r="A828" s="15"/>
      <c r="B828" s="15"/>
      <c r="C828" s="15"/>
      <c r="D828" s="15"/>
      <c r="E828" s="15"/>
      <c r="F828" s="15"/>
      <c r="G828" s="90"/>
      <c r="H828" s="15"/>
      <c r="I828" s="15"/>
      <c r="J828" s="15"/>
      <c r="K828" s="15"/>
      <c r="L828" s="62" t="str">
        <f t="shared" si="1"/>
        <v/>
      </c>
    </row>
    <row r="829">
      <c r="A829" s="15"/>
      <c r="B829" s="15"/>
      <c r="C829" s="15"/>
      <c r="D829" s="15"/>
      <c r="E829" s="15"/>
      <c r="F829" s="15"/>
      <c r="G829" s="90"/>
      <c r="H829" s="15"/>
      <c r="I829" s="15"/>
      <c r="J829" s="15"/>
      <c r="K829" s="15"/>
      <c r="L829" s="62" t="str">
        <f t="shared" si="1"/>
        <v/>
      </c>
    </row>
    <row r="830">
      <c r="A830" s="15"/>
      <c r="B830" s="15"/>
      <c r="C830" s="15"/>
      <c r="D830" s="15"/>
      <c r="E830" s="15"/>
      <c r="F830" s="15"/>
      <c r="G830" s="90"/>
      <c r="H830" s="15"/>
      <c r="I830" s="15"/>
      <c r="J830" s="15"/>
      <c r="K830" s="15"/>
      <c r="L830" s="62" t="str">
        <f t="shared" si="1"/>
        <v/>
      </c>
    </row>
    <row r="831">
      <c r="A831" s="15"/>
      <c r="B831" s="15"/>
      <c r="C831" s="15"/>
      <c r="D831" s="15"/>
      <c r="E831" s="15"/>
      <c r="F831" s="15"/>
      <c r="G831" s="90"/>
      <c r="H831" s="15"/>
      <c r="I831" s="15"/>
      <c r="J831" s="15"/>
      <c r="K831" s="15"/>
      <c r="L831" s="62" t="str">
        <f t="shared" si="1"/>
        <v/>
      </c>
    </row>
    <row r="832">
      <c r="A832" s="15"/>
      <c r="B832" s="15"/>
      <c r="C832" s="15"/>
      <c r="D832" s="15"/>
      <c r="E832" s="15"/>
      <c r="F832" s="15"/>
      <c r="G832" s="90"/>
      <c r="H832" s="15"/>
      <c r="I832" s="15"/>
      <c r="J832" s="15"/>
      <c r="K832" s="15"/>
      <c r="L832" s="62" t="str">
        <f t="shared" si="1"/>
        <v/>
      </c>
    </row>
    <row r="833">
      <c r="A833" s="15"/>
      <c r="B833" s="15"/>
      <c r="C833" s="15"/>
      <c r="D833" s="15"/>
      <c r="E833" s="15"/>
      <c r="F833" s="15"/>
      <c r="G833" s="90"/>
      <c r="H833" s="15"/>
      <c r="I833" s="15"/>
      <c r="J833" s="15"/>
      <c r="K833" s="15"/>
      <c r="L833" s="62" t="str">
        <f t="shared" si="1"/>
        <v/>
      </c>
    </row>
    <row r="834">
      <c r="A834" s="15"/>
      <c r="B834" s="15"/>
      <c r="C834" s="15"/>
      <c r="D834" s="15"/>
      <c r="E834" s="15"/>
      <c r="F834" s="15"/>
      <c r="G834" s="90"/>
      <c r="H834" s="15"/>
      <c r="I834" s="15"/>
      <c r="J834" s="15"/>
      <c r="K834" s="15"/>
      <c r="L834" s="62" t="str">
        <f t="shared" si="1"/>
        <v/>
      </c>
    </row>
    <row r="835">
      <c r="A835" s="15"/>
      <c r="B835" s="15"/>
      <c r="C835" s="15"/>
      <c r="D835" s="15"/>
      <c r="E835" s="15"/>
      <c r="F835" s="15"/>
      <c r="G835" s="90"/>
      <c r="H835" s="15"/>
      <c r="I835" s="15"/>
      <c r="J835" s="15"/>
      <c r="K835" s="15"/>
      <c r="L835" s="62" t="str">
        <f t="shared" si="1"/>
        <v/>
      </c>
    </row>
    <row r="836">
      <c r="A836" s="15"/>
      <c r="B836" s="15"/>
      <c r="C836" s="15"/>
      <c r="D836" s="15"/>
      <c r="E836" s="15"/>
      <c r="F836" s="15"/>
      <c r="G836" s="90"/>
      <c r="H836" s="15"/>
      <c r="I836" s="15"/>
      <c r="J836" s="15"/>
      <c r="K836" s="15"/>
      <c r="L836" s="62" t="str">
        <f t="shared" si="1"/>
        <v/>
      </c>
    </row>
    <row r="837">
      <c r="A837" s="15"/>
      <c r="B837" s="15"/>
      <c r="C837" s="15"/>
      <c r="D837" s="15"/>
      <c r="E837" s="15"/>
      <c r="F837" s="15"/>
      <c r="G837" s="90"/>
      <c r="H837" s="15"/>
      <c r="I837" s="15"/>
      <c r="J837" s="15"/>
      <c r="K837" s="15"/>
      <c r="L837" s="62" t="str">
        <f t="shared" si="1"/>
        <v/>
      </c>
    </row>
    <row r="838">
      <c r="A838" s="15"/>
      <c r="B838" s="15"/>
      <c r="C838" s="15"/>
      <c r="D838" s="15"/>
      <c r="E838" s="15"/>
      <c r="F838" s="15"/>
      <c r="G838" s="90"/>
      <c r="H838" s="15"/>
      <c r="I838" s="15"/>
      <c r="J838" s="15"/>
      <c r="K838" s="15"/>
      <c r="L838" s="62" t="str">
        <f t="shared" si="1"/>
        <v/>
      </c>
    </row>
    <row r="839">
      <c r="A839" s="15"/>
      <c r="B839" s="15"/>
      <c r="C839" s="15"/>
      <c r="D839" s="15"/>
      <c r="E839" s="15"/>
      <c r="F839" s="15"/>
      <c r="G839" s="90"/>
      <c r="H839" s="15"/>
      <c r="I839" s="15"/>
      <c r="J839" s="15"/>
      <c r="K839" s="15"/>
      <c r="L839" s="62" t="str">
        <f t="shared" si="1"/>
        <v/>
      </c>
    </row>
    <row r="840">
      <c r="A840" s="15"/>
      <c r="B840" s="15"/>
      <c r="C840" s="15"/>
      <c r="D840" s="15"/>
      <c r="E840" s="15"/>
      <c r="F840" s="15"/>
      <c r="G840" s="90"/>
      <c r="H840" s="15"/>
      <c r="I840" s="15"/>
      <c r="J840" s="15"/>
      <c r="K840" s="15"/>
      <c r="L840" s="62" t="str">
        <f t="shared" si="1"/>
        <v/>
      </c>
    </row>
    <row r="841">
      <c r="A841" s="15"/>
      <c r="B841" s="15"/>
      <c r="C841" s="15"/>
      <c r="D841" s="15"/>
      <c r="E841" s="15"/>
      <c r="F841" s="15"/>
      <c r="G841" s="90"/>
      <c r="H841" s="15"/>
      <c r="I841" s="15"/>
      <c r="J841" s="15"/>
      <c r="K841" s="15"/>
      <c r="L841" s="62" t="str">
        <f t="shared" si="1"/>
        <v/>
      </c>
    </row>
    <row r="842">
      <c r="A842" s="15"/>
      <c r="B842" s="15"/>
      <c r="C842" s="15"/>
      <c r="D842" s="15"/>
      <c r="E842" s="15"/>
      <c r="F842" s="15"/>
      <c r="G842" s="90"/>
      <c r="H842" s="15"/>
      <c r="I842" s="15"/>
      <c r="J842" s="15"/>
      <c r="K842" s="15"/>
      <c r="L842" s="62" t="str">
        <f t="shared" si="1"/>
        <v/>
      </c>
    </row>
    <row r="843">
      <c r="A843" s="15"/>
      <c r="B843" s="15"/>
      <c r="C843" s="15"/>
      <c r="D843" s="15"/>
      <c r="E843" s="15"/>
      <c r="F843" s="15"/>
      <c r="G843" s="90"/>
      <c r="H843" s="15"/>
      <c r="I843" s="15"/>
      <c r="J843" s="15"/>
      <c r="K843" s="15"/>
      <c r="L843" s="62" t="str">
        <f t="shared" si="1"/>
        <v/>
      </c>
    </row>
    <row r="844">
      <c r="A844" s="15"/>
      <c r="B844" s="15"/>
      <c r="C844" s="15"/>
      <c r="D844" s="15"/>
      <c r="E844" s="15"/>
      <c r="F844" s="15"/>
      <c r="G844" s="90"/>
      <c r="H844" s="15"/>
      <c r="I844" s="15"/>
      <c r="J844" s="15"/>
      <c r="K844" s="15"/>
      <c r="L844" s="62" t="str">
        <f t="shared" si="1"/>
        <v/>
      </c>
    </row>
    <row r="845">
      <c r="A845" s="15"/>
      <c r="B845" s="15"/>
      <c r="C845" s="15"/>
      <c r="D845" s="15"/>
      <c r="E845" s="15"/>
      <c r="F845" s="15"/>
      <c r="G845" s="90"/>
      <c r="H845" s="15"/>
      <c r="I845" s="15"/>
      <c r="J845" s="15"/>
      <c r="K845" s="15"/>
      <c r="L845" s="62" t="str">
        <f t="shared" si="1"/>
        <v/>
      </c>
    </row>
    <row r="846">
      <c r="A846" s="15"/>
      <c r="B846" s="15"/>
      <c r="C846" s="15"/>
      <c r="D846" s="15"/>
      <c r="E846" s="15"/>
      <c r="F846" s="15"/>
      <c r="G846" s="90"/>
      <c r="H846" s="15"/>
      <c r="I846" s="15"/>
      <c r="J846" s="15"/>
      <c r="K846" s="15"/>
      <c r="L846" s="62" t="str">
        <f t="shared" si="1"/>
        <v/>
      </c>
    </row>
    <row r="847">
      <c r="A847" s="15"/>
      <c r="B847" s="15"/>
      <c r="C847" s="15"/>
      <c r="D847" s="15"/>
      <c r="E847" s="15"/>
      <c r="F847" s="15"/>
      <c r="G847" s="90"/>
      <c r="H847" s="15"/>
      <c r="I847" s="15"/>
      <c r="J847" s="15"/>
      <c r="K847" s="15"/>
      <c r="L847" s="62" t="str">
        <f t="shared" si="1"/>
        <v/>
      </c>
    </row>
    <row r="848">
      <c r="A848" s="15"/>
      <c r="B848" s="15"/>
      <c r="C848" s="15"/>
      <c r="D848" s="15"/>
      <c r="E848" s="15"/>
      <c r="F848" s="15"/>
      <c r="G848" s="90"/>
      <c r="H848" s="15"/>
      <c r="I848" s="15"/>
      <c r="J848" s="15"/>
      <c r="K848" s="15"/>
      <c r="L848" s="62" t="str">
        <f t="shared" si="1"/>
        <v/>
      </c>
    </row>
    <row r="849">
      <c r="A849" s="15"/>
      <c r="B849" s="15"/>
      <c r="C849" s="15"/>
      <c r="D849" s="15"/>
      <c r="E849" s="15"/>
      <c r="F849" s="15"/>
      <c r="G849" s="90"/>
      <c r="H849" s="15"/>
      <c r="I849" s="15"/>
      <c r="J849" s="15"/>
      <c r="K849" s="15"/>
      <c r="L849" s="62" t="str">
        <f t="shared" si="1"/>
        <v/>
      </c>
    </row>
    <row r="850">
      <c r="A850" s="15"/>
      <c r="B850" s="15"/>
      <c r="C850" s="15"/>
      <c r="D850" s="15"/>
      <c r="E850" s="15"/>
      <c r="F850" s="15"/>
      <c r="G850" s="90"/>
      <c r="H850" s="15"/>
      <c r="I850" s="15"/>
      <c r="J850" s="15"/>
      <c r="K850" s="15"/>
      <c r="L850" s="62" t="str">
        <f t="shared" si="1"/>
        <v/>
      </c>
    </row>
    <row r="851">
      <c r="A851" s="15"/>
      <c r="B851" s="15"/>
      <c r="C851" s="15"/>
      <c r="D851" s="15"/>
      <c r="E851" s="15"/>
      <c r="F851" s="15"/>
      <c r="G851" s="90"/>
      <c r="H851" s="15"/>
      <c r="I851" s="15"/>
      <c r="J851" s="15"/>
      <c r="K851" s="15"/>
      <c r="L851" s="62" t="str">
        <f t="shared" si="1"/>
        <v/>
      </c>
    </row>
    <row r="852">
      <c r="A852" s="15"/>
      <c r="B852" s="15"/>
      <c r="C852" s="15"/>
      <c r="D852" s="15"/>
      <c r="E852" s="15"/>
      <c r="F852" s="15"/>
      <c r="G852" s="90"/>
      <c r="H852" s="15"/>
      <c r="I852" s="15"/>
      <c r="J852" s="15"/>
      <c r="K852" s="15"/>
      <c r="L852" s="62" t="str">
        <f t="shared" si="1"/>
        <v/>
      </c>
    </row>
    <row r="853">
      <c r="A853" s="15"/>
      <c r="B853" s="15"/>
      <c r="C853" s="15"/>
      <c r="D853" s="15"/>
      <c r="E853" s="15"/>
      <c r="F853" s="15"/>
      <c r="G853" s="90"/>
      <c r="H853" s="15"/>
      <c r="I853" s="15"/>
      <c r="J853" s="15"/>
      <c r="K853" s="15"/>
      <c r="L853" s="62" t="str">
        <f t="shared" si="1"/>
        <v/>
      </c>
    </row>
    <row r="854">
      <c r="A854" s="15"/>
      <c r="B854" s="15"/>
      <c r="C854" s="15"/>
      <c r="D854" s="15"/>
      <c r="E854" s="15"/>
      <c r="F854" s="15"/>
      <c r="G854" s="90"/>
      <c r="H854" s="15"/>
      <c r="I854" s="15"/>
      <c r="J854" s="15"/>
      <c r="K854" s="15"/>
      <c r="L854" s="62" t="str">
        <f t="shared" si="1"/>
        <v/>
      </c>
    </row>
    <row r="855">
      <c r="A855" s="15"/>
      <c r="B855" s="15"/>
      <c r="C855" s="15"/>
      <c r="D855" s="15"/>
      <c r="E855" s="15"/>
      <c r="F855" s="15"/>
      <c r="G855" s="90"/>
      <c r="H855" s="15"/>
      <c r="I855" s="15"/>
      <c r="J855" s="15"/>
      <c r="K855" s="15"/>
      <c r="L855" s="62" t="str">
        <f t="shared" si="1"/>
        <v/>
      </c>
    </row>
    <row r="856">
      <c r="A856" s="15"/>
      <c r="B856" s="15"/>
      <c r="C856" s="15"/>
      <c r="D856" s="15"/>
      <c r="E856" s="15"/>
      <c r="F856" s="15"/>
      <c r="G856" s="90"/>
      <c r="H856" s="15"/>
      <c r="I856" s="15"/>
      <c r="J856" s="15"/>
      <c r="K856" s="15"/>
      <c r="L856" s="62" t="str">
        <f t="shared" si="1"/>
        <v/>
      </c>
    </row>
    <row r="857">
      <c r="A857" s="15"/>
      <c r="B857" s="15"/>
      <c r="C857" s="15"/>
      <c r="D857" s="15"/>
      <c r="E857" s="15"/>
      <c r="F857" s="15"/>
      <c r="G857" s="90"/>
      <c r="H857" s="15"/>
      <c r="I857" s="15"/>
      <c r="J857" s="15"/>
      <c r="K857" s="15"/>
      <c r="L857" s="62" t="str">
        <f t="shared" si="1"/>
        <v/>
      </c>
    </row>
    <row r="858">
      <c r="A858" s="15"/>
      <c r="B858" s="15"/>
      <c r="C858" s="15"/>
      <c r="D858" s="15"/>
      <c r="E858" s="15"/>
      <c r="F858" s="15"/>
      <c r="G858" s="90"/>
      <c r="H858" s="15"/>
      <c r="I858" s="15"/>
      <c r="J858" s="15"/>
      <c r="K858" s="15"/>
      <c r="L858" s="62" t="str">
        <f t="shared" si="1"/>
        <v/>
      </c>
    </row>
    <row r="859">
      <c r="A859" s="15"/>
      <c r="B859" s="15"/>
      <c r="C859" s="15"/>
      <c r="D859" s="15"/>
      <c r="E859" s="15"/>
      <c r="F859" s="15"/>
      <c r="G859" s="90"/>
      <c r="H859" s="15"/>
      <c r="I859" s="15"/>
      <c r="J859" s="15"/>
      <c r="K859" s="15"/>
      <c r="L859" s="62" t="str">
        <f t="shared" si="1"/>
        <v/>
      </c>
    </row>
    <row r="860">
      <c r="A860" s="15"/>
      <c r="B860" s="15"/>
      <c r="C860" s="15"/>
      <c r="D860" s="15"/>
      <c r="E860" s="15"/>
      <c r="F860" s="15"/>
      <c r="G860" s="90"/>
      <c r="H860" s="15"/>
      <c r="I860" s="15"/>
      <c r="J860" s="15"/>
      <c r="K860" s="15"/>
      <c r="L860" s="62" t="str">
        <f t="shared" si="1"/>
        <v/>
      </c>
    </row>
    <row r="861">
      <c r="A861" s="15"/>
      <c r="B861" s="15"/>
      <c r="C861" s="15"/>
      <c r="D861" s="15"/>
      <c r="E861" s="15"/>
      <c r="F861" s="15"/>
      <c r="G861" s="90"/>
      <c r="H861" s="15"/>
      <c r="I861" s="15"/>
      <c r="J861" s="15"/>
      <c r="K861" s="15"/>
      <c r="L861" s="62" t="str">
        <f t="shared" si="1"/>
        <v/>
      </c>
    </row>
    <row r="862">
      <c r="A862" s="15"/>
      <c r="B862" s="15"/>
      <c r="C862" s="15"/>
      <c r="D862" s="15"/>
      <c r="E862" s="15"/>
      <c r="F862" s="15"/>
      <c r="G862" s="90"/>
      <c r="H862" s="15"/>
      <c r="I862" s="15"/>
      <c r="J862" s="15"/>
      <c r="K862" s="15"/>
      <c r="L862" s="62" t="str">
        <f t="shared" si="1"/>
        <v/>
      </c>
    </row>
    <row r="863">
      <c r="A863" s="15"/>
      <c r="B863" s="15"/>
      <c r="C863" s="15"/>
      <c r="D863" s="15"/>
      <c r="E863" s="15"/>
      <c r="F863" s="15"/>
      <c r="G863" s="90"/>
      <c r="H863" s="15"/>
      <c r="I863" s="15"/>
      <c r="J863" s="15"/>
      <c r="K863" s="15"/>
      <c r="L863" s="62" t="str">
        <f t="shared" si="1"/>
        <v/>
      </c>
    </row>
    <row r="864">
      <c r="A864" s="15"/>
      <c r="B864" s="15"/>
      <c r="C864" s="15"/>
      <c r="D864" s="15"/>
      <c r="E864" s="15"/>
      <c r="F864" s="15"/>
      <c r="G864" s="90"/>
      <c r="H864" s="15"/>
      <c r="I864" s="15"/>
      <c r="J864" s="15"/>
      <c r="K864" s="15"/>
      <c r="L864" s="62" t="str">
        <f t="shared" si="1"/>
        <v/>
      </c>
    </row>
    <row r="865">
      <c r="A865" s="15"/>
      <c r="B865" s="15"/>
      <c r="C865" s="15"/>
      <c r="D865" s="15"/>
      <c r="E865" s="15"/>
      <c r="F865" s="15"/>
      <c r="G865" s="90"/>
      <c r="H865" s="15"/>
      <c r="I865" s="15"/>
      <c r="J865" s="15"/>
      <c r="K865" s="15"/>
      <c r="L865" s="62" t="str">
        <f t="shared" si="1"/>
        <v/>
      </c>
    </row>
    <row r="866">
      <c r="A866" s="15"/>
      <c r="B866" s="15"/>
      <c r="C866" s="15"/>
      <c r="D866" s="15"/>
      <c r="E866" s="15"/>
      <c r="F866" s="15"/>
      <c r="G866" s="90"/>
      <c r="H866" s="15"/>
      <c r="I866" s="15"/>
      <c r="J866" s="15"/>
      <c r="K866" s="15"/>
      <c r="L866" s="62" t="str">
        <f t="shared" si="1"/>
        <v/>
      </c>
    </row>
    <row r="867">
      <c r="A867" s="15"/>
      <c r="B867" s="15"/>
      <c r="C867" s="15"/>
      <c r="D867" s="15"/>
      <c r="E867" s="15"/>
      <c r="F867" s="15"/>
      <c r="G867" s="90"/>
      <c r="H867" s="15"/>
      <c r="I867" s="15"/>
      <c r="J867" s="15"/>
      <c r="K867" s="15"/>
      <c r="L867" s="62" t="str">
        <f t="shared" si="1"/>
        <v/>
      </c>
    </row>
    <row r="868">
      <c r="A868" s="15"/>
      <c r="B868" s="15"/>
      <c r="C868" s="15"/>
      <c r="D868" s="15"/>
      <c r="E868" s="15"/>
      <c r="F868" s="15"/>
      <c r="G868" s="90"/>
      <c r="H868" s="15"/>
      <c r="I868" s="15"/>
      <c r="J868" s="15"/>
      <c r="K868" s="15"/>
      <c r="L868" s="62" t="str">
        <f t="shared" si="1"/>
        <v/>
      </c>
    </row>
    <row r="869">
      <c r="A869" s="15"/>
      <c r="B869" s="15"/>
      <c r="C869" s="15"/>
      <c r="D869" s="15"/>
      <c r="E869" s="15"/>
      <c r="F869" s="15"/>
      <c r="G869" s="90"/>
      <c r="H869" s="15"/>
      <c r="I869" s="15"/>
      <c r="J869" s="15"/>
      <c r="K869" s="15"/>
      <c r="L869" s="62" t="str">
        <f t="shared" si="1"/>
        <v/>
      </c>
    </row>
    <row r="870">
      <c r="A870" s="15"/>
      <c r="B870" s="15"/>
      <c r="C870" s="15"/>
      <c r="D870" s="15"/>
      <c r="E870" s="15"/>
      <c r="F870" s="15"/>
      <c r="G870" s="90"/>
      <c r="H870" s="15"/>
      <c r="I870" s="15"/>
      <c r="J870" s="15"/>
      <c r="K870" s="15"/>
      <c r="L870" s="62" t="str">
        <f t="shared" si="1"/>
        <v/>
      </c>
    </row>
    <row r="871">
      <c r="A871" s="15"/>
      <c r="B871" s="15"/>
      <c r="C871" s="15"/>
      <c r="D871" s="15"/>
      <c r="E871" s="15"/>
      <c r="F871" s="15"/>
      <c r="G871" s="90"/>
      <c r="H871" s="15"/>
      <c r="I871" s="15"/>
      <c r="J871" s="15"/>
      <c r="K871" s="15"/>
      <c r="L871" s="62" t="str">
        <f t="shared" si="1"/>
        <v/>
      </c>
    </row>
    <row r="872">
      <c r="A872" s="15"/>
      <c r="B872" s="15"/>
      <c r="C872" s="15"/>
      <c r="D872" s="15"/>
      <c r="E872" s="15"/>
      <c r="F872" s="15"/>
      <c r="G872" s="90"/>
      <c r="H872" s="15"/>
      <c r="I872" s="15"/>
      <c r="J872" s="15"/>
      <c r="K872" s="15"/>
      <c r="L872" s="62" t="str">
        <f t="shared" si="1"/>
        <v/>
      </c>
    </row>
    <row r="873">
      <c r="A873" s="15"/>
      <c r="B873" s="15"/>
      <c r="C873" s="15"/>
      <c r="D873" s="15"/>
      <c r="E873" s="15"/>
      <c r="F873" s="15"/>
      <c r="G873" s="90"/>
      <c r="H873" s="15"/>
      <c r="I873" s="15"/>
      <c r="J873" s="15"/>
      <c r="K873" s="15"/>
      <c r="L873" s="62" t="str">
        <f t="shared" si="1"/>
        <v/>
      </c>
    </row>
    <row r="874">
      <c r="A874" s="15"/>
      <c r="B874" s="15"/>
      <c r="C874" s="15"/>
      <c r="D874" s="15"/>
      <c r="E874" s="15"/>
      <c r="F874" s="15"/>
      <c r="G874" s="90"/>
      <c r="H874" s="15"/>
      <c r="I874" s="15"/>
      <c r="J874" s="15"/>
      <c r="K874" s="15"/>
      <c r="L874" s="62" t="str">
        <f t="shared" si="1"/>
        <v/>
      </c>
    </row>
    <row r="875">
      <c r="A875" s="15"/>
      <c r="B875" s="15"/>
      <c r="C875" s="15"/>
      <c r="D875" s="15"/>
      <c r="E875" s="15"/>
      <c r="F875" s="15"/>
      <c r="G875" s="90"/>
      <c r="H875" s="15"/>
      <c r="I875" s="15"/>
      <c r="J875" s="15"/>
      <c r="K875" s="15"/>
      <c r="L875" s="62" t="str">
        <f t="shared" si="1"/>
        <v/>
      </c>
    </row>
    <row r="876">
      <c r="A876" s="15"/>
      <c r="B876" s="15"/>
      <c r="C876" s="15"/>
      <c r="D876" s="15"/>
      <c r="E876" s="15"/>
      <c r="F876" s="15"/>
      <c r="G876" s="90"/>
      <c r="H876" s="15"/>
      <c r="I876" s="15"/>
      <c r="J876" s="15"/>
      <c r="K876" s="15"/>
      <c r="L876" s="62" t="str">
        <f t="shared" si="1"/>
        <v/>
      </c>
    </row>
    <row r="877">
      <c r="A877" s="15"/>
      <c r="B877" s="15"/>
      <c r="C877" s="15"/>
      <c r="D877" s="15"/>
      <c r="E877" s="15"/>
      <c r="F877" s="15"/>
      <c r="G877" s="90"/>
      <c r="H877" s="15"/>
      <c r="I877" s="15"/>
      <c r="J877" s="15"/>
      <c r="K877" s="15"/>
      <c r="L877" s="62" t="str">
        <f t="shared" si="1"/>
        <v/>
      </c>
    </row>
    <row r="878">
      <c r="A878" s="15"/>
      <c r="B878" s="15"/>
      <c r="C878" s="15"/>
      <c r="D878" s="15"/>
      <c r="E878" s="15"/>
      <c r="F878" s="15"/>
      <c r="G878" s="90"/>
      <c r="H878" s="15"/>
      <c r="I878" s="15"/>
      <c r="J878" s="15"/>
      <c r="K878" s="15"/>
      <c r="L878" s="62" t="str">
        <f t="shared" si="1"/>
        <v/>
      </c>
    </row>
    <row r="879">
      <c r="A879" s="15"/>
      <c r="B879" s="15"/>
      <c r="C879" s="15"/>
      <c r="D879" s="15"/>
      <c r="E879" s="15"/>
      <c r="F879" s="15"/>
      <c r="G879" s="90"/>
      <c r="H879" s="15"/>
      <c r="I879" s="15"/>
      <c r="J879" s="15"/>
      <c r="K879" s="15"/>
      <c r="L879" s="62" t="str">
        <f t="shared" si="1"/>
        <v/>
      </c>
    </row>
    <row r="880">
      <c r="A880" s="15"/>
      <c r="B880" s="15"/>
      <c r="C880" s="15"/>
      <c r="D880" s="15"/>
      <c r="E880" s="15"/>
      <c r="F880" s="15"/>
      <c r="G880" s="90"/>
      <c r="H880" s="15"/>
      <c r="I880" s="15"/>
      <c r="J880" s="15"/>
      <c r="K880" s="15"/>
      <c r="L880" s="62" t="str">
        <f t="shared" si="1"/>
        <v/>
      </c>
    </row>
    <row r="881">
      <c r="A881" s="15"/>
      <c r="B881" s="15"/>
      <c r="C881" s="15"/>
      <c r="D881" s="15"/>
      <c r="E881" s="15"/>
      <c r="F881" s="15"/>
      <c r="G881" s="90"/>
      <c r="H881" s="15"/>
      <c r="I881" s="15"/>
      <c r="J881" s="15"/>
      <c r="K881" s="15"/>
      <c r="L881" s="62" t="str">
        <f t="shared" si="1"/>
        <v/>
      </c>
    </row>
    <row r="882">
      <c r="A882" s="15"/>
      <c r="B882" s="15"/>
      <c r="C882" s="15"/>
      <c r="D882" s="15"/>
      <c r="E882" s="15"/>
      <c r="F882" s="15"/>
      <c r="G882" s="90"/>
      <c r="H882" s="15"/>
      <c r="I882" s="15"/>
      <c r="J882" s="15"/>
      <c r="K882" s="15"/>
      <c r="L882" s="62" t="str">
        <f t="shared" si="1"/>
        <v/>
      </c>
    </row>
    <row r="883">
      <c r="A883" s="15"/>
      <c r="B883" s="15"/>
      <c r="C883" s="15"/>
      <c r="D883" s="15"/>
      <c r="E883" s="15"/>
      <c r="F883" s="15"/>
      <c r="G883" s="90"/>
      <c r="H883" s="15"/>
      <c r="I883" s="15"/>
      <c r="J883" s="15"/>
      <c r="K883" s="15"/>
      <c r="L883" s="62" t="str">
        <f t="shared" si="1"/>
        <v/>
      </c>
    </row>
    <row r="884">
      <c r="A884" s="15"/>
      <c r="B884" s="15"/>
      <c r="C884" s="15"/>
      <c r="D884" s="15"/>
      <c r="E884" s="15"/>
      <c r="F884" s="15"/>
      <c r="G884" s="90"/>
      <c r="H884" s="15"/>
      <c r="I884" s="15"/>
      <c r="J884" s="15"/>
      <c r="K884" s="15"/>
      <c r="L884" s="62" t="str">
        <f t="shared" si="1"/>
        <v/>
      </c>
    </row>
    <row r="885">
      <c r="A885" s="15"/>
      <c r="B885" s="15"/>
      <c r="C885" s="15"/>
      <c r="D885" s="15"/>
      <c r="E885" s="15"/>
      <c r="F885" s="15"/>
      <c r="G885" s="90"/>
      <c r="H885" s="15"/>
      <c r="I885" s="15"/>
      <c r="J885" s="15"/>
      <c r="K885" s="15"/>
      <c r="L885" s="62" t="str">
        <f t="shared" si="1"/>
        <v/>
      </c>
    </row>
    <row r="886">
      <c r="A886" s="15"/>
      <c r="B886" s="15"/>
      <c r="C886" s="15"/>
      <c r="D886" s="15"/>
      <c r="E886" s="15"/>
      <c r="F886" s="15"/>
      <c r="G886" s="90"/>
      <c r="H886" s="15"/>
      <c r="I886" s="15"/>
      <c r="J886" s="15"/>
      <c r="K886" s="15"/>
      <c r="L886" s="62" t="str">
        <f t="shared" si="1"/>
        <v/>
      </c>
    </row>
    <row r="887">
      <c r="A887" s="15"/>
      <c r="B887" s="15"/>
      <c r="C887" s="15"/>
      <c r="D887" s="15"/>
      <c r="E887" s="15"/>
      <c r="F887" s="15"/>
      <c r="G887" s="90"/>
      <c r="H887" s="15"/>
      <c r="I887" s="15"/>
      <c r="J887" s="15"/>
      <c r="K887" s="15"/>
      <c r="L887" s="62" t="str">
        <f t="shared" si="1"/>
        <v/>
      </c>
    </row>
    <row r="888">
      <c r="A888" s="15"/>
      <c r="B888" s="15"/>
      <c r="C888" s="15"/>
      <c r="D888" s="15"/>
      <c r="E888" s="15"/>
      <c r="F888" s="15"/>
      <c r="G888" s="90"/>
      <c r="H888" s="15"/>
      <c r="I888" s="15"/>
      <c r="J888" s="15"/>
      <c r="K888" s="15"/>
      <c r="L888" s="62" t="str">
        <f t="shared" si="1"/>
        <v/>
      </c>
    </row>
    <row r="889">
      <c r="A889" s="15"/>
      <c r="B889" s="15"/>
      <c r="C889" s="15"/>
      <c r="D889" s="15"/>
      <c r="E889" s="15"/>
      <c r="F889" s="15"/>
      <c r="G889" s="90"/>
      <c r="H889" s="15"/>
      <c r="I889" s="15"/>
      <c r="J889" s="15"/>
      <c r="K889" s="15"/>
      <c r="L889" s="62" t="str">
        <f t="shared" si="1"/>
        <v/>
      </c>
    </row>
    <row r="890">
      <c r="A890" s="15"/>
      <c r="B890" s="15"/>
      <c r="C890" s="15"/>
      <c r="D890" s="15"/>
      <c r="E890" s="15"/>
      <c r="F890" s="15"/>
      <c r="G890" s="90"/>
      <c r="H890" s="15"/>
      <c r="I890" s="15"/>
      <c r="J890" s="15"/>
      <c r="K890" s="15"/>
      <c r="L890" s="62" t="str">
        <f t="shared" si="1"/>
        <v/>
      </c>
    </row>
    <row r="891">
      <c r="A891" s="15"/>
      <c r="B891" s="15"/>
      <c r="C891" s="15"/>
      <c r="D891" s="15"/>
      <c r="E891" s="15"/>
      <c r="F891" s="15"/>
      <c r="G891" s="90"/>
      <c r="H891" s="15"/>
      <c r="I891" s="15"/>
      <c r="J891" s="15"/>
      <c r="K891" s="15"/>
      <c r="L891" s="62" t="str">
        <f t="shared" si="1"/>
        <v/>
      </c>
    </row>
    <row r="892">
      <c r="A892" s="15"/>
      <c r="B892" s="15"/>
      <c r="C892" s="15"/>
      <c r="D892" s="15"/>
      <c r="E892" s="15"/>
      <c r="F892" s="15"/>
      <c r="G892" s="90"/>
      <c r="H892" s="15"/>
      <c r="I892" s="15"/>
      <c r="J892" s="15"/>
      <c r="K892" s="15"/>
      <c r="L892" s="62" t="str">
        <f t="shared" si="1"/>
        <v/>
      </c>
    </row>
    <row r="893">
      <c r="A893" s="15"/>
      <c r="B893" s="15"/>
      <c r="C893" s="15"/>
      <c r="D893" s="15"/>
      <c r="E893" s="15"/>
      <c r="F893" s="15"/>
      <c r="G893" s="90"/>
      <c r="H893" s="15"/>
      <c r="I893" s="15"/>
      <c r="J893" s="15"/>
      <c r="K893" s="15"/>
      <c r="L893" s="62" t="str">
        <f t="shared" si="1"/>
        <v/>
      </c>
    </row>
    <row r="894">
      <c r="A894" s="15"/>
      <c r="B894" s="15"/>
      <c r="C894" s="15"/>
      <c r="D894" s="15"/>
      <c r="E894" s="15"/>
      <c r="F894" s="15"/>
      <c r="G894" s="90"/>
      <c r="H894" s="15"/>
      <c r="I894" s="15"/>
      <c r="J894" s="15"/>
      <c r="K894" s="15"/>
      <c r="L894" s="62" t="str">
        <f t="shared" si="1"/>
        <v/>
      </c>
    </row>
    <row r="895">
      <c r="A895" s="15"/>
      <c r="B895" s="15"/>
      <c r="C895" s="15"/>
      <c r="D895" s="15"/>
      <c r="E895" s="15"/>
      <c r="F895" s="15"/>
      <c r="G895" s="90"/>
      <c r="H895" s="15"/>
      <c r="I895" s="15"/>
      <c r="J895" s="15"/>
      <c r="K895" s="15"/>
      <c r="L895" s="62" t="str">
        <f t="shared" si="1"/>
        <v/>
      </c>
    </row>
    <row r="896">
      <c r="A896" s="15"/>
      <c r="B896" s="15"/>
      <c r="C896" s="15"/>
      <c r="D896" s="15"/>
      <c r="E896" s="15"/>
      <c r="F896" s="15"/>
      <c r="G896" s="90"/>
      <c r="H896" s="15"/>
      <c r="I896" s="15"/>
      <c r="J896" s="15"/>
      <c r="K896" s="15"/>
      <c r="L896" s="62" t="str">
        <f t="shared" si="1"/>
        <v/>
      </c>
    </row>
    <row r="897">
      <c r="A897" s="15"/>
      <c r="B897" s="15"/>
      <c r="C897" s="15"/>
      <c r="D897" s="15"/>
      <c r="E897" s="15"/>
      <c r="F897" s="15"/>
      <c r="G897" s="90"/>
      <c r="H897" s="15"/>
      <c r="I897" s="15"/>
      <c r="J897" s="15"/>
      <c r="K897" s="15"/>
      <c r="L897" s="62" t="str">
        <f t="shared" si="1"/>
        <v/>
      </c>
    </row>
    <row r="898">
      <c r="A898" s="15"/>
      <c r="B898" s="15"/>
      <c r="C898" s="15"/>
      <c r="D898" s="15"/>
      <c r="E898" s="15"/>
      <c r="F898" s="15"/>
      <c r="G898" s="90"/>
      <c r="H898" s="15"/>
      <c r="I898" s="15"/>
      <c r="J898" s="15"/>
      <c r="K898" s="15"/>
      <c r="L898" s="62" t="str">
        <f t="shared" si="1"/>
        <v/>
      </c>
    </row>
    <row r="899">
      <c r="A899" s="15"/>
      <c r="B899" s="15"/>
      <c r="C899" s="15"/>
      <c r="D899" s="15"/>
      <c r="E899" s="15"/>
      <c r="F899" s="15"/>
      <c r="G899" s="90"/>
      <c r="H899" s="15"/>
      <c r="I899" s="15"/>
      <c r="J899" s="15"/>
      <c r="K899" s="15"/>
      <c r="L899" s="62" t="str">
        <f t="shared" si="1"/>
        <v/>
      </c>
    </row>
    <row r="900">
      <c r="A900" s="15"/>
      <c r="B900" s="15"/>
      <c r="C900" s="15"/>
      <c r="D900" s="15"/>
      <c r="E900" s="15"/>
      <c r="F900" s="15"/>
      <c r="G900" s="90"/>
      <c r="H900" s="15"/>
      <c r="I900" s="15"/>
      <c r="J900" s="15"/>
      <c r="K900" s="15"/>
      <c r="L900" s="62" t="str">
        <f t="shared" si="1"/>
        <v/>
      </c>
    </row>
    <row r="901">
      <c r="A901" s="15"/>
      <c r="B901" s="15"/>
      <c r="C901" s="15"/>
      <c r="D901" s="15"/>
      <c r="E901" s="15"/>
      <c r="F901" s="15"/>
      <c r="G901" s="90"/>
      <c r="H901" s="15"/>
      <c r="I901" s="15"/>
      <c r="J901" s="15"/>
      <c r="K901" s="15"/>
      <c r="L901" s="62" t="str">
        <f t="shared" si="1"/>
        <v/>
      </c>
    </row>
    <row r="902">
      <c r="A902" s="15"/>
      <c r="B902" s="15"/>
      <c r="C902" s="15"/>
      <c r="D902" s="15"/>
      <c r="E902" s="15"/>
      <c r="F902" s="15"/>
      <c r="G902" s="90"/>
      <c r="H902" s="15"/>
      <c r="I902" s="15"/>
      <c r="J902" s="15"/>
      <c r="K902" s="15"/>
      <c r="L902" s="62" t="str">
        <f t="shared" si="1"/>
        <v/>
      </c>
    </row>
    <row r="903">
      <c r="A903" s="15"/>
      <c r="B903" s="15"/>
      <c r="C903" s="15"/>
      <c r="D903" s="15"/>
      <c r="E903" s="15"/>
      <c r="F903" s="15"/>
      <c r="G903" s="90"/>
      <c r="H903" s="15"/>
      <c r="I903" s="15"/>
      <c r="J903" s="15"/>
      <c r="K903" s="15"/>
      <c r="L903" s="62" t="str">
        <f t="shared" si="1"/>
        <v/>
      </c>
    </row>
    <row r="904">
      <c r="A904" s="15"/>
      <c r="B904" s="15"/>
      <c r="C904" s="15"/>
      <c r="D904" s="15"/>
      <c r="E904" s="15"/>
      <c r="F904" s="15"/>
      <c r="G904" s="90"/>
      <c r="H904" s="15"/>
      <c r="I904" s="15"/>
      <c r="J904" s="15"/>
      <c r="K904" s="15"/>
      <c r="L904" s="62" t="str">
        <f t="shared" si="1"/>
        <v/>
      </c>
    </row>
    <row r="905">
      <c r="A905" s="15"/>
      <c r="B905" s="15"/>
      <c r="C905" s="15"/>
      <c r="D905" s="15"/>
      <c r="E905" s="15"/>
      <c r="F905" s="15"/>
      <c r="G905" s="90"/>
      <c r="H905" s="15"/>
      <c r="I905" s="15"/>
      <c r="J905" s="15"/>
      <c r="K905" s="15"/>
      <c r="L905" s="62" t="str">
        <f t="shared" si="1"/>
        <v/>
      </c>
    </row>
    <row r="906">
      <c r="A906" s="15"/>
      <c r="B906" s="15"/>
      <c r="C906" s="15"/>
      <c r="D906" s="15"/>
      <c r="E906" s="15"/>
      <c r="F906" s="15"/>
      <c r="G906" s="90"/>
      <c r="H906" s="15"/>
      <c r="I906" s="15"/>
      <c r="J906" s="15"/>
      <c r="K906" s="15"/>
      <c r="L906" s="62" t="str">
        <f t="shared" si="1"/>
        <v/>
      </c>
    </row>
    <row r="907">
      <c r="A907" s="15"/>
      <c r="B907" s="15"/>
      <c r="C907" s="15"/>
      <c r="D907" s="15"/>
      <c r="E907" s="15"/>
      <c r="F907" s="15"/>
      <c r="G907" s="90"/>
      <c r="H907" s="15"/>
      <c r="I907" s="15"/>
      <c r="J907" s="15"/>
      <c r="K907" s="15"/>
      <c r="L907" s="62" t="str">
        <f t="shared" si="1"/>
        <v/>
      </c>
    </row>
    <row r="908">
      <c r="A908" s="15"/>
      <c r="B908" s="15"/>
      <c r="C908" s="15"/>
      <c r="D908" s="15"/>
      <c r="E908" s="15"/>
      <c r="F908" s="15"/>
      <c r="G908" s="90"/>
      <c r="H908" s="15"/>
      <c r="I908" s="15"/>
      <c r="J908" s="15"/>
      <c r="K908" s="15"/>
      <c r="L908" s="62" t="str">
        <f t="shared" si="1"/>
        <v/>
      </c>
    </row>
    <row r="909">
      <c r="A909" s="15"/>
      <c r="B909" s="15"/>
      <c r="C909" s="15"/>
      <c r="D909" s="15"/>
      <c r="E909" s="15"/>
      <c r="F909" s="15"/>
      <c r="G909" s="90"/>
      <c r="H909" s="15"/>
      <c r="I909" s="15"/>
      <c r="J909" s="15"/>
      <c r="K909" s="15"/>
      <c r="L909" s="62" t="str">
        <f t="shared" si="1"/>
        <v/>
      </c>
    </row>
    <row r="910">
      <c r="A910" s="15"/>
      <c r="B910" s="15"/>
      <c r="C910" s="15"/>
      <c r="D910" s="15"/>
      <c r="E910" s="15"/>
      <c r="F910" s="15"/>
      <c r="G910" s="90"/>
      <c r="H910" s="15"/>
      <c r="I910" s="15"/>
      <c r="J910" s="15"/>
      <c r="K910" s="15"/>
      <c r="L910" s="62" t="str">
        <f t="shared" si="1"/>
        <v/>
      </c>
    </row>
    <row r="911">
      <c r="A911" s="15"/>
      <c r="B911" s="15"/>
      <c r="C911" s="15"/>
      <c r="D911" s="15"/>
      <c r="E911" s="15"/>
      <c r="F911" s="15"/>
      <c r="G911" s="90"/>
      <c r="H911" s="15"/>
      <c r="I911" s="15"/>
      <c r="J911" s="15"/>
      <c r="K911" s="15"/>
      <c r="L911" s="62" t="str">
        <f t="shared" si="1"/>
        <v/>
      </c>
    </row>
    <row r="912">
      <c r="A912" s="15"/>
      <c r="B912" s="15"/>
      <c r="C912" s="15"/>
      <c r="D912" s="15"/>
      <c r="E912" s="15"/>
      <c r="F912" s="15"/>
      <c r="G912" s="90"/>
      <c r="H912" s="15"/>
      <c r="I912" s="15"/>
      <c r="J912" s="15"/>
      <c r="K912" s="15"/>
      <c r="L912" s="62" t="str">
        <f t="shared" si="1"/>
        <v/>
      </c>
    </row>
    <row r="913">
      <c r="A913" s="15"/>
      <c r="B913" s="15"/>
      <c r="C913" s="15"/>
      <c r="D913" s="15"/>
      <c r="E913" s="15"/>
      <c r="F913" s="15"/>
      <c r="G913" s="90"/>
      <c r="H913" s="15"/>
      <c r="I913" s="15"/>
      <c r="J913" s="15"/>
      <c r="K913" s="15"/>
      <c r="L913" s="62" t="str">
        <f t="shared" si="1"/>
        <v/>
      </c>
    </row>
    <row r="914">
      <c r="A914" s="15"/>
      <c r="B914" s="15"/>
      <c r="C914" s="15"/>
      <c r="D914" s="15"/>
      <c r="E914" s="15"/>
      <c r="F914" s="15"/>
      <c r="G914" s="90"/>
      <c r="H914" s="15"/>
      <c r="I914" s="15"/>
      <c r="J914" s="15"/>
      <c r="K914" s="15"/>
      <c r="L914" s="62" t="str">
        <f t="shared" si="1"/>
        <v/>
      </c>
    </row>
    <row r="915">
      <c r="A915" s="15"/>
      <c r="B915" s="15"/>
      <c r="C915" s="15"/>
      <c r="D915" s="15"/>
      <c r="E915" s="15"/>
      <c r="F915" s="15"/>
      <c r="G915" s="90"/>
      <c r="H915" s="15"/>
      <c r="I915" s="15"/>
      <c r="J915" s="15"/>
      <c r="K915" s="15"/>
      <c r="L915" s="62" t="str">
        <f t="shared" si="1"/>
        <v/>
      </c>
    </row>
    <row r="916">
      <c r="A916" s="15"/>
      <c r="B916" s="15"/>
      <c r="C916" s="15"/>
      <c r="D916" s="15"/>
      <c r="E916" s="15"/>
      <c r="F916" s="15"/>
      <c r="G916" s="90"/>
      <c r="H916" s="15"/>
      <c r="I916" s="15"/>
      <c r="J916" s="15"/>
      <c r="K916" s="15"/>
      <c r="L916" s="62" t="str">
        <f t="shared" si="1"/>
        <v/>
      </c>
    </row>
    <row r="917">
      <c r="A917" s="15"/>
      <c r="B917" s="15"/>
      <c r="C917" s="15"/>
      <c r="D917" s="15"/>
      <c r="E917" s="15"/>
      <c r="F917" s="15"/>
      <c r="G917" s="90"/>
      <c r="H917" s="15"/>
      <c r="I917" s="15"/>
      <c r="J917" s="15"/>
      <c r="K917" s="15"/>
      <c r="L917" s="62" t="str">
        <f t="shared" si="1"/>
        <v/>
      </c>
    </row>
    <row r="918">
      <c r="A918" s="15"/>
      <c r="B918" s="15"/>
      <c r="C918" s="15"/>
      <c r="D918" s="15"/>
      <c r="E918" s="15"/>
      <c r="F918" s="15"/>
      <c r="G918" s="90"/>
      <c r="H918" s="15"/>
      <c r="I918" s="15"/>
      <c r="J918" s="15"/>
      <c r="K918" s="15"/>
      <c r="L918" s="62" t="str">
        <f t="shared" si="1"/>
        <v/>
      </c>
    </row>
    <row r="919">
      <c r="A919" s="15"/>
      <c r="B919" s="15"/>
      <c r="C919" s="15"/>
      <c r="D919" s="15"/>
      <c r="E919" s="15"/>
      <c r="F919" s="15"/>
      <c r="G919" s="90"/>
      <c r="H919" s="15"/>
      <c r="I919" s="15"/>
      <c r="J919" s="15"/>
      <c r="K919" s="15"/>
      <c r="L919" s="62" t="str">
        <f t="shared" si="1"/>
        <v/>
      </c>
    </row>
    <row r="920">
      <c r="A920" s="15"/>
      <c r="B920" s="15"/>
      <c r="C920" s="15"/>
      <c r="D920" s="15"/>
      <c r="E920" s="15"/>
      <c r="F920" s="15"/>
      <c r="G920" s="90"/>
      <c r="H920" s="15"/>
      <c r="I920" s="15"/>
      <c r="J920" s="15"/>
      <c r="K920" s="15"/>
      <c r="L920" s="62" t="str">
        <f t="shared" si="1"/>
        <v/>
      </c>
    </row>
    <row r="921">
      <c r="A921" s="15"/>
      <c r="B921" s="15"/>
      <c r="C921" s="15"/>
      <c r="D921" s="15"/>
      <c r="E921" s="15"/>
      <c r="F921" s="15"/>
      <c r="G921" s="90"/>
      <c r="H921" s="15"/>
      <c r="I921" s="15"/>
      <c r="J921" s="15"/>
      <c r="K921" s="15"/>
      <c r="L921" s="62" t="str">
        <f t="shared" si="1"/>
        <v/>
      </c>
    </row>
    <row r="922">
      <c r="A922" s="15"/>
      <c r="B922" s="15"/>
      <c r="C922" s="15"/>
      <c r="D922" s="15"/>
      <c r="E922" s="15"/>
      <c r="F922" s="15"/>
      <c r="G922" s="90"/>
      <c r="H922" s="15"/>
      <c r="I922" s="15"/>
      <c r="J922" s="15"/>
      <c r="K922" s="15"/>
      <c r="L922" s="62" t="str">
        <f t="shared" si="1"/>
        <v/>
      </c>
    </row>
    <row r="923">
      <c r="A923" s="15"/>
      <c r="B923" s="15"/>
      <c r="C923" s="15"/>
      <c r="D923" s="15"/>
      <c r="E923" s="15"/>
      <c r="F923" s="15"/>
      <c r="G923" s="90"/>
      <c r="H923" s="15"/>
      <c r="I923" s="15"/>
      <c r="J923" s="15"/>
      <c r="K923" s="15"/>
      <c r="L923" s="62" t="str">
        <f t="shared" si="1"/>
        <v/>
      </c>
    </row>
    <row r="924">
      <c r="A924" s="15"/>
      <c r="B924" s="15"/>
      <c r="C924" s="15"/>
      <c r="D924" s="15"/>
      <c r="E924" s="15"/>
      <c r="F924" s="15"/>
      <c r="G924" s="90"/>
      <c r="H924" s="15"/>
      <c r="I924" s="15"/>
      <c r="J924" s="15"/>
      <c r="K924" s="15"/>
      <c r="L924" s="62" t="str">
        <f t="shared" si="1"/>
        <v/>
      </c>
    </row>
    <row r="925">
      <c r="A925" s="15"/>
      <c r="B925" s="15"/>
      <c r="C925" s="15"/>
      <c r="D925" s="15"/>
      <c r="E925" s="15"/>
      <c r="F925" s="15"/>
      <c r="G925" s="90"/>
      <c r="H925" s="15"/>
      <c r="I925" s="15"/>
      <c r="J925" s="15"/>
      <c r="K925" s="15"/>
      <c r="L925" s="62" t="str">
        <f t="shared" si="1"/>
        <v/>
      </c>
    </row>
    <row r="926">
      <c r="A926" s="15"/>
      <c r="B926" s="15"/>
      <c r="C926" s="15"/>
      <c r="D926" s="15"/>
      <c r="E926" s="15"/>
      <c r="F926" s="15"/>
      <c r="G926" s="90"/>
      <c r="H926" s="15"/>
      <c r="I926" s="15"/>
      <c r="J926" s="15"/>
      <c r="K926" s="15"/>
      <c r="L926" s="62" t="str">
        <f t="shared" si="1"/>
        <v/>
      </c>
    </row>
    <row r="927">
      <c r="A927" s="15"/>
      <c r="B927" s="15"/>
      <c r="C927" s="15"/>
      <c r="D927" s="15"/>
      <c r="E927" s="15"/>
      <c r="F927" s="15"/>
      <c r="G927" s="90"/>
      <c r="H927" s="15"/>
      <c r="I927" s="15"/>
      <c r="J927" s="15"/>
      <c r="K927" s="15"/>
      <c r="L927" s="62" t="str">
        <f t="shared" si="1"/>
        <v/>
      </c>
    </row>
    <row r="928">
      <c r="A928" s="15"/>
      <c r="B928" s="15"/>
      <c r="C928" s="15"/>
      <c r="D928" s="15"/>
      <c r="E928" s="15"/>
      <c r="F928" s="15"/>
      <c r="G928" s="90"/>
      <c r="H928" s="15"/>
      <c r="I928" s="15"/>
      <c r="J928" s="15"/>
      <c r="K928" s="15"/>
      <c r="L928" s="62" t="str">
        <f t="shared" si="1"/>
        <v/>
      </c>
    </row>
    <row r="929">
      <c r="A929" s="15"/>
      <c r="B929" s="15"/>
      <c r="C929" s="15"/>
      <c r="D929" s="15"/>
      <c r="E929" s="15"/>
      <c r="F929" s="15"/>
      <c r="G929" s="90"/>
      <c r="H929" s="15"/>
      <c r="I929" s="15"/>
      <c r="J929" s="15"/>
      <c r="K929" s="15"/>
      <c r="L929" s="62" t="str">
        <f t="shared" si="1"/>
        <v/>
      </c>
    </row>
    <row r="930">
      <c r="A930" s="15"/>
      <c r="B930" s="15"/>
      <c r="C930" s="15"/>
      <c r="D930" s="15"/>
      <c r="E930" s="15"/>
      <c r="F930" s="15"/>
      <c r="G930" s="90"/>
      <c r="H930" s="15"/>
      <c r="I930" s="15"/>
      <c r="J930" s="15"/>
      <c r="K930" s="15"/>
      <c r="L930" s="62" t="str">
        <f t="shared" si="1"/>
        <v/>
      </c>
    </row>
    <row r="931">
      <c r="A931" s="15"/>
      <c r="B931" s="15"/>
      <c r="C931" s="15"/>
      <c r="D931" s="15"/>
      <c r="E931" s="15"/>
      <c r="F931" s="15"/>
      <c r="G931" s="90"/>
      <c r="H931" s="15"/>
      <c r="I931" s="15"/>
      <c r="J931" s="15"/>
      <c r="K931" s="15"/>
      <c r="L931" s="62" t="str">
        <f t="shared" si="1"/>
        <v/>
      </c>
    </row>
    <row r="932">
      <c r="A932" s="15"/>
      <c r="B932" s="15"/>
      <c r="C932" s="15"/>
      <c r="D932" s="15"/>
      <c r="E932" s="15"/>
      <c r="F932" s="15"/>
      <c r="G932" s="90"/>
      <c r="H932" s="15"/>
      <c r="I932" s="15"/>
      <c r="J932" s="15"/>
      <c r="K932" s="15"/>
      <c r="L932" s="62" t="str">
        <f t="shared" si="1"/>
        <v/>
      </c>
    </row>
    <row r="933">
      <c r="A933" s="15"/>
      <c r="B933" s="15"/>
      <c r="C933" s="15"/>
      <c r="D933" s="15"/>
      <c r="E933" s="15"/>
      <c r="F933" s="15"/>
      <c r="G933" s="90"/>
      <c r="H933" s="15"/>
      <c r="I933" s="15"/>
      <c r="J933" s="15"/>
      <c r="K933" s="15"/>
      <c r="L933" s="62" t="str">
        <f t="shared" si="1"/>
        <v/>
      </c>
    </row>
    <row r="934">
      <c r="A934" s="15"/>
      <c r="B934" s="15"/>
      <c r="C934" s="15"/>
      <c r="D934" s="15"/>
      <c r="E934" s="15"/>
      <c r="F934" s="15"/>
      <c r="G934" s="90"/>
      <c r="H934" s="15"/>
      <c r="I934" s="15"/>
      <c r="J934" s="15"/>
      <c r="K934" s="15"/>
      <c r="L934" s="62" t="str">
        <f t="shared" si="1"/>
        <v/>
      </c>
    </row>
    <row r="935">
      <c r="A935" s="15"/>
      <c r="B935" s="15"/>
      <c r="C935" s="15"/>
      <c r="D935" s="15"/>
      <c r="E935" s="15"/>
      <c r="F935" s="15"/>
      <c r="G935" s="90"/>
      <c r="H935" s="15"/>
      <c r="I935" s="15"/>
      <c r="J935" s="15"/>
      <c r="K935" s="15"/>
      <c r="L935" s="62" t="str">
        <f t="shared" si="1"/>
        <v/>
      </c>
    </row>
    <row r="936">
      <c r="A936" s="15"/>
      <c r="B936" s="15"/>
      <c r="C936" s="15"/>
      <c r="D936" s="15"/>
      <c r="E936" s="15"/>
      <c r="F936" s="15"/>
      <c r="G936" s="90"/>
      <c r="H936" s="15"/>
      <c r="I936" s="15"/>
      <c r="J936" s="15"/>
      <c r="K936" s="15"/>
      <c r="L936" s="62" t="str">
        <f t="shared" si="1"/>
        <v/>
      </c>
    </row>
    <row r="937">
      <c r="A937" s="15"/>
      <c r="B937" s="15"/>
      <c r="C937" s="15"/>
      <c r="D937" s="15"/>
      <c r="E937" s="15"/>
      <c r="F937" s="15"/>
      <c r="G937" s="90"/>
      <c r="H937" s="15"/>
      <c r="I937" s="15"/>
      <c r="J937" s="15"/>
      <c r="K937" s="15"/>
      <c r="L937" s="62" t="str">
        <f t="shared" si="1"/>
        <v/>
      </c>
    </row>
    <row r="938">
      <c r="A938" s="15"/>
      <c r="B938" s="15"/>
      <c r="C938" s="15"/>
      <c r="D938" s="15"/>
      <c r="E938" s="15"/>
      <c r="F938" s="15"/>
      <c r="G938" s="90"/>
      <c r="H938" s="15"/>
      <c r="I938" s="15"/>
      <c r="J938" s="15"/>
      <c r="K938" s="15"/>
      <c r="L938" s="62" t="str">
        <f t="shared" si="1"/>
        <v/>
      </c>
    </row>
    <row r="939">
      <c r="A939" s="15"/>
      <c r="B939" s="15"/>
      <c r="C939" s="15"/>
      <c r="D939" s="15"/>
      <c r="E939" s="15"/>
      <c r="F939" s="15"/>
      <c r="G939" s="90"/>
      <c r="H939" s="15"/>
      <c r="I939" s="15"/>
      <c r="J939" s="15"/>
      <c r="K939" s="15"/>
      <c r="L939" s="62" t="str">
        <f t="shared" si="1"/>
        <v/>
      </c>
    </row>
    <row r="940">
      <c r="A940" s="15"/>
      <c r="B940" s="15"/>
      <c r="C940" s="15"/>
      <c r="D940" s="15"/>
      <c r="E940" s="15"/>
      <c r="F940" s="15"/>
      <c r="G940" s="90"/>
      <c r="H940" s="15"/>
      <c r="I940" s="15"/>
      <c r="J940" s="15"/>
      <c r="K940" s="15"/>
      <c r="L940" s="62" t="str">
        <f t="shared" si="1"/>
        <v/>
      </c>
    </row>
    <row r="941">
      <c r="A941" s="15"/>
      <c r="B941" s="15"/>
      <c r="C941" s="15"/>
      <c r="D941" s="15"/>
      <c r="E941" s="15"/>
      <c r="F941" s="15"/>
      <c r="G941" s="90"/>
      <c r="H941" s="15"/>
      <c r="I941" s="15"/>
      <c r="J941" s="15"/>
      <c r="K941" s="15"/>
      <c r="L941" s="62" t="str">
        <f t="shared" si="1"/>
        <v/>
      </c>
    </row>
    <row r="942">
      <c r="A942" s="15"/>
      <c r="B942" s="15"/>
      <c r="C942" s="15"/>
      <c r="D942" s="15"/>
      <c r="E942" s="15"/>
      <c r="F942" s="15"/>
      <c r="G942" s="90"/>
      <c r="H942" s="15"/>
      <c r="I942" s="15"/>
      <c r="J942" s="15"/>
      <c r="K942" s="15"/>
      <c r="L942" s="62" t="str">
        <f t="shared" si="1"/>
        <v/>
      </c>
    </row>
    <row r="943">
      <c r="A943" s="15"/>
      <c r="B943" s="15"/>
      <c r="C943" s="15"/>
      <c r="D943" s="15"/>
      <c r="E943" s="15"/>
      <c r="F943" s="15"/>
      <c r="G943" s="90"/>
      <c r="H943" s="15"/>
      <c r="I943" s="15"/>
      <c r="J943" s="15"/>
      <c r="K943" s="15"/>
      <c r="L943" s="62" t="str">
        <f t="shared" si="1"/>
        <v/>
      </c>
    </row>
    <row r="944">
      <c r="A944" s="15"/>
      <c r="B944" s="15"/>
      <c r="C944" s="15"/>
      <c r="D944" s="15"/>
      <c r="E944" s="15"/>
      <c r="F944" s="15"/>
      <c r="G944" s="90"/>
      <c r="H944" s="15"/>
      <c r="I944" s="15"/>
      <c r="J944" s="15"/>
      <c r="K944" s="15"/>
      <c r="L944" s="62" t="str">
        <f t="shared" si="1"/>
        <v/>
      </c>
    </row>
    <row r="945">
      <c r="A945" s="15"/>
      <c r="B945" s="15"/>
      <c r="C945" s="15"/>
      <c r="D945" s="15"/>
      <c r="E945" s="15"/>
      <c r="F945" s="15"/>
      <c r="G945" s="90"/>
      <c r="H945" s="15"/>
      <c r="I945" s="15"/>
      <c r="J945" s="15"/>
      <c r="K945" s="15"/>
      <c r="L945" s="62" t="str">
        <f t="shared" si="1"/>
        <v/>
      </c>
    </row>
    <row r="946">
      <c r="A946" s="15"/>
      <c r="B946" s="15"/>
      <c r="C946" s="15"/>
      <c r="D946" s="15"/>
      <c r="E946" s="15"/>
      <c r="F946" s="15"/>
      <c r="G946" s="90"/>
      <c r="H946" s="15"/>
      <c r="I946" s="15"/>
      <c r="J946" s="15"/>
      <c r="K946" s="15"/>
      <c r="L946" s="62" t="str">
        <f t="shared" si="1"/>
        <v/>
      </c>
    </row>
    <row r="947">
      <c r="A947" s="15"/>
      <c r="B947" s="15"/>
      <c r="C947" s="15"/>
      <c r="D947" s="15"/>
      <c r="E947" s="15"/>
      <c r="F947" s="15"/>
      <c r="G947" s="90"/>
      <c r="H947" s="15"/>
      <c r="I947" s="15"/>
      <c r="J947" s="15"/>
      <c r="K947" s="15"/>
      <c r="L947" s="62" t="str">
        <f t="shared" si="1"/>
        <v/>
      </c>
    </row>
    <row r="948">
      <c r="A948" s="15"/>
      <c r="B948" s="15"/>
      <c r="C948" s="15"/>
      <c r="D948" s="15"/>
      <c r="E948" s="15"/>
      <c r="F948" s="15"/>
      <c r="G948" s="90"/>
      <c r="H948" s="15"/>
      <c r="I948" s="15"/>
      <c r="J948" s="15"/>
      <c r="K948" s="15"/>
      <c r="L948" s="62" t="str">
        <f t="shared" si="1"/>
        <v/>
      </c>
    </row>
    <row r="949">
      <c r="A949" s="15"/>
      <c r="B949" s="15"/>
      <c r="C949" s="15"/>
      <c r="D949" s="15"/>
      <c r="E949" s="15"/>
      <c r="F949" s="15"/>
      <c r="G949" s="90"/>
      <c r="H949" s="15"/>
      <c r="I949" s="15"/>
      <c r="J949" s="15"/>
      <c r="K949" s="15"/>
      <c r="L949" s="62" t="str">
        <f t="shared" si="1"/>
        <v/>
      </c>
    </row>
    <row r="950">
      <c r="A950" s="15"/>
      <c r="B950" s="15"/>
      <c r="C950" s="15"/>
      <c r="D950" s="15"/>
      <c r="E950" s="15"/>
      <c r="F950" s="15"/>
      <c r="G950" s="90"/>
      <c r="H950" s="15"/>
      <c r="I950" s="15"/>
      <c r="J950" s="15"/>
      <c r="K950" s="15"/>
      <c r="L950" s="62" t="str">
        <f t="shared" si="1"/>
        <v/>
      </c>
    </row>
    <row r="951">
      <c r="A951" s="15"/>
      <c r="B951" s="15"/>
      <c r="C951" s="15"/>
      <c r="D951" s="15"/>
      <c r="E951" s="15"/>
      <c r="F951" s="15"/>
      <c r="G951" s="90"/>
      <c r="H951" s="15"/>
      <c r="I951" s="15"/>
      <c r="J951" s="15"/>
      <c r="K951" s="15"/>
      <c r="L951" s="62" t="str">
        <f t="shared" si="1"/>
        <v/>
      </c>
    </row>
    <row r="952">
      <c r="A952" s="15"/>
      <c r="B952" s="15"/>
      <c r="C952" s="15"/>
      <c r="D952" s="15"/>
      <c r="E952" s="15"/>
      <c r="F952" s="15"/>
      <c r="G952" s="90"/>
      <c r="H952" s="15"/>
      <c r="I952" s="15"/>
      <c r="J952" s="15"/>
      <c r="K952" s="15"/>
      <c r="L952" s="62" t="str">
        <f t="shared" si="1"/>
        <v/>
      </c>
    </row>
    <row r="953">
      <c r="A953" s="15"/>
      <c r="B953" s="15"/>
      <c r="C953" s="15"/>
      <c r="D953" s="15"/>
      <c r="E953" s="15"/>
      <c r="F953" s="15"/>
      <c r="G953" s="90"/>
      <c r="H953" s="15"/>
      <c r="I953" s="15"/>
      <c r="J953" s="15"/>
      <c r="K953" s="15"/>
      <c r="L953" s="62" t="str">
        <f t="shared" si="1"/>
        <v/>
      </c>
    </row>
    <row r="954">
      <c r="A954" s="15"/>
      <c r="B954" s="15"/>
      <c r="C954" s="15"/>
      <c r="D954" s="15"/>
      <c r="E954" s="15"/>
      <c r="F954" s="15"/>
      <c r="G954" s="90"/>
      <c r="H954" s="15"/>
      <c r="I954" s="15"/>
      <c r="J954" s="15"/>
      <c r="K954" s="15"/>
      <c r="L954" s="62" t="str">
        <f t="shared" si="1"/>
        <v/>
      </c>
    </row>
    <row r="955">
      <c r="A955" s="15"/>
      <c r="B955" s="15"/>
      <c r="C955" s="15"/>
      <c r="D955" s="15"/>
      <c r="E955" s="15"/>
      <c r="F955" s="15"/>
      <c r="G955" s="90"/>
      <c r="H955" s="15"/>
      <c r="I955" s="15"/>
      <c r="J955" s="15"/>
      <c r="K955" s="15"/>
      <c r="L955" s="62" t="str">
        <f t="shared" si="1"/>
        <v/>
      </c>
    </row>
    <row r="956">
      <c r="A956" s="15"/>
      <c r="B956" s="15"/>
      <c r="C956" s="15"/>
      <c r="D956" s="15"/>
      <c r="E956" s="15"/>
      <c r="F956" s="15"/>
      <c r="G956" s="90"/>
      <c r="H956" s="15"/>
      <c r="I956" s="15"/>
      <c r="J956" s="15"/>
      <c r="K956" s="15"/>
      <c r="L956" s="62" t="str">
        <f t="shared" si="1"/>
        <v/>
      </c>
    </row>
    <row r="957">
      <c r="A957" s="15"/>
      <c r="B957" s="15"/>
      <c r="C957" s="15"/>
      <c r="D957" s="15"/>
      <c r="E957" s="15"/>
      <c r="F957" s="15"/>
      <c r="G957" s="90"/>
      <c r="H957" s="15"/>
      <c r="I957" s="15"/>
      <c r="J957" s="15"/>
      <c r="K957" s="15"/>
      <c r="L957" s="62" t="str">
        <f t="shared" si="1"/>
        <v/>
      </c>
    </row>
    <row r="958">
      <c r="A958" s="15"/>
      <c r="B958" s="15"/>
      <c r="C958" s="15"/>
      <c r="D958" s="15"/>
      <c r="E958" s="15"/>
      <c r="F958" s="15"/>
      <c r="G958" s="90"/>
      <c r="H958" s="15"/>
      <c r="I958" s="15"/>
      <c r="J958" s="15"/>
      <c r="K958" s="15"/>
      <c r="L958" s="62" t="str">
        <f t="shared" si="1"/>
        <v/>
      </c>
    </row>
    <row r="959">
      <c r="A959" s="15"/>
      <c r="B959" s="15"/>
      <c r="C959" s="15"/>
      <c r="D959" s="15"/>
      <c r="E959" s="15"/>
      <c r="F959" s="15"/>
      <c r="G959" s="90"/>
      <c r="H959" s="15"/>
      <c r="I959" s="15"/>
      <c r="J959" s="15"/>
      <c r="K959" s="15"/>
      <c r="L959" s="62" t="str">
        <f t="shared" si="1"/>
        <v/>
      </c>
    </row>
    <row r="960">
      <c r="A960" s="15"/>
      <c r="B960" s="15"/>
      <c r="C960" s="15"/>
      <c r="D960" s="15"/>
      <c r="E960" s="15"/>
      <c r="F960" s="15"/>
      <c r="G960" s="90"/>
      <c r="H960" s="15"/>
      <c r="I960" s="15"/>
      <c r="J960" s="15"/>
      <c r="K960" s="15"/>
      <c r="L960" s="62" t="str">
        <f t="shared" si="1"/>
        <v/>
      </c>
    </row>
    <row r="961">
      <c r="A961" s="15"/>
      <c r="B961" s="15"/>
      <c r="C961" s="15"/>
      <c r="D961" s="15"/>
      <c r="E961" s="15"/>
      <c r="F961" s="15"/>
      <c r="G961" s="90"/>
      <c r="H961" s="15"/>
      <c r="I961" s="15"/>
      <c r="J961" s="15"/>
      <c r="K961" s="15"/>
      <c r="L961" s="62" t="str">
        <f t="shared" si="1"/>
        <v/>
      </c>
    </row>
    <row r="962">
      <c r="A962" s="15"/>
      <c r="B962" s="15"/>
      <c r="C962" s="15"/>
      <c r="D962" s="15"/>
      <c r="E962" s="15"/>
      <c r="F962" s="15"/>
      <c r="G962" s="90"/>
      <c r="H962" s="15"/>
      <c r="I962" s="15"/>
      <c r="J962" s="15"/>
      <c r="K962" s="15"/>
      <c r="L962" s="62" t="str">
        <f t="shared" si="1"/>
        <v/>
      </c>
    </row>
    <row r="963">
      <c r="A963" s="15"/>
      <c r="B963" s="15"/>
      <c r="C963" s="15"/>
      <c r="D963" s="15"/>
      <c r="E963" s="15"/>
      <c r="F963" s="15"/>
      <c r="G963" s="90"/>
      <c r="H963" s="15"/>
      <c r="I963" s="15"/>
      <c r="J963" s="15"/>
      <c r="K963" s="15"/>
      <c r="L963" s="62" t="str">
        <f t="shared" si="1"/>
        <v/>
      </c>
    </row>
    <row r="964">
      <c r="A964" s="15"/>
      <c r="B964" s="15"/>
      <c r="C964" s="15"/>
      <c r="D964" s="15"/>
      <c r="E964" s="15"/>
      <c r="F964" s="15"/>
      <c r="G964" s="90"/>
      <c r="H964" s="15"/>
      <c r="I964" s="15"/>
      <c r="J964" s="15"/>
      <c r="K964" s="15"/>
      <c r="L964" s="62" t="str">
        <f t="shared" si="1"/>
        <v/>
      </c>
    </row>
    <row r="965">
      <c r="A965" s="15"/>
      <c r="B965" s="15"/>
      <c r="C965" s="15"/>
      <c r="D965" s="15"/>
      <c r="E965" s="15"/>
      <c r="F965" s="15"/>
      <c r="G965" s="90"/>
      <c r="H965" s="15"/>
      <c r="I965" s="15"/>
      <c r="J965" s="15"/>
      <c r="K965" s="15"/>
      <c r="L965" s="62" t="str">
        <f t="shared" si="1"/>
        <v/>
      </c>
    </row>
    <row r="966">
      <c r="A966" s="15"/>
      <c r="B966" s="15"/>
      <c r="C966" s="15"/>
      <c r="D966" s="15"/>
      <c r="E966" s="15"/>
      <c r="F966" s="15"/>
      <c r="G966" s="90"/>
      <c r="H966" s="15"/>
      <c r="I966" s="15"/>
      <c r="J966" s="15"/>
      <c r="K966" s="15"/>
      <c r="L966" s="62" t="str">
        <f t="shared" si="1"/>
        <v/>
      </c>
    </row>
    <row r="967">
      <c r="A967" s="15"/>
      <c r="B967" s="15"/>
      <c r="C967" s="15"/>
      <c r="D967" s="15"/>
      <c r="E967" s="15"/>
      <c r="F967" s="15"/>
      <c r="G967" s="90"/>
      <c r="H967" s="15"/>
      <c r="I967" s="15"/>
      <c r="J967" s="15"/>
      <c r="K967" s="15"/>
      <c r="L967" s="62" t="str">
        <f t="shared" si="1"/>
        <v/>
      </c>
    </row>
    <row r="968">
      <c r="A968" s="15"/>
      <c r="B968" s="15"/>
      <c r="C968" s="15"/>
      <c r="D968" s="15"/>
      <c r="E968" s="15"/>
      <c r="F968" s="15"/>
      <c r="G968" s="90"/>
      <c r="H968" s="15"/>
      <c r="I968" s="15"/>
      <c r="J968" s="15"/>
      <c r="K968" s="15"/>
      <c r="L968" s="62" t="str">
        <f t="shared" si="1"/>
        <v/>
      </c>
    </row>
    <row r="969">
      <c r="A969" s="15"/>
      <c r="B969" s="15"/>
      <c r="C969" s="15"/>
      <c r="D969" s="15"/>
      <c r="E969" s="15"/>
      <c r="F969" s="15"/>
      <c r="G969" s="90"/>
      <c r="H969" s="15"/>
      <c r="I969" s="15"/>
      <c r="J969" s="15"/>
      <c r="K969" s="15"/>
      <c r="L969" s="62" t="str">
        <f t="shared" si="1"/>
        <v/>
      </c>
    </row>
    <row r="970">
      <c r="A970" s="15"/>
      <c r="B970" s="15"/>
      <c r="C970" s="15"/>
      <c r="D970" s="15"/>
      <c r="E970" s="15"/>
      <c r="F970" s="15"/>
      <c r="G970" s="90"/>
      <c r="H970" s="15"/>
      <c r="I970" s="15"/>
      <c r="J970" s="15"/>
      <c r="K970" s="15"/>
      <c r="L970" s="62" t="str">
        <f t="shared" si="1"/>
        <v/>
      </c>
    </row>
    <row r="971">
      <c r="A971" s="15"/>
      <c r="B971" s="15"/>
      <c r="C971" s="15"/>
      <c r="D971" s="15"/>
      <c r="E971" s="15"/>
      <c r="F971" s="15"/>
      <c r="G971" s="90"/>
      <c r="H971" s="15"/>
      <c r="I971" s="15"/>
      <c r="J971" s="15"/>
      <c r="K971" s="15"/>
      <c r="L971" s="62" t="str">
        <f t="shared" si="1"/>
        <v/>
      </c>
    </row>
    <row r="972">
      <c r="A972" s="15"/>
      <c r="B972" s="15"/>
      <c r="C972" s="15"/>
      <c r="D972" s="15"/>
      <c r="E972" s="15"/>
      <c r="F972" s="15"/>
      <c r="G972" s="90"/>
      <c r="H972" s="15"/>
      <c r="I972" s="15"/>
      <c r="J972" s="15"/>
      <c r="K972" s="15"/>
      <c r="L972" s="62" t="str">
        <f t="shared" si="1"/>
        <v/>
      </c>
    </row>
    <row r="973">
      <c r="A973" s="15"/>
      <c r="B973" s="15"/>
      <c r="C973" s="15"/>
      <c r="D973" s="15"/>
      <c r="E973" s="15"/>
      <c r="F973" s="15"/>
      <c r="G973" s="90"/>
      <c r="H973" s="15"/>
      <c r="I973" s="15"/>
      <c r="J973" s="15"/>
      <c r="K973" s="15"/>
      <c r="L973" s="62" t="str">
        <f t="shared" si="1"/>
        <v/>
      </c>
    </row>
    <row r="974">
      <c r="A974" s="15"/>
      <c r="B974" s="15"/>
      <c r="C974" s="15"/>
      <c r="D974" s="15"/>
      <c r="E974" s="15"/>
      <c r="F974" s="15"/>
      <c r="G974" s="90"/>
      <c r="H974" s="15"/>
      <c r="I974" s="15"/>
      <c r="J974" s="15"/>
      <c r="K974" s="15"/>
      <c r="L974" s="62" t="str">
        <f t="shared" si="1"/>
        <v/>
      </c>
    </row>
    <row r="975">
      <c r="A975" s="15"/>
      <c r="B975" s="15"/>
      <c r="C975" s="15"/>
      <c r="D975" s="15"/>
      <c r="E975" s="15"/>
      <c r="F975" s="15"/>
      <c r="G975" s="90"/>
      <c r="H975" s="15"/>
      <c r="I975" s="15"/>
      <c r="J975" s="15"/>
      <c r="K975" s="15"/>
      <c r="L975" s="62" t="str">
        <f t="shared" si="1"/>
        <v/>
      </c>
    </row>
    <row r="976">
      <c r="A976" s="15"/>
      <c r="B976" s="15"/>
      <c r="C976" s="15"/>
      <c r="D976" s="15"/>
      <c r="E976" s="15"/>
      <c r="F976" s="15"/>
      <c r="G976" s="90"/>
      <c r="H976" s="15"/>
      <c r="I976" s="15"/>
      <c r="J976" s="15"/>
      <c r="K976" s="15"/>
      <c r="L976" s="62" t="str">
        <f t="shared" si="1"/>
        <v/>
      </c>
    </row>
    <row r="977">
      <c r="A977" s="15"/>
      <c r="B977" s="15"/>
      <c r="C977" s="15"/>
      <c r="D977" s="15"/>
      <c r="E977" s="15"/>
      <c r="F977" s="15"/>
      <c r="G977" s="90"/>
      <c r="H977" s="15"/>
      <c r="I977" s="15"/>
      <c r="J977" s="15"/>
      <c r="K977" s="15"/>
      <c r="L977" s="62" t="str">
        <f t="shared" si="1"/>
        <v/>
      </c>
    </row>
    <row r="978">
      <c r="A978" s="15"/>
      <c r="B978" s="15"/>
      <c r="C978" s="15"/>
      <c r="D978" s="15"/>
      <c r="E978" s="15"/>
      <c r="F978" s="15"/>
      <c r="G978" s="90"/>
      <c r="H978" s="15"/>
      <c r="I978" s="15"/>
      <c r="J978" s="15"/>
      <c r="K978" s="15"/>
      <c r="L978" s="62" t="str">
        <f t="shared" si="1"/>
        <v/>
      </c>
    </row>
    <row r="979">
      <c r="A979" s="15"/>
      <c r="B979" s="15"/>
      <c r="C979" s="15"/>
      <c r="D979" s="15"/>
      <c r="E979" s="15"/>
      <c r="F979" s="15"/>
      <c r="G979" s="90"/>
      <c r="H979" s="15"/>
      <c r="I979" s="15"/>
      <c r="J979" s="15"/>
      <c r="K979" s="15"/>
      <c r="L979" s="62" t="str">
        <f t="shared" si="1"/>
        <v/>
      </c>
    </row>
    <row r="980">
      <c r="A980" s="15"/>
      <c r="B980" s="15"/>
      <c r="C980" s="15"/>
      <c r="D980" s="15"/>
      <c r="E980" s="15"/>
      <c r="F980" s="15"/>
      <c r="G980" s="90"/>
      <c r="H980" s="15"/>
      <c r="I980" s="15"/>
      <c r="J980" s="15"/>
      <c r="K980" s="15"/>
      <c r="L980" s="62" t="str">
        <f t="shared" si="1"/>
        <v/>
      </c>
    </row>
    <row r="981">
      <c r="A981" s="62"/>
      <c r="B981" s="15"/>
      <c r="C981" s="15"/>
      <c r="D981" s="15"/>
      <c r="E981" s="15"/>
      <c r="F981" s="15"/>
      <c r="G981" s="90"/>
      <c r="H981" s="15"/>
      <c r="I981" s="15"/>
      <c r="J981" s="15"/>
      <c r="K981" s="15"/>
      <c r="L981" s="62" t="str">
        <f t="shared" si="1"/>
        <v/>
      </c>
    </row>
    <row r="982">
      <c r="A982" s="15"/>
      <c r="B982" s="15"/>
      <c r="C982" s="15"/>
      <c r="D982" s="15"/>
      <c r="E982" s="15"/>
      <c r="F982" s="15"/>
      <c r="G982" s="90"/>
      <c r="H982" s="15"/>
      <c r="I982" s="15"/>
      <c r="J982" s="15"/>
      <c r="K982" s="15"/>
      <c r="L982" s="62" t="str">
        <f t="shared" si="1"/>
        <v/>
      </c>
    </row>
    <row r="983">
      <c r="A983" s="15"/>
      <c r="B983" s="15"/>
      <c r="C983" s="15"/>
      <c r="D983" s="15"/>
      <c r="E983" s="15"/>
      <c r="F983" s="15"/>
      <c r="G983" s="90"/>
      <c r="H983" s="15"/>
      <c r="I983" s="15"/>
      <c r="J983" s="15"/>
      <c r="K983" s="15"/>
      <c r="L983" s="62" t="str">
        <f t="shared" si="1"/>
        <v/>
      </c>
    </row>
    <row r="984">
      <c r="A984" s="15"/>
      <c r="B984" s="15"/>
      <c r="C984" s="15"/>
      <c r="D984" s="15"/>
      <c r="E984" s="15"/>
      <c r="F984" s="15"/>
      <c r="G984" s="90"/>
      <c r="H984" s="15"/>
      <c r="I984" s="15"/>
      <c r="J984" s="15"/>
      <c r="K984" s="15"/>
      <c r="L984" s="62" t="str">
        <f t="shared" si="1"/>
        <v/>
      </c>
    </row>
    <row r="985">
      <c r="A985" s="15"/>
      <c r="B985" s="15"/>
      <c r="C985" s="15"/>
      <c r="D985" s="15"/>
      <c r="E985" s="15"/>
      <c r="F985" s="15"/>
      <c r="G985" s="90"/>
      <c r="H985" s="15"/>
      <c r="I985" s="15"/>
      <c r="J985" s="15"/>
      <c r="K985" s="15"/>
      <c r="L985" s="62" t="str">
        <f t="shared" si="1"/>
        <v/>
      </c>
    </row>
    <row r="986">
      <c r="A986" s="15"/>
      <c r="B986" s="15"/>
      <c r="C986" s="15"/>
      <c r="D986" s="15"/>
      <c r="E986" s="15"/>
      <c r="F986" s="15"/>
      <c r="G986" s="90"/>
      <c r="H986" s="15"/>
      <c r="I986" s="15"/>
      <c r="J986" s="15"/>
      <c r="K986" s="15"/>
      <c r="L986" s="62" t="str">
        <f t="shared" si="1"/>
        <v/>
      </c>
    </row>
    <row r="987">
      <c r="A987" s="15"/>
      <c r="B987" s="15"/>
      <c r="C987" s="15"/>
      <c r="D987" s="15"/>
      <c r="E987" s="15"/>
      <c r="F987" s="15"/>
      <c r="G987" s="90"/>
      <c r="H987" s="15"/>
      <c r="I987" s="15"/>
      <c r="J987" s="15"/>
      <c r="K987" s="15"/>
      <c r="L987" s="62" t="str">
        <f t="shared" si="1"/>
        <v/>
      </c>
    </row>
    <row r="988">
      <c r="A988" s="15"/>
      <c r="B988" s="15"/>
      <c r="C988" s="15"/>
      <c r="D988" s="15"/>
      <c r="E988" s="15"/>
      <c r="F988" s="15"/>
      <c r="G988" s="90"/>
      <c r="H988" s="15"/>
      <c r="I988" s="15"/>
      <c r="J988" s="15"/>
      <c r="K988" s="15"/>
      <c r="L988" s="62" t="str">
        <f t="shared" si="1"/>
        <v/>
      </c>
    </row>
    <row r="989">
      <c r="A989" s="15"/>
      <c r="B989" s="15"/>
      <c r="C989" s="15"/>
      <c r="D989" s="15"/>
      <c r="E989" s="15"/>
      <c r="F989" s="15"/>
      <c r="G989" s="90"/>
      <c r="H989" s="15"/>
      <c r="I989" s="62"/>
      <c r="J989" s="15"/>
      <c r="K989" s="15"/>
      <c r="L989" s="62" t="str">
        <f t="shared" si="1"/>
        <v/>
      </c>
    </row>
    <row r="990">
      <c r="A990" s="15"/>
      <c r="B990" s="15"/>
      <c r="C990" s="15"/>
      <c r="D990" s="15"/>
      <c r="E990" s="15"/>
      <c r="F990" s="15"/>
      <c r="G990" s="90"/>
      <c r="H990" s="15"/>
      <c r="I990" s="15"/>
      <c r="J990" s="15"/>
      <c r="K990" s="15"/>
      <c r="L990" s="62" t="str">
        <f t="shared" si="1"/>
        <v/>
      </c>
    </row>
    <row r="991">
      <c r="A991" s="15"/>
      <c r="B991" s="15"/>
      <c r="C991" s="15"/>
      <c r="D991" s="15"/>
      <c r="E991" s="15"/>
      <c r="F991" s="15"/>
      <c r="G991" s="90"/>
      <c r="H991" s="15"/>
      <c r="I991" s="15"/>
      <c r="J991" s="15"/>
      <c r="K991" s="15"/>
      <c r="L991" s="62" t="str">
        <f t="shared" si="1"/>
        <v/>
      </c>
    </row>
    <row r="992">
      <c r="A992" s="15"/>
      <c r="B992" s="15"/>
      <c r="C992" s="15"/>
      <c r="D992" s="15"/>
      <c r="E992" s="15"/>
      <c r="F992" s="15"/>
      <c r="G992" s="90"/>
      <c r="H992" s="15"/>
      <c r="I992" s="15"/>
      <c r="J992" s="15"/>
      <c r="K992" s="15"/>
      <c r="L992" s="62" t="str">
        <f t="shared" si="1"/>
        <v/>
      </c>
    </row>
    <row r="993">
      <c r="A993" s="15"/>
      <c r="B993" s="15"/>
      <c r="C993" s="15"/>
      <c r="D993" s="15"/>
      <c r="E993" s="15"/>
      <c r="F993" s="15"/>
      <c r="G993" s="90"/>
      <c r="H993" s="15"/>
      <c r="I993" s="15"/>
      <c r="J993" s="15"/>
      <c r="K993" s="15"/>
      <c r="L993" s="62" t="str">
        <f t="shared" si="1"/>
        <v/>
      </c>
    </row>
    <row r="994">
      <c r="A994" s="15"/>
      <c r="B994" s="15"/>
      <c r="C994" s="15"/>
      <c r="D994" s="15"/>
      <c r="E994" s="15"/>
      <c r="F994" s="15"/>
      <c r="G994" s="90"/>
      <c r="H994" s="62"/>
      <c r="I994" s="62"/>
      <c r="J994" s="15"/>
      <c r="K994" s="15"/>
      <c r="L994" s="62" t="str">
        <f t="shared" si="1"/>
        <v/>
      </c>
    </row>
    <row r="995">
      <c r="A995" s="15"/>
      <c r="B995" s="15"/>
      <c r="C995" s="15"/>
      <c r="D995" s="15"/>
      <c r="E995" s="15"/>
      <c r="F995" s="15"/>
      <c r="G995" s="90"/>
      <c r="H995" s="15"/>
      <c r="I995" s="15"/>
      <c r="J995" s="15"/>
      <c r="K995" s="15"/>
      <c r="L995" s="62" t="str">
        <f t="shared" si="1"/>
        <v/>
      </c>
    </row>
    <row r="996">
      <c r="A996" s="15"/>
      <c r="B996" s="15"/>
      <c r="C996" s="15"/>
      <c r="D996" s="15"/>
      <c r="E996" s="15"/>
      <c r="F996" s="15"/>
      <c r="G996" s="90"/>
      <c r="H996" s="15"/>
      <c r="I996" s="15"/>
      <c r="J996" s="15"/>
      <c r="K996" s="15"/>
      <c r="L996" s="62" t="str">
        <f t="shared" si="1"/>
        <v/>
      </c>
    </row>
    <row r="997">
      <c r="A997" s="15"/>
      <c r="B997" s="15"/>
      <c r="C997" s="15"/>
      <c r="D997" s="15"/>
      <c r="E997" s="15"/>
      <c r="F997" s="15"/>
      <c r="G997" s="90"/>
      <c r="H997" s="15"/>
      <c r="I997" s="15"/>
      <c r="J997" s="15"/>
      <c r="K997" s="15"/>
      <c r="L997" s="62" t="str">
        <f t="shared" si="1"/>
        <v/>
      </c>
    </row>
    <row r="998">
      <c r="A998" s="15"/>
      <c r="B998" s="15"/>
      <c r="C998" s="15"/>
      <c r="D998" s="15"/>
      <c r="E998" s="15"/>
      <c r="F998" s="15"/>
      <c r="G998" s="90"/>
      <c r="H998" s="15"/>
      <c r="I998" s="15"/>
      <c r="J998" s="15"/>
      <c r="K998" s="15"/>
      <c r="L998" s="62" t="str">
        <f t="shared" si="1"/>
        <v/>
      </c>
    </row>
    <row r="999">
      <c r="A999" s="15"/>
      <c r="B999" s="15"/>
      <c r="C999" s="15"/>
      <c r="D999" s="15"/>
      <c r="E999" s="15"/>
      <c r="F999" s="15"/>
      <c r="G999" s="90"/>
      <c r="H999" s="15"/>
      <c r="I999" s="15"/>
      <c r="J999" s="15"/>
      <c r="K999" s="15"/>
      <c r="L999" s="62" t="str">
        <f t="shared" si="1"/>
        <v/>
      </c>
    </row>
    <row r="1000">
      <c r="A1000" s="15"/>
      <c r="B1000" s="15"/>
      <c r="C1000" s="15"/>
      <c r="D1000" s="15"/>
      <c r="E1000" s="15"/>
      <c r="F1000" s="15"/>
      <c r="G1000" s="90"/>
      <c r="H1000" s="15"/>
      <c r="I1000" s="15"/>
      <c r="J1000" s="15"/>
      <c r="K1000" s="15"/>
      <c r="L1000" s="62" t="str">
        <f t="shared" si="1"/>
        <v/>
      </c>
    </row>
    <row r="1001">
      <c r="A1001" s="17"/>
      <c r="B1001" s="17"/>
      <c r="C1001" s="15"/>
      <c r="D1001" s="17"/>
      <c r="E1001" s="17"/>
      <c r="F1001" s="17"/>
      <c r="G1001" s="91"/>
      <c r="H1001" s="17"/>
      <c r="I1001" s="17"/>
      <c r="J1001" s="17"/>
      <c r="K1001" s="17"/>
      <c r="L1001" s="62" t="str">
        <f t="shared" si="1"/>
        <v/>
      </c>
      <c r="N1001" s="67"/>
    </row>
  </sheetData>
  <conditionalFormatting sqref="A2:L1001">
    <cfRule type="expression" dxfId="0" priority="1">
      <formula>ISEVEN(ROW())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5"/>
    <col customWidth="1" min="2" max="2" width="14.75"/>
    <col customWidth="1" min="3" max="3" width="13.0"/>
    <col customWidth="1" min="4" max="4" width="13.38"/>
    <col customWidth="1" min="5" max="5" width="13.5"/>
    <col customWidth="1" min="6" max="6" width="16.5"/>
    <col customWidth="1" min="7" max="7" width="24.13"/>
    <col customWidth="1" min="8" max="8" width="19.88"/>
    <col hidden="1" min="15" max="26" width="12.63"/>
  </cols>
  <sheetData>
    <row r="1">
      <c r="A1" s="1" t="s">
        <v>92</v>
      </c>
      <c r="K1" s="92"/>
      <c r="L1" s="92"/>
      <c r="M1" s="92"/>
      <c r="N1" s="92"/>
    </row>
    <row r="2">
      <c r="A2" s="93"/>
      <c r="B2" s="93"/>
      <c r="C2" s="93"/>
      <c r="D2" s="93"/>
      <c r="E2" s="93"/>
      <c r="F2" s="93"/>
      <c r="G2" s="93"/>
      <c r="H2" s="93"/>
      <c r="I2" s="94"/>
      <c r="J2" s="94"/>
      <c r="K2" s="95"/>
      <c r="L2" s="95"/>
      <c r="M2" s="95"/>
      <c r="N2" s="95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>
      <c r="A3" s="96" t="s">
        <v>7</v>
      </c>
      <c r="C3" s="93"/>
      <c r="D3" s="96" t="s">
        <v>9</v>
      </c>
      <c r="F3" s="93"/>
      <c r="G3" s="97" t="s">
        <v>93</v>
      </c>
      <c r="I3" s="94"/>
      <c r="J3" s="94"/>
      <c r="K3" s="98"/>
      <c r="N3" s="95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>
      <c r="A4" s="99"/>
      <c r="C4" s="93"/>
      <c r="D4" s="100" t="str">
        <f>IFERROR(VLOOKUP($A$4,'BASE OS'!A:B,2,FALSE),"")</f>
        <v/>
      </c>
      <c r="E4" s="101"/>
      <c r="F4" s="93"/>
      <c r="G4" s="102" t="s">
        <v>94</v>
      </c>
      <c r="H4" s="103">
        <f>SUM(F15:F24)+((SUM(F15:F24)*13%))</f>
        <v>0</v>
      </c>
      <c r="I4" s="94"/>
      <c r="J4" s="94"/>
      <c r="K4" s="104"/>
      <c r="L4" s="104"/>
      <c r="M4" s="104"/>
      <c r="N4" s="95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>
      <c r="A5" s="93"/>
      <c r="B5" s="93"/>
      <c r="C5" s="93"/>
      <c r="D5" s="93"/>
      <c r="E5" s="93"/>
      <c r="F5" s="93"/>
      <c r="G5" s="102" t="s">
        <v>95</v>
      </c>
      <c r="H5" s="103">
        <f>SUM(E30:E39)</f>
        <v>0</v>
      </c>
      <c r="I5" s="94"/>
      <c r="J5" s="94"/>
      <c r="K5" s="105"/>
      <c r="L5" s="95"/>
      <c r="M5" s="95"/>
      <c r="N5" s="95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>
      <c r="A6" s="96" t="s">
        <v>96</v>
      </c>
      <c r="C6" s="93"/>
      <c r="D6" s="96" t="s">
        <v>97</v>
      </c>
      <c r="F6" s="93"/>
      <c r="G6" s="102" t="s">
        <v>98</v>
      </c>
      <c r="H6" s="103">
        <f>SUM(H4:H5)</f>
        <v>0</v>
      </c>
      <c r="I6" s="94"/>
      <c r="J6" s="94"/>
      <c r="K6" s="95"/>
      <c r="L6" s="95"/>
      <c r="M6" s="95"/>
      <c r="N6" s="95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>
      <c r="A7" s="106" t="str">
        <f>IFERROR(VLOOKUP($A$4,'BASE OS'!A:C,3,FALSE),"")</f>
        <v/>
      </c>
      <c r="B7" s="101"/>
      <c r="C7" s="93"/>
      <c r="D7" s="106" t="str">
        <f>IFERROR(VLOOKUP($A$4,'BASE OS'!A:D,4,FALSE),"")</f>
        <v/>
      </c>
      <c r="E7" s="101"/>
      <c r="F7" s="93"/>
      <c r="G7" s="93"/>
      <c r="H7" s="93"/>
      <c r="I7" s="94"/>
      <c r="J7" s="94"/>
      <c r="K7" s="95"/>
      <c r="L7" s="95"/>
      <c r="M7" s="95"/>
      <c r="N7" s="95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>
      <c r="A8" s="93"/>
      <c r="B8" s="93"/>
      <c r="C8" s="93"/>
      <c r="D8" s="93"/>
      <c r="E8" s="93"/>
      <c r="F8" s="93"/>
      <c r="G8" s="93"/>
      <c r="H8" s="93"/>
      <c r="I8" s="94"/>
      <c r="J8" s="94"/>
      <c r="K8" s="95"/>
      <c r="L8" s="95"/>
      <c r="M8" s="95"/>
      <c r="N8" s="95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>
      <c r="A9" s="96" t="s">
        <v>99</v>
      </c>
      <c r="C9" s="93"/>
      <c r="D9" s="96" t="s">
        <v>26</v>
      </c>
      <c r="F9" s="93"/>
      <c r="G9" s="93"/>
      <c r="H9" s="93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>
      <c r="A10" s="106" t="str">
        <f>IFERROR(VLOOKUP($A$4,'BASE OS'!A:F,6,FALSE),"")</f>
        <v/>
      </c>
      <c r="B10" s="101"/>
      <c r="C10" s="93"/>
      <c r="D10" s="107" t="str">
        <f>IFERROR(VLOOKUP($A$4,'BASE OS'!A:G,7,FALSE),"")</f>
        <v/>
      </c>
      <c r="E10" s="101"/>
      <c r="F10" s="93"/>
      <c r="G10" s="93"/>
      <c r="H10" s="93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>
      <c r="A11" s="93"/>
      <c r="B11" s="93"/>
      <c r="C11" s="93"/>
      <c r="D11" s="93"/>
      <c r="E11" s="93"/>
      <c r="F11" s="93"/>
      <c r="G11" s="93"/>
      <c r="H11" s="93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>
      <c r="A12" s="93"/>
      <c r="B12" s="93"/>
      <c r="C12" s="93"/>
      <c r="D12" s="93"/>
      <c r="E12" s="93"/>
      <c r="F12" s="93"/>
      <c r="G12" s="93"/>
      <c r="H12" s="93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>
      <c r="A13" s="97" t="s">
        <v>100</v>
      </c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>
      <c r="A14" s="108" t="s">
        <v>101</v>
      </c>
      <c r="B14" s="108" t="s">
        <v>102</v>
      </c>
      <c r="D14" s="108" t="s">
        <v>103</v>
      </c>
      <c r="E14" s="108" t="s">
        <v>104</v>
      </c>
      <c r="F14" s="108" t="s">
        <v>105</v>
      </c>
      <c r="G14" s="108" t="s">
        <v>106</v>
      </c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>
      <c r="A15" s="109"/>
      <c r="B15" s="110"/>
      <c r="C15" s="101"/>
      <c r="D15" s="111" t="str">
        <f>IF(AND(LEN(B15)&gt;0,LEN($D$4)&gt;0),IFERROR(VLOOKUP(B15,TARIFARIO!$I$2:$J$10000,2,FALSE),"Servicio no encontrado"),"")</f>
        <v/>
      </c>
      <c r="E15" s="111"/>
      <c r="F15" s="112" t="str">
        <f t="shared" ref="F15:F20" si="1">IFERROR(IF(AND(A15=TRUE,D15&lt;&gt;""),D15+IF(E15&lt;&gt;"",E15,0),""),"")</f>
        <v/>
      </c>
      <c r="G15" s="110"/>
      <c r="H15" s="101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>
      <c r="A16" s="109"/>
      <c r="B16" s="110"/>
      <c r="C16" s="101"/>
      <c r="D16" s="111" t="str">
        <f>IF(AND(LEN(B16)&gt;0,LEN($D$4)&gt;0),IFERROR(VLOOKUP(B16,TARIFARIO!$I$2:$J$10000,2,FALSE),"Servicio no encontrado"),"")</f>
        <v/>
      </c>
      <c r="E16" s="111"/>
      <c r="F16" s="112" t="str">
        <f t="shared" si="1"/>
        <v/>
      </c>
      <c r="G16" s="110"/>
      <c r="H16" s="101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>
      <c r="A17" s="109"/>
      <c r="B17" s="110"/>
      <c r="C17" s="101"/>
      <c r="D17" s="111" t="str">
        <f>IF(AND(LEN(B17)&gt;0,LEN($D$4)&gt;0),IFERROR(VLOOKUP(B17,TARIFARIO!$I$2:$J$10000,2,FALSE),"Servicio no encontrado"),"")</f>
        <v/>
      </c>
      <c r="E17" s="112"/>
      <c r="F17" s="112" t="str">
        <f t="shared" si="1"/>
        <v/>
      </c>
      <c r="G17" s="106"/>
      <c r="H17" s="101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>
      <c r="A18" s="113"/>
      <c r="B18" s="110"/>
      <c r="C18" s="101"/>
      <c r="D18" s="111" t="str">
        <f>IF(AND(LEN(B18)&gt;0,LEN($D$4)&gt;0),IFERROR(VLOOKUP(B18,TARIFARIO!$I$2:$J$10000,2,FALSE),"Servicio no encontrado"),"")</f>
        <v/>
      </c>
      <c r="E18" s="112"/>
      <c r="F18" s="112" t="str">
        <f t="shared" si="1"/>
        <v/>
      </c>
      <c r="G18" s="106"/>
      <c r="H18" s="101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>
      <c r="A19" s="113"/>
      <c r="B19" s="110"/>
      <c r="C19" s="101"/>
      <c r="D19" s="111" t="str">
        <f>IF(AND(LEN(B19)&gt;0,LEN($D$4)&gt;0),IFERROR(VLOOKUP(B19,TARIFARIO!$I$2:$J$10000,2,FALSE),"Servicio no encontrado"),"")</f>
        <v/>
      </c>
      <c r="E19" s="112"/>
      <c r="F19" s="112" t="str">
        <f t="shared" si="1"/>
        <v/>
      </c>
      <c r="G19" s="106"/>
      <c r="H19" s="101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>
      <c r="A20" s="113"/>
      <c r="B20" s="110"/>
      <c r="C20" s="101"/>
      <c r="D20" s="111" t="str">
        <f>IF(AND(LEN(B20)&gt;0,LEN($D$4)&gt;0),IFERROR(VLOOKUP(B20,TARIFARIO!$I$2:$J$10000,2,FALSE),"Servicio no encontrado"),"")</f>
        <v/>
      </c>
      <c r="E20" s="112"/>
      <c r="F20" s="112" t="str">
        <f t="shared" si="1"/>
        <v/>
      </c>
      <c r="G20" s="106"/>
      <c r="H20" s="101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>
      <c r="A21" s="113"/>
      <c r="B21" s="110"/>
      <c r="C21" s="101"/>
      <c r="D21" s="111" t="str">
        <f>IF(AND(LEN(B21)&gt;0,LEN($D$4)&gt;0),IFERROR(VLOOKUP(B21,TARIFARIO!$I$2:$J$10000,2,FALSE),"Servicio no encontrado"),"")</f>
        <v/>
      </c>
      <c r="E21" s="112"/>
      <c r="F21" s="112"/>
      <c r="G21" s="106"/>
      <c r="H21" s="101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>
      <c r="A22" s="113"/>
      <c r="B22" s="110"/>
      <c r="C22" s="101"/>
      <c r="D22" s="111" t="str">
        <f>IF(AND(LEN(B22)&gt;0,LEN($D$4)&gt;0),IFERROR(VLOOKUP(B22,TARIFARIO!$I$2:$J$10000,2,FALSE),"Servicio no encontrado"),"")</f>
        <v/>
      </c>
      <c r="E22" s="112"/>
      <c r="F22" s="112"/>
      <c r="G22" s="106"/>
      <c r="H22" s="101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>
      <c r="A23" s="113"/>
      <c r="B23" s="110"/>
      <c r="C23" s="101"/>
      <c r="D23" s="111" t="str">
        <f>IF(AND(LEN(B23)&gt;0,LEN($D$4)&gt;0),IFERROR(VLOOKUP(B23,TARIFARIO!$I$2:$J$10000,2,FALSE),"Servicio no encontrado"),"")</f>
        <v/>
      </c>
      <c r="E23" s="112"/>
      <c r="F23" s="112"/>
      <c r="G23" s="106"/>
      <c r="H23" s="101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>
      <c r="A24" s="113"/>
      <c r="B24" s="110"/>
      <c r="C24" s="101"/>
      <c r="D24" s="111" t="str">
        <f>IF(AND(LEN(B24)&gt;0,LEN($D$4)&gt;0),IFERROR(VLOOKUP(B24,TARIFARIO!$I$2:$J$10000,2,FALSE),"Servicio no encontrado"),"")</f>
        <v/>
      </c>
      <c r="E24" s="112"/>
      <c r="F24" s="112" t="str">
        <f>IFERROR(IF(AND(A24=TRUE,D24&lt;&gt;""),D24+IF(E24&lt;&gt;"",E24,0),""),"")</f>
        <v/>
      </c>
      <c r="G24" s="106"/>
      <c r="H24" s="101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>
      <c r="A25" s="114" t="s">
        <v>107</v>
      </c>
      <c r="B25" s="106"/>
      <c r="C25" s="101"/>
      <c r="D25" s="112" t="str">
        <f t="shared" ref="D25:F25" si="2">IF(SUM(D15:D24)=0,"",SUM(D15:D24))</f>
        <v/>
      </c>
      <c r="E25" s="112" t="str">
        <f t="shared" si="2"/>
        <v/>
      </c>
      <c r="F25" s="112" t="str">
        <f t="shared" si="2"/>
        <v/>
      </c>
      <c r="G25" s="106"/>
      <c r="H25" s="101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>
      <c r="A26" s="93"/>
      <c r="B26" s="93"/>
      <c r="C26" s="93"/>
      <c r="D26" s="93"/>
      <c r="E26" s="93"/>
      <c r="F26" s="93"/>
      <c r="G26" s="93"/>
      <c r="H26" s="93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>
      <c r="A27" s="93"/>
      <c r="B27" s="93"/>
      <c r="C27" s="93"/>
      <c r="D27" s="93"/>
      <c r="E27" s="93"/>
      <c r="F27" s="93"/>
      <c r="G27" s="93"/>
      <c r="H27" s="93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>
      <c r="A28" s="97" t="s">
        <v>108</v>
      </c>
      <c r="G28" s="93"/>
      <c r="H28" s="93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>
      <c r="A29" s="108" t="str">
        <f>IFERROR(__xludf.DUMMYFUNCTION("QUERY('BASE TRANSFERENCIAS'!A:L,""SELECT I,D,E,F,G,H WHERE A= '""&amp;$A$4&amp;""' ORDER BY I DESC"",1)"),"#REF!")</f>
        <v>#REF!</v>
      </c>
      <c r="B29" s="108"/>
      <c r="C29" s="108"/>
      <c r="D29" s="108"/>
      <c r="E29" s="108"/>
      <c r="F29" s="108"/>
      <c r="G29" s="93"/>
      <c r="H29" s="93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>
      <c r="A30" s="115"/>
      <c r="B30" s="115"/>
      <c r="C30" s="116"/>
      <c r="D30" s="115"/>
      <c r="E30" s="117"/>
      <c r="F30" s="115"/>
      <c r="G30" s="93"/>
      <c r="H30" s="93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>
      <c r="A31" s="115"/>
      <c r="B31" s="115"/>
      <c r="C31" s="116"/>
      <c r="D31" s="115"/>
      <c r="E31" s="117"/>
      <c r="F31" s="115"/>
      <c r="G31" s="93"/>
      <c r="H31" s="93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>
      <c r="A32" s="115"/>
      <c r="B32" s="115"/>
      <c r="C32" s="116"/>
      <c r="D32" s="115"/>
      <c r="E32" s="117"/>
      <c r="F32" s="115"/>
      <c r="G32" s="93"/>
      <c r="H32" s="93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>
      <c r="A33" s="115"/>
      <c r="B33" s="115"/>
      <c r="C33" s="116"/>
      <c r="D33" s="115"/>
      <c r="E33" s="117"/>
      <c r="F33" s="115"/>
      <c r="G33" s="93"/>
      <c r="H33" s="93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>
      <c r="A34" s="115"/>
      <c r="B34" s="115"/>
      <c r="C34" s="116"/>
      <c r="D34" s="115"/>
      <c r="E34" s="117"/>
      <c r="F34" s="115"/>
      <c r="G34" s="93"/>
      <c r="H34" s="93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>
      <c r="A35" s="115"/>
      <c r="B35" s="115"/>
      <c r="C35" s="116"/>
      <c r="D35" s="115"/>
      <c r="E35" s="117"/>
      <c r="F35" s="115"/>
      <c r="G35" s="93"/>
      <c r="H35" s="93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>
      <c r="A36" s="115"/>
      <c r="B36" s="115"/>
      <c r="C36" s="116"/>
      <c r="D36" s="115"/>
      <c r="E36" s="117"/>
      <c r="F36" s="115"/>
      <c r="G36" s="93"/>
      <c r="H36" s="93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>
      <c r="A37" s="115"/>
      <c r="B37" s="115"/>
      <c r="C37" s="116"/>
      <c r="D37" s="115"/>
      <c r="E37" s="117"/>
      <c r="F37" s="115"/>
      <c r="G37" s="118"/>
      <c r="H37" s="118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>
      <c r="A38" s="115"/>
      <c r="B38" s="115"/>
      <c r="C38" s="116"/>
      <c r="D38" s="115"/>
      <c r="E38" s="117"/>
      <c r="F38" s="115"/>
      <c r="G38" s="118"/>
      <c r="H38" s="118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>
      <c r="A39" s="115"/>
      <c r="B39" s="115"/>
      <c r="C39" s="116"/>
      <c r="D39" s="115"/>
      <c r="E39" s="117"/>
      <c r="F39" s="115"/>
      <c r="G39" s="118"/>
      <c r="H39" s="118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>
      <c r="A40" s="109" t="s">
        <v>107</v>
      </c>
      <c r="B40" s="113"/>
      <c r="C40" s="113"/>
      <c r="D40" s="113"/>
      <c r="E40" s="112">
        <f>SUM(E30:E39)</f>
        <v>0</v>
      </c>
      <c r="F40" s="113"/>
      <c r="G40" s="118"/>
      <c r="H40" s="118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>
      <c r="A41" s="118"/>
      <c r="B41" s="118"/>
      <c r="C41" s="118"/>
      <c r="D41" s="118"/>
      <c r="E41" s="118"/>
      <c r="F41" s="118"/>
      <c r="G41" s="118"/>
      <c r="H41" s="118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>
      <c r="A42" s="118"/>
      <c r="B42" s="118"/>
      <c r="C42" s="118"/>
      <c r="D42" s="118"/>
      <c r="E42" s="118"/>
      <c r="F42" s="118"/>
      <c r="G42" s="118"/>
      <c r="H42" s="118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>
      <c r="A43" s="118"/>
      <c r="B43" s="118"/>
      <c r="C43" s="118"/>
      <c r="D43" s="118"/>
      <c r="E43" s="118"/>
      <c r="F43" s="118"/>
      <c r="G43" s="118"/>
      <c r="H43" s="118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>
      <c r="A44" s="118"/>
      <c r="B44" s="118"/>
      <c r="C44" s="118"/>
      <c r="D44" s="118"/>
      <c r="E44" s="118"/>
      <c r="F44" s="118"/>
      <c r="G44" s="118"/>
      <c r="H44" s="118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hidden="1">
      <c r="A45" s="118"/>
      <c r="B45" s="118"/>
      <c r="C45" s="118"/>
      <c r="D45" s="118"/>
      <c r="E45" s="118"/>
      <c r="F45" s="118"/>
      <c r="G45" s="118"/>
      <c r="H45" s="118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hidden="1">
      <c r="A46" s="118"/>
      <c r="B46" s="118"/>
      <c r="C46" s="118"/>
      <c r="D46" s="118"/>
      <c r="E46" s="118"/>
      <c r="F46" s="118"/>
      <c r="G46" s="118"/>
      <c r="H46" s="118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hidden="1">
      <c r="A47" s="118"/>
      <c r="B47" s="118"/>
      <c r="C47" s="118"/>
      <c r="D47" s="118"/>
      <c r="E47" s="118"/>
      <c r="F47" s="118"/>
      <c r="G47" s="118"/>
      <c r="H47" s="118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hidden="1">
      <c r="A48" s="118"/>
      <c r="B48" s="118"/>
      <c r="C48" s="118"/>
      <c r="D48" s="118"/>
      <c r="E48" s="118"/>
      <c r="F48" s="118"/>
      <c r="G48" s="118"/>
      <c r="H48" s="118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hidden="1">
      <c r="A49" s="118"/>
      <c r="B49" s="118"/>
      <c r="C49" s="118"/>
      <c r="D49" s="118"/>
      <c r="E49" s="118"/>
      <c r="F49" s="118"/>
      <c r="G49" s="118"/>
      <c r="H49" s="118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hidden="1">
      <c r="A50" s="118"/>
      <c r="B50" s="118"/>
      <c r="C50" s="118"/>
      <c r="D50" s="118"/>
      <c r="E50" s="118"/>
      <c r="F50" s="118"/>
      <c r="G50" s="118"/>
      <c r="H50" s="118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hidden="1">
      <c r="A51" s="118"/>
      <c r="B51" s="118"/>
      <c r="C51" s="118"/>
      <c r="D51" s="118"/>
      <c r="E51" s="118"/>
      <c r="F51" s="118"/>
      <c r="G51" s="118"/>
      <c r="H51" s="118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hidden="1">
      <c r="A52" s="118"/>
      <c r="B52" s="118"/>
      <c r="C52" s="118"/>
      <c r="D52" s="118"/>
      <c r="E52" s="118"/>
      <c r="F52" s="118"/>
      <c r="G52" s="118"/>
      <c r="H52" s="118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hidden="1">
      <c r="A53" s="118"/>
      <c r="B53" s="118"/>
      <c r="C53" s="118"/>
      <c r="D53" s="118"/>
      <c r="E53" s="118"/>
      <c r="F53" s="118"/>
      <c r="G53" s="118"/>
      <c r="H53" s="118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hidden="1">
      <c r="A54" s="118"/>
      <c r="B54" s="118"/>
      <c r="C54" s="118"/>
      <c r="D54" s="118"/>
      <c r="E54" s="118"/>
      <c r="F54" s="118"/>
      <c r="G54" s="118"/>
      <c r="H54" s="118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hidden="1">
      <c r="A55" s="118"/>
      <c r="B55" s="118"/>
      <c r="C55" s="118"/>
      <c r="D55" s="118"/>
      <c r="E55" s="118"/>
      <c r="F55" s="118"/>
      <c r="G55" s="118"/>
      <c r="H55" s="118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hidden="1">
      <c r="A56" s="118"/>
      <c r="B56" s="118"/>
      <c r="C56" s="118"/>
      <c r="D56" s="118"/>
      <c r="E56" s="118"/>
      <c r="F56" s="118"/>
      <c r="G56" s="118"/>
      <c r="H56" s="118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hidden="1">
      <c r="A57" s="118"/>
      <c r="B57" s="118"/>
      <c r="C57" s="118"/>
      <c r="D57" s="118"/>
      <c r="E57" s="118"/>
      <c r="F57" s="118"/>
      <c r="G57" s="118"/>
      <c r="H57" s="118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hidden="1">
      <c r="A58" s="118"/>
      <c r="B58" s="118"/>
      <c r="C58" s="118"/>
      <c r="D58" s="118"/>
      <c r="E58" s="118"/>
      <c r="F58" s="118"/>
      <c r="G58" s="118"/>
      <c r="H58" s="118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hidden="1">
      <c r="A59" s="118"/>
      <c r="B59" s="118"/>
      <c r="C59" s="118"/>
      <c r="D59" s="118"/>
      <c r="E59" s="118"/>
      <c r="F59" s="118"/>
      <c r="G59" s="118"/>
      <c r="H59" s="118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hidden="1">
      <c r="A60" s="118"/>
      <c r="B60" s="118"/>
      <c r="C60" s="118"/>
      <c r="D60" s="118"/>
      <c r="E60" s="118"/>
      <c r="F60" s="118"/>
      <c r="G60" s="118"/>
      <c r="H60" s="118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hidden="1">
      <c r="A61" s="118"/>
      <c r="B61" s="118"/>
      <c r="C61" s="118"/>
      <c r="D61" s="118"/>
      <c r="E61" s="118"/>
      <c r="F61" s="118"/>
      <c r="G61" s="118"/>
      <c r="H61" s="118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hidden="1">
      <c r="A62" s="118"/>
      <c r="B62" s="118"/>
      <c r="C62" s="118"/>
      <c r="D62" s="118"/>
      <c r="E62" s="118"/>
      <c r="F62" s="118"/>
      <c r="G62" s="118"/>
      <c r="H62" s="118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hidden="1">
      <c r="A63" s="118"/>
      <c r="B63" s="118"/>
      <c r="C63" s="118"/>
      <c r="D63" s="118"/>
      <c r="E63" s="118"/>
      <c r="F63" s="118"/>
      <c r="G63" s="118"/>
      <c r="H63" s="118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hidden="1">
      <c r="A64" s="118"/>
      <c r="B64" s="118"/>
      <c r="C64" s="118"/>
      <c r="D64" s="118"/>
      <c r="E64" s="118"/>
      <c r="F64" s="118"/>
      <c r="G64" s="118"/>
      <c r="H64" s="118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hidden="1">
      <c r="A65" s="118"/>
      <c r="B65" s="118"/>
      <c r="C65" s="118"/>
      <c r="D65" s="118"/>
      <c r="E65" s="118"/>
      <c r="F65" s="118"/>
      <c r="G65" s="118"/>
      <c r="H65" s="118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hidden="1">
      <c r="A66" s="118"/>
      <c r="B66" s="118"/>
      <c r="C66" s="118"/>
      <c r="D66" s="118"/>
      <c r="E66" s="118"/>
      <c r="F66" s="118"/>
      <c r="G66" s="118"/>
      <c r="H66" s="118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hidden="1">
      <c r="A67" s="118"/>
      <c r="B67" s="118"/>
      <c r="C67" s="118"/>
      <c r="D67" s="118"/>
      <c r="E67" s="118"/>
      <c r="F67" s="118"/>
      <c r="G67" s="118"/>
      <c r="H67" s="118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hidden="1">
      <c r="A68" s="118"/>
      <c r="B68" s="118"/>
      <c r="C68" s="118"/>
      <c r="D68" s="118"/>
      <c r="E68" s="118"/>
      <c r="F68" s="118"/>
      <c r="G68" s="118"/>
      <c r="H68" s="118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hidden="1">
      <c r="A69" s="118"/>
      <c r="B69" s="118"/>
      <c r="C69" s="118"/>
      <c r="D69" s="118"/>
      <c r="E69" s="118"/>
      <c r="F69" s="118"/>
      <c r="G69" s="118"/>
      <c r="H69" s="118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hidden="1">
      <c r="A70" s="118"/>
      <c r="B70" s="118"/>
      <c r="C70" s="118"/>
      <c r="D70" s="118"/>
      <c r="E70" s="118"/>
      <c r="F70" s="118"/>
      <c r="G70" s="118"/>
      <c r="H70" s="118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hidden="1">
      <c r="A71" s="118"/>
      <c r="B71" s="118"/>
      <c r="C71" s="118"/>
      <c r="D71" s="118"/>
      <c r="E71" s="118"/>
      <c r="F71" s="118"/>
      <c r="G71" s="118"/>
      <c r="H71" s="118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hidden="1">
      <c r="A72" s="118"/>
      <c r="B72" s="118"/>
      <c r="C72" s="118"/>
      <c r="D72" s="118"/>
      <c r="E72" s="118"/>
      <c r="F72" s="118"/>
      <c r="G72" s="118"/>
      <c r="H72" s="118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hidden="1">
      <c r="A73" s="118"/>
      <c r="B73" s="118"/>
      <c r="C73" s="118"/>
      <c r="D73" s="118"/>
      <c r="E73" s="118"/>
      <c r="F73" s="118"/>
      <c r="G73" s="118"/>
      <c r="H73" s="118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hidden="1">
      <c r="A74" s="118"/>
      <c r="B74" s="118"/>
      <c r="C74" s="118"/>
      <c r="D74" s="118"/>
      <c r="E74" s="118"/>
      <c r="F74" s="118"/>
      <c r="G74" s="118"/>
      <c r="H74" s="118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hidden="1">
      <c r="A75" s="118"/>
      <c r="B75" s="118"/>
      <c r="C75" s="118"/>
      <c r="D75" s="118"/>
      <c r="E75" s="118"/>
      <c r="F75" s="118"/>
      <c r="G75" s="118"/>
      <c r="H75" s="118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hidden="1">
      <c r="A76" s="118"/>
      <c r="B76" s="118"/>
      <c r="C76" s="118"/>
      <c r="D76" s="118"/>
      <c r="E76" s="118"/>
      <c r="F76" s="118"/>
      <c r="G76" s="118"/>
      <c r="H76" s="118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hidden="1">
      <c r="A77" s="118"/>
      <c r="B77" s="118"/>
      <c r="C77" s="118"/>
      <c r="D77" s="118"/>
      <c r="E77" s="118"/>
      <c r="F77" s="118"/>
      <c r="G77" s="118"/>
      <c r="H77" s="118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hidden="1">
      <c r="A78" s="118"/>
      <c r="B78" s="118"/>
      <c r="C78" s="118"/>
      <c r="D78" s="118"/>
      <c r="E78" s="118"/>
      <c r="F78" s="118"/>
      <c r="G78" s="118"/>
      <c r="H78" s="118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hidden="1">
      <c r="A79" s="118"/>
      <c r="B79" s="118"/>
      <c r="C79" s="118"/>
      <c r="D79" s="118"/>
      <c r="E79" s="118"/>
      <c r="F79" s="118"/>
      <c r="G79" s="118"/>
      <c r="H79" s="118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hidden="1">
      <c r="A80" s="118"/>
      <c r="B80" s="118"/>
      <c r="C80" s="118"/>
      <c r="D80" s="118"/>
      <c r="E80" s="118"/>
      <c r="F80" s="118"/>
      <c r="G80" s="118"/>
      <c r="H80" s="118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hidden="1">
      <c r="A81" s="118"/>
      <c r="B81" s="118"/>
      <c r="C81" s="118"/>
      <c r="D81" s="118"/>
      <c r="E81" s="118"/>
      <c r="F81" s="118"/>
      <c r="G81" s="118"/>
      <c r="H81" s="118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hidden="1">
      <c r="A82" s="118"/>
      <c r="B82" s="118"/>
      <c r="C82" s="118"/>
      <c r="D82" s="118"/>
      <c r="E82" s="118"/>
      <c r="F82" s="118"/>
      <c r="G82" s="118"/>
      <c r="H82" s="118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hidden="1">
      <c r="A83" s="118"/>
      <c r="B83" s="118"/>
      <c r="C83" s="118"/>
      <c r="D83" s="118"/>
      <c r="E83" s="118"/>
      <c r="F83" s="118"/>
      <c r="G83" s="118"/>
      <c r="H83" s="118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hidden="1">
      <c r="A84" s="118"/>
      <c r="B84" s="118"/>
      <c r="C84" s="118"/>
      <c r="D84" s="118"/>
      <c r="E84" s="118"/>
      <c r="F84" s="118"/>
      <c r="G84" s="118"/>
      <c r="H84" s="118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hidden="1">
      <c r="A85" s="118"/>
      <c r="B85" s="118"/>
      <c r="C85" s="118"/>
      <c r="D85" s="118"/>
      <c r="E85" s="118"/>
      <c r="F85" s="118"/>
      <c r="G85" s="118"/>
      <c r="H85" s="118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hidden="1">
      <c r="A86" s="118"/>
      <c r="B86" s="118"/>
      <c r="C86" s="118"/>
      <c r="D86" s="118"/>
      <c r="E86" s="118"/>
      <c r="F86" s="118"/>
      <c r="G86" s="118"/>
      <c r="H86" s="118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hidden="1">
      <c r="A87" s="118"/>
      <c r="B87" s="118"/>
      <c r="C87" s="118"/>
      <c r="D87" s="118"/>
      <c r="E87" s="118"/>
      <c r="F87" s="118"/>
      <c r="G87" s="118"/>
      <c r="H87" s="118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hidden="1">
      <c r="A88" s="118"/>
      <c r="B88" s="118"/>
      <c r="C88" s="118"/>
      <c r="D88" s="118"/>
      <c r="E88" s="118"/>
      <c r="F88" s="118"/>
      <c r="G88" s="118"/>
      <c r="H88" s="118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hidden="1">
      <c r="A89" s="118"/>
      <c r="B89" s="118"/>
      <c r="C89" s="118"/>
      <c r="D89" s="118"/>
      <c r="E89" s="118"/>
      <c r="F89" s="118"/>
      <c r="G89" s="118"/>
      <c r="H89" s="118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hidden="1">
      <c r="A90" s="118"/>
      <c r="B90" s="118"/>
      <c r="C90" s="118"/>
      <c r="D90" s="118"/>
      <c r="E90" s="118"/>
      <c r="F90" s="118"/>
      <c r="G90" s="118"/>
      <c r="H90" s="118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hidden="1">
      <c r="A91" s="118"/>
      <c r="B91" s="118"/>
      <c r="C91" s="118"/>
      <c r="D91" s="118"/>
      <c r="E91" s="118"/>
      <c r="F91" s="118"/>
      <c r="G91" s="118"/>
      <c r="H91" s="118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hidden="1">
      <c r="A92" s="118"/>
      <c r="B92" s="118"/>
      <c r="C92" s="118"/>
      <c r="D92" s="118"/>
      <c r="E92" s="118"/>
      <c r="F92" s="118"/>
      <c r="G92" s="118"/>
      <c r="H92" s="118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hidden="1">
      <c r="A93" s="118"/>
      <c r="B93" s="118"/>
      <c r="C93" s="118"/>
      <c r="D93" s="118"/>
      <c r="E93" s="118"/>
      <c r="F93" s="118"/>
      <c r="G93" s="118"/>
      <c r="H93" s="118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hidden="1">
      <c r="A94" s="118"/>
      <c r="B94" s="118"/>
      <c r="C94" s="118"/>
      <c r="D94" s="118"/>
      <c r="E94" s="118"/>
      <c r="F94" s="118"/>
      <c r="G94" s="118"/>
      <c r="H94" s="118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hidden="1">
      <c r="A95" s="118"/>
      <c r="B95" s="118"/>
      <c r="C95" s="118"/>
      <c r="D95" s="118"/>
      <c r="E95" s="118"/>
      <c r="F95" s="118"/>
      <c r="G95" s="118"/>
      <c r="H95" s="118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hidden="1">
      <c r="A96" s="118"/>
      <c r="B96" s="118"/>
      <c r="C96" s="118"/>
      <c r="D96" s="118"/>
      <c r="E96" s="118"/>
      <c r="F96" s="118"/>
      <c r="G96" s="118"/>
      <c r="H96" s="118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hidden="1">
      <c r="A97" s="118"/>
      <c r="B97" s="118"/>
      <c r="C97" s="118"/>
      <c r="D97" s="118"/>
      <c r="E97" s="118"/>
      <c r="F97" s="118"/>
      <c r="G97" s="118"/>
      <c r="H97" s="118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hidden="1">
      <c r="A98" s="118"/>
      <c r="B98" s="118"/>
      <c r="C98" s="118"/>
      <c r="D98" s="118"/>
      <c r="E98" s="118"/>
      <c r="F98" s="118"/>
      <c r="G98" s="118"/>
      <c r="H98" s="118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hidden="1">
      <c r="A99" s="118"/>
      <c r="B99" s="118"/>
      <c r="C99" s="118"/>
      <c r="D99" s="118"/>
      <c r="E99" s="118"/>
      <c r="F99" s="118"/>
      <c r="G99" s="118"/>
      <c r="H99" s="118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hidden="1">
      <c r="A100" s="118"/>
      <c r="B100" s="118"/>
      <c r="C100" s="118"/>
      <c r="D100" s="118"/>
      <c r="E100" s="118"/>
      <c r="F100" s="118"/>
      <c r="G100" s="118"/>
      <c r="H100" s="118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hidden="1">
      <c r="A101" s="118"/>
      <c r="B101" s="118"/>
      <c r="C101" s="118"/>
      <c r="D101" s="118"/>
      <c r="E101" s="118"/>
      <c r="F101" s="118"/>
      <c r="G101" s="118"/>
      <c r="H101" s="118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hidden="1">
      <c r="A102" s="118"/>
      <c r="B102" s="118"/>
      <c r="C102" s="118"/>
      <c r="D102" s="118"/>
      <c r="E102" s="118"/>
      <c r="F102" s="118"/>
      <c r="G102" s="118"/>
      <c r="H102" s="118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hidden="1">
      <c r="A103" s="118"/>
      <c r="B103" s="118"/>
      <c r="C103" s="118"/>
      <c r="D103" s="118"/>
      <c r="E103" s="118"/>
      <c r="F103" s="118"/>
      <c r="G103" s="118"/>
      <c r="H103" s="118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hidden="1">
      <c r="A104" s="118"/>
      <c r="B104" s="118"/>
      <c r="C104" s="118"/>
      <c r="D104" s="118"/>
      <c r="E104" s="118"/>
      <c r="F104" s="118"/>
      <c r="G104" s="118"/>
      <c r="H104" s="118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hidden="1">
      <c r="A105" s="118"/>
      <c r="B105" s="118"/>
      <c r="C105" s="118"/>
      <c r="D105" s="118"/>
      <c r="E105" s="118"/>
      <c r="F105" s="118"/>
      <c r="G105" s="118"/>
      <c r="H105" s="118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hidden="1">
      <c r="A106" s="118"/>
      <c r="B106" s="118"/>
      <c r="C106" s="118"/>
      <c r="D106" s="118"/>
      <c r="E106" s="118"/>
      <c r="F106" s="118"/>
      <c r="G106" s="118"/>
      <c r="H106" s="118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hidden="1">
      <c r="A107" s="118"/>
      <c r="B107" s="118"/>
      <c r="C107" s="118"/>
      <c r="D107" s="118"/>
      <c r="E107" s="118"/>
      <c r="F107" s="118"/>
      <c r="G107" s="118"/>
      <c r="H107" s="118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hidden="1">
      <c r="A108" s="118"/>
      <c r="B108" s="118"/>
      <c r="C108" s="118"/>
      <c r="D108" s="118"/>
      <c r="E108" s="118"/>
      <c r="F108" s="118"/>
      <c r="G108" s="118"/>
      <c r="H108" s="118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hidden="1">
      <c r="A109" s="118"/>
      <c r="B109" s="118"/>
      <c r="C109" s="118"/>
      <c r="D109" s="118"/>
      <c r="E109" s="118"/>
      <c r="F109" s="118"/>
      <c r="G109" s="118"/>
      <c r="H109" s="118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hidden="1">
      <c r="A110" s="118"/>
      <c r="B110" s="118"/>
      <c r="C110" s="118"/>
      <c r="D110" s="118"/>
      <c r="E110" s="118"/>
      <c r="F110" s="118"/>
      <c r="G110" s="118"/>
      <c r="H110" s="118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hidden="1">
      <c r="A111" s="118"/>
      <c r="B111" s="118"/>
      <c r="C111" s="118"/>
      <c r="D111" s="118"/>
      <c r="E111" s="118"/>
      <c r="F111" s="118"/>
      <c r="G111" s="118"/>
      <c r="H111" s="118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hidden="1">
      <c r="A112" s="118"/>
      <c r="B112" s="118"/>
      <c r="C112" s="118"/>
      <c r="D112" s="118"/>
      <c r="E112" s="118"/>
      <c r="F112" s="118"/>
      <c r="G112" s="118"/>
      <c r="H112" s="118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hidden="1">
      <c r="A113" s="118"/>
      <c r="B113" s="118"/>
      <c r="C113" s="118"/>
      <c r="D113" s="118"/>
      <c r="E113" s="118"/>
      <c r="F113" s="118"/>
      <c r="G113" s="118"/>
      <c r="H113" s="118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hidden="1">
      <c r="A114" s="118"/>
      <c r="B114" s="118"/>
      <c r="C114" s="118"/>
      <c r="D114" s="118"/>
      <c r="E114" s="118"/>
      <c r="F114" s="118"/>
      <c r="G114" s="118"/>
      <c r="H114" s="118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hidden="1">
      <c r="A115" s="118"/>
      <c r="B115" s="118"/>
      <c r="C115" s="118"/>
      <c r="D115" s="118"/>
      <c r="E115" s="118"/>
      <c r="F115" s="118"/>
      <c r="G115" s="118"/>
      <c r="H115" s="118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hidden="1">
      <c r="A116" s="118"/>
      <c r="B116" s="118"/>
      <c r="C116" s="118"/>
      <c r="D116" s="118"/>
      <c r="E116" s="118"/>
      <c r="F116" s="118"/>
      <c r="G116" s="118"/>
      <c r="H116" s="118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hidden="1">
      <c r="A117" s="118"/>
      <c r="B117" s="118"/>
      <c r="C117" s="118"/>
      <c r="D117" s="118"/>
      <c r="E117" s="118"/>
      <c r="F117" s="118"/>
      <c r="G117" s="118"/>
      <c r="H117" s="118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hidden="1">
      <c r="A118" s="118"/>
      <c r="B118" s="118"/>
      <c r="C118" s="118"/>
      <c r="D118" s="118"/>
      <c r="E118" s="118"/>
      <c r="F118" s="118"/>
      <c r="G118" s="118"/>
      <c r="H118" s="118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hidden="1">
      <c r="A119" s="118"/>
      <c r="B119" s="118"/>
      <c r="C119" s="118"/>
      <c r="D119" s="118"/>
      <c r="E119" s="118"/>
      <c r="F119" s="118"/>
      <c r="G119" s="118"/>
      <c r="H119" s="118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hidden="1">
      <c r="A120" s="118"/>
      <c r="B120" s="118"/>
      <c r="C120" s="118"/>
      <c r="D120" s="118"/>
      <c r="E120" s="118"/>
      <c r="F120" s="118"/>
      <c r="G120" s="118"/>
      <c r="H120" s="118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hidden="1">
      <c r="A121" s="118"/>
      <c r="B121" s="118"/>
      <c r="C121" s="118"/>
      <c r="D121" s="118"/>
      <c r="E121" s="118"/>
      <c r="F121" s="118"/>
      <c r="G121" s="118"/>
      <c r="H121" s="118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hidden="1">
      <c r="A122" s="118"/>
      <c r="B122" s="118"/>
      <c r="C122" s="118"/>
      <c r="D122" s="118"/>
      <c r="E122" s="118"/>
      <c r="F122" s="118"/>
      <c r="G122" s="118"/>
      <c r="H122" s="118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hidden="1">
      <c r="A123" s="118"/>
      <c r="B123" s="118"/>
      <c r="C123" s="118"/>
      <c r="D123" s="118"/>
      <c r="E123" s="118"/>
      <c r="F123" s="118"/>
      <c r="G123" s="118"/>
      <c r="H123" s="118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hidden="1">
      <c r="A124" s="118"/>
      <c r="B124" s="118"/>
      <c r="C124" s="118"/>
      <c r="D124" s="118"/>
      <c r="E124" s="118"/>
      <c r="F124" s="118"/>
      <c r="G124" s="118"/>
      <c r="H124" s="118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hidden="1">
      <c r="A125" s="118"/>
      <c r="B125" s="118"/>
      <c r="C125" s="118"/>
      <c r="D125" s="118"/>
      <c r="E125" s="118"/>
      <c r="F125" s="118"/>
      <c r="G125" s="118"/>
      <c r="H125" s="118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hidden="1">
      <c r="A126" s="118"/>
      <c r="B126" s="118"/>
      <c r="C126" s="118"/>
      <c r="D126" s="118"/>
      <c r="E126" s="118"/>
      <c r="F126" s="118"/>
      <c r="G126" s="118"/>
      <c r="H126" s="118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hidden="1">
      <c r="A127" s="118"/>
      <c r="B127" s="118"/>
      <c r="C127" s="118"/>
      <c r="D127" s="118"/>
      <c r="E127" s="118"/>
      <c r="F127" s="118"/>
      <c r="G127" s="118"/>
      <c r="H127" s="118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hidden="1">
      <c r="A128" s="118"/>
      <c r="B128" s="118"/>
      <c r="C128" s="118"/>
      <c r="D128" s="118"/>
      <c r="E128" s="118"/>
      <c r="F128" s="118"/>
      <c r="G128" s="118"/>
      <c r="H128" s="118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hidden="1">
      <c r="A129" s="118"/>
      <c r="B129" s="118"/>
      <c r="C129" s="118"/>
      <c r="D129" s="118"/>
      <c r="E129" s="118"/>
      <c r="F129" s="118"/>
      <c r="G129" s="118"/>
      <c r="H129" s="118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hidden="1">
      <c r="A130" s="118"/>
      <c r="B130" s="118"/>
      <c r="C130" s="118"/>
      <c r="D130" s="118"/>
      <c r="E130" s="118"/>
      <c r="F130" s="118"/>
      <c r="G130" s="118"/>
      <c r="H130" s="118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hidden="1">
      <c r="A131" s="118"/>
      <c r="B131" s="118"/>
      <c r="C131" s="118"/>
      <c r="D131" s="118"/>
      <c r="E131" s="118"/>
      <c r="F131" s="118"/>
      <c r="G131" s="118"/>
      <c r="H131" s="118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hidden="1">
      <c r="A132" s="118"/>
      <c r="B132" s="118"/>
      <c r="C132" s="118"/>
      <c r="D132" s="118"/>
      <c r="E132" s="118"/>
      <c r="F132" s="118"/>
      <c r="G132" s="118"/>
      <c r="H132" s="118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hidden="1">
      <c r="A133" s="118"/>
      <c r="B133" s="118"/>
      <c r="C133" s="118"/>
      <c r="D133" s="118"/>
      <c r="E133" s="118"/>
      <c r="F133" s="118"/>
      <c r="G133" s="118"/>
      <c r="H133" s="118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hidden="1">
      <c r="A134" s="118"/>
      <c r="B134" s="118"/>
      <c r="C134" s="118"/>
      <c r="D134" s="118"/>
      <c r="E134" s="118"/>
      <c r="F134" s="118"/>
      <c r="G134" s="118"/>
      <c r="H134" s="118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hidden="1">
      <c r="A135" s="118"/>
      <c r="B135" s="118"/>
      <c r="C135" s="118"/>
      <c r="D135" s="118"/>
      <c r="E135" s="118"/>
      <c r="F135" s="118"/>
      <c r="G135" s="118"/>
      <c r="H135" s="118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hidden="1">
      <c r="A136" s="118"/>
      <c r="B136" s="118"/>
      <c r="C136" s="118"/>
      <c r="D136" s="118"/>
      <c r="E136" s="118"/>
      <c r="F136" s="118"/>
      <c r="G136" s="118"/>
      <c r="H136" s="118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hidden="1">
      <c r="A137" s="118"/>
      <c r="B137" s="118"/>
      <c r="C137" s="118"/>
      <c r="D137" s="118"/>
      <c r="E137" s="118"/>
      <c r="F137" s="118"/>
      <c r="G137" s="118"/>
      <c r="H137" s="118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hidden="1">
      <c r="A138" s="118"/>
      <c r="B138" s="118"/>
      <c r="C138" s="118"/>
      <c r="D138" s="118"/>
      <c r="E138" s="118"/>
      <c r="F138" s="118"/>
      <c r="G138" s="118"/>
      <c r="H138" s="118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hidden="1">
      <c r="A139" s="118"/>
      <c r="B139" s="118"/>
      <c r="C139" s="118"/>
      <c r="D139" s="118"/>
      <c r="E139" s="118"/>
      <c r="F139" s="118"/>
      <c r="G139" s="118"/>
      <c r="H139" s="118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hidden="1">
      <c r="A140" s="118"/>
      <c r="B140" s="118"/>
      <c r="C140" s="118"/>
      <c r="D140" s="118"/>
      <c r="E140" s="118"/>
      <c r="F140" s="118"/>
      <c r="G140" s="118"/>
      <c r="H140" s="118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hidden="1">
      <c r="A141" s="118"/>
      <c r="B141" s="118"/>
      <c r="C141" s="118"/>
      <c r="D141" s="118"/>
      <c r="E141" s="118"/>
      <c r="F141" s="118"/>
      <c r="G141" s="118"/>
      <c r="H141" s="118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hidden="1">
      <c r="A142" s="118"/>
      <c r="B142" s="118"/>
      <c r="C142" s="118"/>
      <c r="D142" s="118"/>
      <c r="E142" s="118"/>
      <c r="F142" s="118"/>
      <c r="G142" s="118"/>
      <c r="H142" s="118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hidden="1">
      <c r="A143" s="118"/>
      <c r="B143" s="118"/>
      <c r="C143" s="118"/>
      <c r="D143" s="118"/>
      <c r="E143" s="118"/>
      <c r="F143" s="118"/>
      <c r="G143" s="118"/>
      <c r="H143" s="118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hidden="1">
      <c r="A144" s="118"/>
      <c r="B144" s="118"/>
      <c r="C144" s="118"/>
      <c r="D144" s="118"/>
      <c r="E144" s="118"/>
      <c r="F144" s="118"/>
      <c r="G144" s="118"/>
      <c r="H144" s="118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hidden="1">
      <c r="A145" s="118"/>
      <c r="B145" s="118"/>
      <c r="C145" s="118"/>
      <c r="D145" s="118"/>
      <c r="E145" s="118"/>
      <c r="F145" s="118"/>
      <c r="G145" s="118"/>
      <c r="H145" s="118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hidden="1">
      <c r="A146" s="118"/>
      <c r="B146" s="118"/>
      <c r="C146" s="118"/>
      <c r="D146" s="118"/>
      <c r="E146" s="118"/>
      <c r="F146" s="118"/>
      <c r="G146" s="118"/>
      <c r="H146" s="118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hidden="1">
      <c r="A147" s="118"/>
      <c r="B147" s="118"/>
      <c r="C147" s="118"/>
      <c r="D147" s="118"/>
      <c r="E147" s="118"/>
      <c r="F147" s="118"/>
      <c r="G147" s="118"/>
      <c r="H147" s="118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hidden="1">
      <c r="A148" s="118"/>
      <c r="B148" s="118"/>
      <c r="C148" s="118"/>
      <c r="D148" s="118"/>
      <c r="E148" s="118"/>
      <c r="F148" s="118"/>
      <c r="G148" s="118"/>
      <c r="H148" s="118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hidden="1">
      <c r="A149" s="118"/>
      <c r="B149" s="118"/>
      <c r="C149" s="118"/>
      <c r="D149" s="118"/>
      <c r="E149" s="118"/>
      <c r="F149" s="118"/>
      <c r="G149" s="118"/>
      <c r="H149" s="118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hidden="1">
      <c r="A150" s="118"/>
      <c r="B150" s="118"/>
      <c r="C150" s="118"/>
      <c r="D150" s="118"/>
      <c r="E150" s="118"/>
      <c r="F150" s="118"/>
      <c r="G150" s="118"/>
      <c r="H150" s="118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hidden="1">
      <c r="A151" s="118"/>
      <c r="B151" s="118"/>
      <c r="C151" s="118"/>
      <c r="D151" s="118"/>
      <c r="E151" s="118"/>
      <c r="F151" s="118"/>
      <c r="G151" s="118"/>
      <c r="H151" s="118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hidden="1">
      <c r="A152" s="118"/>
      <c r="B152" s="118"/>
      <c r="C152" s="118"/>
      <c r="D152" s="118"/>
      <c r="E152" s="118"/>
      <c r="F152" s="118"/>
      <c r="G152" s="118"/>
      <c r="H152" s="118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hidden="1">
      <c r="A153" s="118"/>
      <c r="B153" s="118"/>
      <c r="C153" s="118"/>
      <c r="D153" s="118"/>
      <c r="E153" s="118"/>
      <c r="F153" s="118"/>
      <c r="G153" s="118"/>
      <c r="H153" s="118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hidden="1">
      <c r="A154" s="118"/>
      <c r="B154" s="118"/>
      <c r="C154" s="118"/>
      <c r="D154" s="118"/>
      <c r="E154" s="118"/>
      <c r="F154" s="118"/>
      <c r="G154" s="118"/>
      <c r="H154" s="118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hidden="1">
      <c r="A155" s="118"/>
      <c r="B155" s="118"/>
      <c r="C155" s="118"/>
      <c r="D155" s="118"/>
      <c r="E155" s="118"/>
      <c r="F155" s="118"/>
      <c r="G155" s="118"/>
      <c r="H155" s="118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hidden="1">
      <c r="A156" s="118"/>
      <c r="B156" s="118"/>
      <c r="C156" s="118"/>
      <c r="D156" s="118"/>
      <c r="E156" s="118"/>
      <c r="F156" s="118"/>
      <c r="G156" s="118"/>
      <c r="H156" s="118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hidden="1">
      <c r="A157" s="118"/>
      <c r="B157" s="118"/>
      <c r="C157" s="118"/>
      <c r="D157" s="118"/>
      <c r="E157" s="118"/>
      <c r="F157" s="118"/>
      <c r="G157" s="118"/>
      <c r="H157" s="118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hidden="1">
      <c r="A158" s="118"/>
      <c r="B158" s="118"/>
      <c r="C158" s="118"/>
      <c r="D158" s="118"/>
      <c r="E158" s="118"/>
      <c r="F158" s="118"/>
      <c r="G158" s="118"/>
      <c r="H158" s="118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hidden="1">
      <c r="A159" s="118"/>
      <c r="B159" s="118"/>
      <c r="C159" s="118"/>
      <c r="D159" s="118"/>
      <c r="E159" s="118"/>
      <c r="F159" s="118"/>
      <c r="G159" s="118"/>
      <c r="H159" s="118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hidden="1">
      <c r="A160" s="118"/>
      <c r="B160" s="118"/>
      <c r="C160" s="118"/>
      <c r="D160" s="118"/>
      <c r="E160" s="118"/>
      <c r="F160" s="118"/>
      <c r="G160" s="118"/>
      <c r="H160" s="118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hidden="1">
      <c r="A161" s="118"/>
      <c r="B161" s="118"/>
      <c r="C161" s="118"/>
      <c r="D161" s="118"/>
      <c r="E161" s="118"/>
      <c r="F161" s="118"/>
      <c r="G161" s="118"/>
      <c r="H161" s="118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hidden="1">
      <c r="A162" s="118"/>
      <c r="B162" s="118"/>
      <c r="C162" s="118"/>
      <c r="D162" s="118"/>
      <c r="E162" s="118"/>
      <c r="F162" s="118"/>
      <c r="G162" s="118"/>
      <c r="H162" s="118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hidden="1">
      <c r="A163" s="118"/>
      <c r="B163" s="118"/>
      <c r="C163" s="118"/>
      <c r="D163" s="118"/>
      <c r="E163" s="118"/>
      <c r="F163" s="118"/>
      <c r="G163" s="118"/>
      <c r="H163" s="118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hidden="1">
      <c r="A164" s="118"/>
      <c r="B164" s="118"/>
      <c r="C164" s="118"/>
      <c r="D164" s="118"/>
      <c r="E164" s="118"/>
      <c r="F164" s="118"/>
      <c r="G164" s="118"/>
      <c r="H164" s="118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hidden="1">
      <c r="A165" s="118"/>
      <c r="B165" s="118"/>
      <c r="C165" s="118"/>
      <c r="D165" s="118"/>
      <c r="E165" s="118"/>
      <c r="F165" s="118"/>
      <c r="G165" s="118"/>
      <c r="H165" s="118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hidden="1">
      <c r="A166" s="118"/>
      <c r="B166" s="118"/>
      <c r="C166" s="118"/>
      <c r="D166" s="118"/>
      <c r="E166" s="118"/>
      <c r="F166" s="118"/>
      <c r="G166" s="118"/>
      <c r="H166" s="118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hidden="1">
      <c r="A167" s="118"/>
      <c r="B167" s="118"/>
      <c r="C167" s="118"/>
      <c r="D167" s="118"/>
      <c r="E167" s="118"/>
      <c r="F167" s="118"/>
      <c r="G167" s="118"/>
      <c r="H167" s="118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hidden="1">
      <c r="A168" s="118"/>
      <c r="B168" s="118"/>
      <c r="C168" s="118"/>
      <c r="D168" s="118"/>
      <c r="E168" s="118"/>
      <c r="F168" s="118"/>
      <c r="G168" s="118"/>
      <c r="H168" s="118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hidden="1">
      <c r="A169" s="118"/>
      <c r="B169" s="118"/>
      <c r="C169" s="118"/>
      <c r="D169" s="118"/>
      <c r="E169" s="118"/>
      <c r="F169" s="118"/>
      <c r="G169" s="118"/>
      <c r="H169" s="118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hidden="1">
      <c r="A170" s="118"/>
      <c r="B170" s="118"/>
      <c r="C170" s="118"/>
      <c r="D170" s="118"/>
      <c r="E170" s="118"/>
      <c r="F170" s="118"/>
      <c r="G170" s="118"/>
      <c r="H170" s="118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hidden="1">
      <c r="A171" s="118"/>
      <c r="B171" s="118"/>
      <c r="C171" s="118"/>
      <c r="D171" s="118"/>
      <c r="E171" s="118"/>
      <c r="F171" s="118"/>
      <c r="G171" s="118"/>
      <c r="H171" s="118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hidden="1">
      <c r="A172" s="118"/>
      <c r="B172" s="118"/>
      <c r="C172" s="118"/>
      <c r="D172" s="118"/>
      <c r="E172" s="118"/>
      <c r="F172" s="118"/>
      <c r="G172" s="118"/>
      <c r="H172" s="118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hidden="1">
      <c r="A173" s="118"/>
      <c r="B173" s="118"/>
      <c r="C173" s="118"/>
      <c r="D173" s="118"/>
      <c r="E173" s="118"/>
      <c r="F173" s="118"/>
      <c r="G173" s="118"/>
      <c r="H173" s="118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hidden="1">
      <c r="A174" s="118"/>
      <c r="B174" s="118"/>
      <c r="C174" s="118"/>
      <c r="D174" s="118"/>
      <c r="E174" s="118"/>
      <c r="F174" s="118"/>
      <c r="G174" s="118"/>
      <c r="H174" s="118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hidden="1">
      <c r="A175" s="118"/>
      <c r="B175" s="118"/>
      <c r="C175" s="118"/>
      <c r="D175" s="118"/>
      <c r="E175" s="118"/>
      <c r="F175" s="118"/>
      <c r="G175" s="118"/>
      <c r="H175" s="118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hidden="1">
      <c r="A176" s="118"/>
      <c r="B176" s="118"/>
      <c r="C176" s="118"/>
      <c r="D176" s="118"/>
      <c r="E176" s="118"/>
      <c r="F176" s="118"/>
      <c r="G176" s="118"/>
      <c r="H176" s="118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hidden="1">
      <c r="A177" s="118"/>
      <c r="B177" s="118"/>
      <c r="C177" s="118"/>
      <c r="D177" s="118"/>
      <c r="E177" s="118"/>
      <c r="F177" s="118"/>
      <c r="G177" s="118"/>
      <c r="H177" s="118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hidden="1">
      <c r="A178" s="118"/>
      <c r="B178" s="118"/>
      <c r="C178" s="118"/>
      <c r="D178" s="118"/>
      <c r="E178" s="118"/>
      <c r="F178" s="118"/>
      <c r="G178" s="118"/>
      <c r="H178" s="118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hidden="1">
      <c r="A179" s="118"/>
      <c r="B179" s="118"/>
      <c r="C179" s="118"/>
      <c r="D179" s="118"/>
      <c r="E179" s="118"/>
      <c r="F179" s="118"/>
      <c r="G179" s="118"/>
      <c r="H179" s="118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hidden="1">
      <c r="A180" s="118"/>
      <c r="B180" s="118"/>
      <c r="C180" s="118"/>
      <c r="D180" s="118"/>
      <c r="E180" s="118"/>
      <c r="F180" s="118"/>
      <c r="G180" s="118"/>
      <c r="H180" s="118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hidden="1">
      <c r="A181" s="118"/>
      <c r="B181" s="118"/>
      <c r="C181" s="118"/>
      <c r="D181" s="118"/>
      <c r="E181" s="118"/>
      <c r="F181" s="118"/>
      <c r="G181" s="118"/>
      <c r="H181" s="118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hidden="1">
      <c r="A182" s="118"/>
      <c r="B182" s="118"/>
      <c r="C182" s="118"/>
      <c r="D182" s="118"/>
      <c r="E182" s="118"/>
      <c r="F182" s="118"/>
      <c r="G182" s="118"/>
      <c r="H182" s="118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hidden="1">
      <c r="A183" s="118"/>
      <c r="B183" s="118"/>
      <c r="C183" s="118"/>
      <c r="D183" s="118"/>
      <c r="E183" s="118"/>
      <c r="F183" s="118"/>
      <c r="G183" s="118"/>
      <c r="H183" s="118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hidden="1">
      <c r="A184" s="118"/>
      <c r="B184" s="118"/>
      <c r="C184" s="118"/>
      <c r="D184" s="118"/>
      <c r="E184" s="118"/>
      <c r="F184" s="118"/>
      <c r="G184" s="118"/>
      <c r="H184" s="118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hidden="1">
      <c r="A185" s="118"/>
      <c r="B185" s="118"/>
      <c r="C185" s="118"/>
      <c r="D185" s="118"/>
      <c r="E185" s="118"/>
      <c r="F185" s="118"/>
      <c r="G185" s="118"/>
      <c r="H185" s="118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hidden="1">
      <c r="A186" s="118"/>
      <c r="B186" s="118"/>
      <c r="C186" s="118"/>
      <c r="D186" s="118"/>
      <c r="E186" s="118"/>
      <c r="F186" s="118"/>
      <c r="G186" s="118"/>
      <c r="H186" s="118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hidden="1">
      <c r="A187" s="118"/>
      <c r="B187" s="118"/>
      <c r="C187" s="118"/>
      <c r="D187" s="118"/>
      <c r="E187" s="118"/>
      <c r="F187" s="118"/>
      <c r="G187" s="118"/>
      <c r="H187" s="118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hidden="1">
      <c r="A188" s="118"/>
      <c r="B188" s="118"/>
      <c r="C188" s="118"/>
      <c r="D188" s="118"/>
      <c r="E188" s="118"/>
      <c r="F188" s="118"/>
      <c r="G188" s="118"/>
      <c r="H188" s="118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hidden="1">
      <c r="A189" s="118"/>
      <c r="B189" s="118"/>
      <c r="C189" s="118"/>
      <c r="D189" s="118"/>
      <c r="E189" s="118"/>
      <c r="F189" s="118"/>
      <c r="G189" s="118"/>
      <c r="H189" s="118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hidden="1">
      <c r="A190" s="118"/>
      <c r="B190" s="118"/>
      <c r="C190" s="118"/>
      <c r="D190" s="118"/>
      <c r="E190" s="118"/>
      <c r="F190" s="118"/>
      <c r="G190" s="118"/>
      <c r="H190" s="118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hidden="1">
      <c r="A191" s="118"/>
      <c r="B191" s="118"/>
      <c r="C191" s="118"/>
      <c r="D191" s="118"/>
      <c r="E191" s="118"/>
      <c r="F191" s="118"/>
      <c r="G191" s="118"/>
      <c r="H191" s="118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hidden="1">
      <c r="A192" s="118"/>
      <c r="B192" s="118"/>
      <c r="C192" s="118"/>
      <c r="D192" s="118"/>
      <c r="E192" s="118"/>
      <c r="F192" s="118"/>
      <c r="G192" s="118"/>
      <c r="H192" s="118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hidden="1">
      <c r="A193" s="118"/>
      <c r="B193" s="118"/>
      <c r="C193" s="118"/>
      <c r="D193" s="118"/>
      <c r="E193" s="118"/>
      <c r="F193" s="118"/>
      <c r="G193" s="118"/>
      <c r="H193" s="118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hidden="1">
      <c r="A194" s="118"/>
      <c r="B194" s="118"/>
      <c r="C194" s="118"/>
      <c r="D194" s="118"/>
      <c r="E194" s="118"/>
      <c r="F194" s="118"/>
      <c r="G194" s="118"/>
      <c r="H194" s="118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hidden="1">
      <c r="A195" s="118"/>
      <c r="B195" s="118"/>
      <c r="C195" s="118"/>
      <c r="D195" s="118"/>
      <c r="E195" s="118"/>
      <c r="F195" s="118"/>
      <c r="G195" s="118"/>
      <c r="H195" s="118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hidden="1">
      <c r="A196" s="118"/>
      <c r="B196" s="118"/>
      <c r="C196" s="118"/>
      <c r="D196" s="118"/>
      <c r="E196" s="118"/>
      <c r="F196" s="118"/>
      <c r="G196" s="118"/>
      <c r="H196" s="118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hidden="1">
      <c r="A197" s="118"/>
      <c r="B197" s="118"/>
      <c r="C197" s="118"/>
      <c r="D197" s="118"/>
      <c r="E197" s="118"/>
      <c r="F197" s="118"/>
      <c r="G197" s="118"/>
      <c r="H197" s="118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hidden="1">
      <c r="A198" s="118"/>
      <c r="B198" s="118"/>
      <c r="C198" s="118"/>
      <c r="D198" s="118"/>
      <c r="E198" s="118"/>
      <c r="F198" s="118"/>
      <c r="G198" s="118"/>
      <c r="H198" s="118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hidden="1">
      <c r="A199" s="118"/>
      <c r="B199" s="118"/>
      <c r="C199" s="118"/>
      <c r="D199" s="118"/>
      <c r="E199" s="118"/>
      <c r="F199" s="118"/>
      <c r="G199" s="118"/>
      <c r="H199" s="118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hidden="1">
      <c r="A200" s="118"/>
      <c r="B200" s="118"/>
      <c r="C200" s="118"/>
      <c r="D200" s="118"/>
      <c r="E200" s="118"/>
      <c r="F200" s="118"/>
      <c r="G200" s="118"/>
      <c r="H200" s="118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hidden="1">
      <c r="A201" s="118"/>
      <c r="B201" s="118"/>
      <c r="C201" s="118"/>
      <c r="D201" s="118"/>
      <c r="E201" s="118"/>
      <c r="F201" s="118"/>
      <c r="G201" s="118"/>
      <c r="H201" s="118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hidden="1">
      <c r="A202" s="118"/>
      <c r="B202" s="118"/>
      <c r="C202" s="118"/>
      <c r="D202" s="118"/>
      <c r="E202" s="118"/>
      <c r="F202" s="118"/>
      <c r="G202" s="118"/>
      <c r="H202" s="118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hidden="1">
      <c r="A203" s="118"/>
      <c r="B203" s="118"/>
      <c r="C203" s="118"/>
      <c r="D203" s="118"/>
      <c r="E203" s="118"/>
      <c r="F203" s="118"/>
      <c r="G203" s="118"/>
      <c r="H203" s="118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hidden="1">
      <c r="A204" s="118"/>
      <c r="B204" s="118"/>
      <c r="C204" s="118"/>
      <c r="D204" s="118"/>
      <c r="E204" s="118"/>
      <c r="F204" s="118"/>
      <c r="G204" s="118"/>
      <c r="H204" s="118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hidden="1">
      <c r="A205" s="118"/>
      <c r="B205" s="118"/>
      <c r="C205" s="118"/>
      <c r="D205" s="118"/>
      <c r="E205" s="118"/>
      <c r="F205" s="118"/>
      <c r="G205" s="118"/>
      <c r="H205" s="118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hidden="1">
      <c r="A206" s="118"/>
      <c r="B206" s="118"/>
      <c r="C206" s="118"/>
      <c r="D206" s="118"/>
      <c r="E206" s="118"/>
      <c r="F206" s="118"/>
      <c r="G206" s="118"/>
      <c r="H206" s="118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hidden="1">
      <c r="A207" s="118"/>
      <c r="B207" s="118"/>
      <c r="C207" s="118"/>
      <c r="D207" s="118"/>
      <c r="E207" s="118"/>
      <c r="F207" s="118"/>
      <c r="G207" s="118"/>
      <c r="H207" s="118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hidden="1">
      <c r="A208" s="118"/>
      <c r="B208" s="118"/>
      <c r="C208" s="118"/>
      <c r="D208" s="118"/>
      <c r="E208" s="118"/>
      <c r="F208" s="118"/>
      <c r="G208" s="118"/>
      <c r="H208" s="118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hidden="1">
      <c r="A209" s="118"/>
      <c r="B209" s="118"/>
      <c r="C209" s="118"/>
      <c r="D209" s="118"/>
      <c r="E209" s="118"/>
      <c r="F209" s="118"/>
      <c r="G209" s="118"/>
      <c r="H209" s="118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hidden="1">
      <c r="A210" s="118"/>
      <c r="B210" s="118"/>
      <c r="C210" s="118"/>
      <c r="D210" s="118"/>
      <c r="E210" s="118"/>
      <c r="F210" s="118"/>
      <c r="G210" s="118"/>
      <c r="H210" s="118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hidden="1">
      <c r="A211" s="118"/>
      <c r="B211" s="118"/>
      <c r="C211" s="118"/>
      <c r="D211" s="118"/>
      <c r="E211" s="118"/>
      <c r="F211" s="118"/>
      <c r="G211" s="118"/>
      <c r="H211" s="118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hidden="1">
      <c r="A212" s="118"/>
      <c r="B212" s="118"/>
      <c r="C212" s="118"/>
      <c r="D212" s="118"/>
      <c r="E212" s="118"/>
      <c r="F212" s="118"/>
      <c r="G212" s="118"/>
      <c r="H212" s="118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hidden="1">
      <c r="A213" s="118"/>
      <c r="B213" s="118"/>
      <c r="C213" s="118"/>
      <c r="D213" s="118"/>
      <c r="E213" s="118"/>
      <c r="F213" s="118"/>
      <c r="G213" s="118"/>
      <c r="H213" s="118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hidden="1">
      <c r="A214" s="118"/>
      <c r="B214" s="118"/>
      <c r="C214" s="118"/>
      <c r="D214" s="118"/>
      <c r="E214" s="118"/>
      <c r="F214" s="118"/>
      <c r="G214" s="118"/>
      <c r="H214" s="118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hidden="1">
      <c r="A215" s="118"/>
      <c r="B215" s="118"/>
      <c r="C215" s="118"/>
      <c r="D215" s="118"/>
      <c r="E215" s="118"/>
      <c r="F215" s="118"/>
      <c r="G215" s="118"/>
      <c r="H215" s="118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hidden="1">
      <c r="A216" s="118"/>
      <c r="B216" s="118"/>
      <c r="C216" s="118"/>
      <c r="D216" s="118"/>
      <c r="E216" s="118"/>
      <c r="F216" s="118"/>
      <c r="G216" s="118"/>
      <c r="H216" s="118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hidden="1">
      <c r="A217" s="118"/>
      <c r="B217" s="118"/>
      <c r="C217" s="118"/>
      <c r="D217" s="118"/>
      <c r="E217" s="118"/>
      <c r="F217" s="118"/>
      <c r="G217" s="118"/>
      <c r="H217" s="118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hidden="1">
      <c r="A218" s="118"/>
      <c r="B218" s="118"/>
      <c r="C218" s="118"/>
      <c r="D218" s="118"/>
      <c r="E218" s="118"/>
      <c r="F218" s="118"/>
      <c r="G218" s="118"/>
      <c r="H218" s="118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hidden="1">
      <c r="A219" s="118"/>
      <c r="B219" s="118"/>
      <c r="C219" s="118"/>
      <c r="D219" s="118"/>
      <c r="E219" s="118"/>
      <c r="F219" s="118"/>
      <c r="G219" s="118"/>
      <c r="H219" s="118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hidden="1">
      <c r="A220" s="118"/>
      <c r="B220" s="118"/>
      <c r="C220" s="118"/>
      <c r="D220" s="118"/>
      <c r="E220" s="118"/>
      <c r="F220" s="118"/>
      <c r="G220" s="118"/>
      <c r="H220" s="118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hidden="1">
      <c r="A221" s="118"/>
      <c r="B221" s="118"/>
      <c r="C221" s="118"/>
      <c r="D221" s="118"/>
      <c r="E221" s="118"/>
      <c r="F221" s="118"/>
      <c r="G221" s="118"/>
      <c r="H221" s="118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hidden="1">
      <c r="A222" s="118"/>
      <c r="B222" s="118"/>
      <c r="C222" s="118"/>
      <c r="D222" s="118"/>
      <c r="E222" s="118"/>
      <c r="F222" s="118"/>
      <c r="G222" s="118"/>
      <c r="H222" s="118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hidden="1">
      <c r="A223" s="118"/>
      <c r="B223" s="118"/>
      <c r="C223" s="118"/>
      <c r="D223" s="118"/>
      <c r="E223" s="118"/>
      <c r="F223" s="118"/>
      <c r="G223" s="118"/>
      <c r="H223" s="118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hidden="1">
      <c r="A224" s="118"/>
      <c r="B224" s="118"/>
      <c r="C224" s="118"/>
      <c r="D224" s="118"/>
      <c r="E224" s="118"/>
      <c r="F224" s="118"/>
      <c r="G224" s="118"/>
      <c r="H224" s="118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hidden="1">
      <c r="A225" s="118"/>
      <c r="B225" s="118"/>
      <c r="C225" s="118"/>
      <c r="D225" s="118"/>
      <c r="E225" s="118"/>
      <c r="F225" s="118"/>
      <c r="G225" s="118"/>
      <c r="H225" s="118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hidden="1">
      <c r="A226" s="118"/>
      <c r="B226" s="118"/>
      <c r="C226" s="118"/>
      <c r="D226" s="118"/>
      <c r="E226" s="118"/>
      <c r="F226" s="118"/>
      <c r="G226" s="118"/>
      <c r="H226" s="118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hidden="1">
      <c r="A227" s="118"/>
      <c r="B227" s="118"/>
      <c r="C227" s="118"/>
      <c r="D227" s="118"/>
      <c r="E227" s="118"/>
      <c r="F227" s="118"/>
      <c r="G227" s="118"/>
      <c r="H227" s="118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hidden="1">
      <c r="A228" s="118"/>
      <c r="B228" s="118"/>
      <c r="C228" s="118"/>
      <c r="D228" s="118"/>
      <c r="E228" s="118"/>
      <c r="F228" s="118"/>
      <c r="G228" s="118"/>
      <c r="H228" s="118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hidden="1">
      <c r="A229" s="118"/>
      <c r="B229" s="118"/>
      <c r="C229" s="118"/>
      <c r="D229" s="118"/>
      <c r="E229" s="118"/>
      <c r="F229" s="118"/>
      <c r="G229" s="118"/>
      <c r="H229" s="118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hidden="1">
      <c r="A230" s="118"/>
      <c r="B230" s="118"/>
      <c r="C230" s="118"/>
      <c r="D230" s="118"/>
      <c r="E230" s="118"/>
      <c r="F230" s="118"/>
      <c r="G230" s="118"/>
      <c r="H230" s="118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hidden="1">
      <c r="A231" s="118"/>
      <c r="B231" s="118"/>
      <c r="C231" s="118"/>
      <c r="D231" s="118"/>
      <c r="E231" s="118"/>
      <c r="F231" s="118"/>
      <c r="G231" s="118"/>
      <c r="H231" s="118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hidden="1">
      <c r="A232" s="118"/>
      <c r="B232" s="118"/>
      <c r="C232" s="118"/>
      <c r="D232" s="118"/>
      <c r="E232" s="118"/>
      <c r="F232" s="118"/>
      <c r="G232" s="118"/>
      <c r="H232" s="118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hidden="1">
      <c r="A233" s="118"/>
      <c r="B233" s="118"/>
      <c r="C233" s="118"/>
      <c r="D233" s="118"/>
      <c r="E233" s="118"/>
      <c r="F233" s="118"/>
      <c r="G233" s="118"/>
      <c r="H233" s="118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hidden="1">
      <c r="A234" s="118"/>
      <c r="B234" s="118"/>
      <c r="C234" s="118"/>
      <c r="D234" s="118"/>
      <c r="E234" s="118"/>
      <c r="F234" s="118"/>
      <c r="G234" s="118"/>
      <c r="H234" s="118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hidden="1">
      <c r="A235" s="118"/>
      <c r="B235" s="118"/>
      <c r="C235" s="118"/>
      <c r="D235" s="118"/>
      <c r="E235" s="118"/>
      <c r="F235" s="118"/>
      <c r="G235" s="118"/>
      <c r="H235" s="118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hidden="1">
      <c r="A236" s="118"/>
      <c r="B236" s="118"/>
      <c r="C236" s="118"/>
      <c r="D236" s="118"/>
      <c r="E236" s="118"/>
      <c r="F236" s="118"/>
      <c r="G236" s="118"/>
      <c r="H236" s="118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hidden="1">
      <c r="A237" s="118"/>
      <c r="B237" s="118"/>
      <c r="C237" s="118"/>
      <c r="D237" s="118"/>
      <c r="E237" s="118"/>
      <c r="F237" s="118"/>
      <c r="G237" s="118"/>
      <c r="H237" s="118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hidden="1">
      <c r="A238" s="118"/>
      <c r="B238" s="118"/>
      <c r="C238" s="118"/>
      <c r="D238" s="118"/>
      <c r="E238" s="118"/>
      <c r="F238" s="118"/>
      <c r="G238" s="118"/>
      <c r="H238" s="118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hidden="1">
      <c r="A239" s="118"/>
      <c r="B239" s="118"/>
      <c r="C239" s="118"/>
      <c r="D239" s="118"/>
      <c r="E239" s="118"/>
      <c r="F239" s="118"/>
      <c r="G239" s="118"/>
      <c r="H239" s="118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hidden="1">
      <c r="A240" s="118"/>
      <c r="B240" s="118"/>
      <c r="C240" s="118"/>
      <c r="D240" s="118"/>
      <c r="E240" s="118"/>
      <c r="F240" s="118"/>
      <c r="G240" s="118"/>
      <c r="H240" s="118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hidden="1">
      <c r="A241" s="118"/>
      <c r="B241" s="118"/>
      <c r="C241" s="118"/>
      <c r="D241" s="118"/>
      <c r="E241" s="118"/>
      <c r="F241" s="118"/>
      <c r="G241" s="118"/>
      <c r="H241" s="118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hidden="1">
      <c r="A242" s="118"/>
      <c r="B242" s="118"/>
      <c r="C242" s="118"/>
      <c r="D242" s="118"/>
      <c r="E242" s="118"/>
      <c r="F242" s="118"/>
      <c r="G242" s="118"/>
      <c r="H242" s="118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hidden="1">
      <c r="A243" s="118"/>
      <c r="B243" s="118"/>
      <c r="C243" s="118"/>
      <c r="D243" s="118"/>
      <c r="E243" s="118"/>
      <c r="F243" s="118"/>
      <c r="G243" s="118"/>
      <c r="H243" s="118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hidden="1">
      <c r="A244" s="118"/>
      <c r="B244" s="118"/>
      <c r="C244" s="118"/>
      <c r="D244" s="118"/>
      <c r="E244" s="118"/>
      <c r="F244" s="118"/>
      <c r="G244" s="118"/>
      <c r="H244" s="118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hidden="1">
      <c r="A245" s="118"/>
      <c r="B245" s="118"/>
      <c r="C245" s="118"/>
      <c r="D245" s="118"/>
      <c r="E245" s="118"/>
      <c r="F245" s="118"/>
      <c r="G245" s="118"/>
      <c r="H245" s="118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hidden="1">
      <c r="A246" s="118"/>
      <c r="B246" s="118"/>
      <c r="C246" s="118"/>
      <c r="D246" s="118"/>
      <c r="E246" s="118"/>
      <c r="F246" s="118"/>
      <c r="G246" s="118"/>
      <c r="H246" s="118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hidden="1">
      <c r="A247" s="118"/>
      <c r="B247" s="118"/>
      <c r="C247" s="118"/>
      <c r="D247" s="118"/>
      <c r="E247" s="118"/>
      <c r="F247" s="118"/>
      <c r="G247" s="118"/>
      <c r="H247" s="118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hidden="1">
      <c r="A248" s="118"/>
      <c r="B248" s="118"/>
      <c r="C248" s="118"/>
      <c r="D248" s="118"/>
      <c r="E248" s="118"/>
      <c r="F248" s="118"/>
      <c r="G248" s="118"/>
      <c r="H248" s="118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hidden="1">
      <c r="A249" s="118"/>
      <c r="B249" s="118"/>
      <c r="C249" s="118"/>
      <c r="D249" s="118"/>
      <c r="E249" s="118"/>
      <c r="F249" s="118"/>
      <c r="G249" s="118"/>
      <c r="H249" s="118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hidden="1">
      <c r="A250" s="118"/>
      <c r="B250" s="118"/>
      <c r="C250" s="118"/>
      <c r="D250" s="118"/>
      <c r="E250" s="118"/>
      <c r="F250" s="118"/>
      <c r="G250" s="118"/>
      <c r="H250" s="118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hidden="1">
      <c r="A251" s="118"/>
      <c r="B251" s="118"/>
      <c r="C251" s="118"/>
      <c r="D251" s="118"/>
      <c r="E251" s="118"/>
      <c r="F251" s="118"/>
      <c r="G251" s="118"/>
      <c r="H251" s="118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hidden="1">
      <c r="A252" s="118"/>
      <c r="B252" s="118"/>
      <c r="C252" s="118"/>
      <c r="D252" s="118"/>
      <c r="E252" s="118"/>
      <c r="F252" s="118"/>
      <c r="G252" s="118"/>
      <c r="H252" s="118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hidden="1">
      <c r="A253" s="118"/>
      <c r="B253" s="118"/>
      <c r="C253" s="118"/>
      <c r="D253" s="118"/>
      <c r="E253" s="118"/>
      <c r="F253" s="118"/>
      <c r="G253" s="118"/>
      <c r="H253" s="118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hidden="1">
      <c r="A254" s="118"/>
      <c r="B254" s="118"/>
      <c r="C254" s="118"/>
      <c r="D254" s="118"/>
      <c r="E254" s="118"/>
      <c r="F254" s="118"/>
      <c r="G254" s="118"/>
      <c r="H254" s="118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hidden="1">
      <c r="A255" s="118"/>
      <c r="B255" s="118"/>
      <c r="C255" s="118"/>
      <c r="D255" s="118"/>
      <c r="E255" s="118"/>
      <c r="F255" s="118"/>
      <c r="G255" s="118"/>
      <c r="H255" s="118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hidden="1">
      <c r="A256" s="118"/>
      <c r="B256" s="118"/>
      <c r="C256" s="118"/>
      <c r="D256" s="118"/>
      <c r="E256" s="118"/>
      <c r="F256" s="118"/>
      <c r="G256" s="118"/>
      <c r="H256" s="118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hidden="1">
      <c r="A257" s="118"/>
      <c r="B257" s="118"/>
      <c r="C257" s="118"/>
      <c r="D257" s="118"/>
      <c r="E257" s="118"/>
      <c r="F257" s="118"/>
      <c r="G257" s="118"/>
      <c r="H257" s="118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hidden="1">
      <c r="A258" s="118"/>
      <c r="B258" s="118"/>
      <c r="C258" s="118"/>
      <c r="D258" s="118"/>
      <c r="E258" s="118"/>
      <c r="F258" s="118"/>
      <c r="G258" s="118"/>
      <c r="H258" s="118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hidden="1">
      <c r="A259" s="118"/>
      <c r="B259" s="118"/>
      <c r="C259" s="118"/>
      <c r="D259" s="118"/>
      <c r="E259" s="118"/>
      <c r="F259" s="118"/>
      <c r="G259" s="118"/>
      <c r="H259" s="118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hidden="1">
      <c r="A260" s="118"/>
      <c r="B260" s="118"/>
      <c r="C260" s="118"/>
      <c r="D260" s="118"/>
      <c r="E260" s="118"/>
      <c r="F260" s="118"/>
      <c r="G260" s="118"/>
      <c r="H260" s="118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hidden="1">
      <c r="A261" s="118"/>
      <c r="B261" s="118"/>
      <c r="C261" s="118"/>
      <c r="D261" s="118"/>
      <c r="E261" s="118"/>
      <c r="F261" s="118"/>
      <c r="G261" s="118"/>
      <c r="H261" s="118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hidden="1">
      <c r="A262" s="118"/>
      <c r="B262" s="118"/>
      <c r="C262" s="118"/>
      <c r="D262" s="118"/>
      <c r="E262" s="118"/>
      <c r="F262" s="118"/>
      <c r="G262" s="118"/>
      <c r="H262" s="118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hidden="1">
      <c r="A263" s="118"/>
      <c r="B263" s="118"/>
      <c r="C263" s="118"/>
      <c r="D263" s="118"/>
      <c r="E263" s="118"/>
      <c r="F263" s="118"/>
      <c r="G263" s="118"/>
      <c r="H263" s="118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hidden="1">
      <c r="A264" s="118"/>
      <c r="B264" s="118"/>
      <c r="C264" s="118"/>
      <c r="D264" s="118"/>
      <c r="E264" s="118"/>
      <c r="F264" s="118"/>
      <c r="G264" s="118"/>
      <c r="H264" s="118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hidden="1">
      <c r="A265" s="118"/>
      <c r="B265" s="118"/>
      <c r="C265" s="118"/>
      <c r="D265" s="118"/>
      <c r="E265" s="118"/>
      <c r="F265" s="118"/>
      <c r="G265" s="118"/>
      <c r="H265" s="118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hidden="1">
      <c r="A266" s="118"/>
      <c r="B266" s="118"/>
      <c r="C266" s="118"/>
      <c r="D266" s="118"/>
      <c r="E266" s="118"/>
      <c r="F266" s="118"/>
      <c r="G266" s="118"/>
      <c r="H266" s="118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hidden="1">
      <c r="A267" s="118"/>
      <c r="B267" s="118"/>
      <c r="C267" s="118"/>
      <c r="D267" s="118"/>
      <c r="E267" s="118"/>
      <c r="F267" s="118"/>
      <c r="G267" s="118"/>
      <c r="H267" s="118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hidden="1">
      <c r="A268" s="118"/>
      <c r="B268" s="118"/>
      <c r="C268" s="118"/>
      <c r="D268" s="118"/>
      <c r="E268" s="118"/>
      <c r="F268" s="118"/>
      <c r="G268" s="118"/>
      <c r="H268" s="118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hidden="1">
      <c r="A269" s="118"/>
      <c r="B269" s="118"/>
      <c r="C269" s="118"/>
      <c r="D269" s="118"/>
      <c r="E269" s="118"/>
      <c r="F269" s="118"/>
      <c r="G269" s="118"/>
      <c r="H269" s="118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hidden="1">
      <c r="A270" s="118"/>
      <c r="B270" s="118"/>
      <c r="C270" s="118"/>
      <c r="D270" s="118"/>
      <c r="E270" s="118"/>
      <c r="F270" s="118"/>
      <c r="G270" s="118"/>
      <c r="H270" s="118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hidden="1">
      <c r="A271" s="118"/>
      <c r="B271" s="118"/>
      <c r="C271" s="118"/>
      <c r="D271" s="118"/>
      <c r="E271" s="118"/>
      <c r="F271" s="118"/>
      <c r="G271" s="118"/>
      <c r="H271" s="118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hidden="1">
      <c r="A272" s="118"/>
      <c r="B272" s="118"/>
      <c r="C272" s="118"/>
      <c r="D272" s="118"/>
      <c r="E272" s="118"/>
      <c r="F272" s="118"/>
      <c r="G272" s="118"/>
      <c r="H272" s="118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hidden="1">
      <c r="A273" s="118"/>
      <c r="B273" s="118"/>
      <c r="C273" s="118"/>
      <c r="D273" s="118"/>
      <c r="E273" s="118"/>
      <c r="F273" s="118"/>
      <c r="G273" s="118"/>
      <c r="H273" s="118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hidden="1">
      <c r="A274" s="118"/>
      <c r="B274" s="118"/>
      <c r="C274" s="118"/>
      <c r="D274" s="118"/>
      <c r="E274" s="118"/>
      <c r="F274" s="118"/>
      <c r="G274" s="118"/>
      <c r="H274" s="118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hidden="1">
      <c r="A275" s="118"/>
      <c r="B275" s="118"/>
      <c r="C275" s="118"/>
      <c r="D275" s="118"/>
      <c r="E275" s="118"/>
      <c r="F275" s="118"/>
      <c r="G275" s="118"/>
      <c r="H275" s="118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hidden="1">
      <c r="A276" s="118"/>
      <c r="B276" s="118"/>
      <c r="C276" s="118"/>
      <c r="D276" s="118"/>
      <c r="E276" s="118"/>
      <c r="F276" s="118"/>
      <c r="G276" s="118"/>
      <c r="H276" s="118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hidden="1">
      <c r="A277" s="118"/>
      <c r="B277" s="118"/>
      <c r="C277" s="118"/>
      <c r="D277" s="118"/>
      <c r="E277" s="118"/>
      <c r="F277" s="118"/>
      <c r="G277" s="118"/>
      <c r="H277" s="118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hidden="1">
      <c r="A278" s="118"/>
      <c r="B278" s="118"/>
      <c r="C278" s="118"/>
      <c r="D278" s="118"/>
      <c r="E278" s="118"/>
      <c r="F278" s="118"/>
      <c r="G278" s="118"/>
      <c r="H278" s="118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hidden="1">
      <c r="A279" s="118"/>
      <c r="B279" s="118"/>
      <c r="C279" s="118"/>
      <c r="D279" s="118"/>
      <c r="E279" s="118"/>
      <c r="F279" s="118"/>
      <c r="G279" s="118"/>
      <c r="H279" s="118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hidden="1">
      <c r="A280" s="118"/>
      <c r="B280" s="118"/>
      <c r="C280" s="118"/>
      <c r="D280" s="118"/>
      <c r="E280" s="118"/>
      <c r="F280" s="118"/>
      <c r="G280" s="118"/>
      <c r="H280" s="118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hidden="1">
      <c r="A281" s="118"/>
      <c r="B281" s="118"/>
      <c r="C281" s="118"/>
      <c r="D281" s="118"/>
      <c r="E281" s="118"/>
      <c r="F281" s="118"/>
      <c r="G281" s="118"/>
      <c r="H281" s="118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hidden="1">
      <c r="A282" s="118"/>
      <c r="B282" s="118"/>
      <c r="C282" s="118"/>
      <c r="D282" s="118"/>
      <c r="E282" s="118"/>
      <c r="F282" s="118"/>
      <c r="G282" s="118"/>
      <c r="H282" s="118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hidden="1">
      <c r="A283" s="118"/>
      <c r="B283" s="118"/>
      <c r="C283" s="118"/>
      <c r="D283" s="118"/>
      <c r="E283" s="118"/>
      <c r="F283" s="118"/>
      <c r="G283" s="118"/>
      <c r="H283" s="118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hidden="1">
      <c r="A284" s="118"/>
      <c r="B284" s="118"/>
      <c r="C284" s="118"/>
      <c r="D284" s="118"/>
      <c r="E284" s="118"/>
      <c r="F284" s="118"/>
      <c r="G284" s="118"/>
      <c r="H284" s="118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hidden="1">
      <c r="A285" s="118"/>
      <c r="B285" s="118"/>
      <c r="C285" s="118"/>
      <c r="D285" s="118"/>
      <c r="E285" s="118"/>
      <c r="F285" s="118"/>
      <c r="G285" s="118"/>
      <c r="H285" s="118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hidden="1">
      <c r="A286" s="118"/>
      <c r="B286" s="118"/>
      <c r="C286" s="118"/>
      <c r="D286" s="118"/>
      <c r="E286" s="118"/>
      <c r="F286" s="118"/>
      <c r="G286" s="118"/>
      <c r="H286" s="118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hidden="1">
      <c r="A287" s="118"/>
      <c r="B287" s="118"/>
      <c r="C287" s="118"/>
      <c r="D287" s="118"/>
      <c r="E287" s="118"/>
      <c r="F287" s="118"/>
      <c r="G287" s="118"/>
      <c r="H287" s="118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hidden="1">
      <c r="A288" s="118"/>
      <c r="B288" s="118"/>
      <c r="C288" s="118"/>
      <c r="D288" s="118"/>
      <c r="E288" s="118"/>
      <c r="F288" s="118"/>
      <c r="G288" s="118"/>
      <c r="H288" s="118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hidden="1">
      <c r="A289" s="118"/>
      <c r="B289" s="118"/>
      <c r="C289" s="118"/>
      <c r="D289" s="118"/>
      <c r="E289" s="118"/>
      <c r="F289" s="118"/>
      <c r="G289" s="118"/>
      <c r="H289" s="118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hidden="1">
      <c r="A290" s="118"/>
      <c r="B290" s="118"/>
      <c r="C290" s="118"/>
      <c r="D290" s="118"/>
      <c r="E290" s="118"/>
      <c r="F290" s="118"/>
      <c r="G290" s="118"/>
      <c r="H290" s="118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hidden="1">
      <c r="A291" s="118"/>
      <c r="B291" s="118"/>
      <c r="C291" s="118"/>
      <c r="D291" s="118"/>
      <c r="E291" s="118"/>
      <c r="F291" s="118"/>
      <c r="G291" s="118"/>
      <c r="H291" s="118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hidden="1">
      <c r="A292" s="118"/>
      <c r="B292" s="118"/>
      <c r="C292" s="118"/>
      <c r="D292" s="118"/>
      <c r="E292" s="118"/>
      <c r="F292" s="118"/>
      <c r="G292" s="118"/>
      <c r="H292" s="118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hidden="1">
      <c r="A293" s="118"/>
      <c r="B293" s="118"/>
      <c r="C293" s="118"/>
      <c r="D293" s="118"/>
      <c r="E293" s="118"/>
      <c r="F293" s="118"/>
      <c r="G293" s="118"/>
      <c r="H293" s="118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hidden="1">
      <c r="A294" s="118"/>
      <c r="B294" s="118"/>
      <c r="C294" s="118"/>
      <c r="D294" s="118"/>
      <c r="E294" s="118"/>
      <c r="F294" s="118"/>
      <c r="G294" s="118"/>
      <c r="H294" s="118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hidden="1">
      <c r="A295" s="118"/>
      <c r="B295" s="118"/>
      <c r="C295" s="118"/>
      <c r="D295" s="118"/>
      <c r="E295" s="118"/>
      <c r="F295" s="118"/>
      <c r="G295" s="118"/>
      <c r="H295" s="118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hidden="1">
      <c r="A296" s="118"/>
      <c r="B296" s="118"/>
      <c r="C296" s="118"/>
      <c r="D296" s="118"/>
      <c r="E296" s="118"/>
      <c r="F296" s="118"/>
      <c r="G296" s="118"/>
      <c r="H296" s="118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hidden="1">
      <c r="A297" s="118"/>
      <c r="B297" s="118"/>
      <c r="C297" s="118"/>
      <c r="D297" s="118"/>
      <c r="E297" s="118"/>
      <c r="F297" s="118"/>
      <c r="G297" s="118"/>
      <c r="H297" s="118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hidden="1">
      <c r="A298" s="118"/>
      <c r="B298" s="118"/>
      <c r="C298" s="118"/>
      <c r="D298" s="118"/>
      <c r="E298" s="118"/>
      <c r="F298" s="118"/>
      <c r="G298" s="118"/>
      <c r="H298" s="118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hidden="1">
      <c r="A299" s="118"/>
      <c r="B299" s="118"/>
      <c r="C299" s="118"/>
      <c r="D299" s="118"/>
      <c r="E299" s="118"/>
      <c r="F299" s="118"/>
      <c r="G299" s="118"/>
      <c r="H299" s="118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hidden="1">
      <c r="A300" s="118"/>
      <c r="B300" s="118"/>
      <c r="C300" s="118"/>
      <c r="D300" s="118"/>
      <c r="E300" s="118"/>
      <c r="F300" s="118"/>
      <c r="G300" s="118"/>
      <c r="H300" s="118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hidden="1">
      <c r="A301" s="118"/>
      <c r="B301" s="118"/>
      <c r="C301" s="118"/>
      <c r="D301" s="118"/>
      <c r="E301" s="118"/>
      <c r="F301" s="118"/>
      <c r="G301" s="118"/>
      <c r="H301" s="118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hidden="1">
      <c r="A302" s="118"/>
      <c r="B302" s="118"/>
      <c r="C302" s="118"/>
      <c r="D302" s="118"/>
      <c r="E302" s="118"/>
      <c r="F302" s="118"/>
      <c r="G302" s="118"/>
      <c r="H302" s="118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hidden="1">
      <c r="A303" s="118"/>
      <c r="B303" s="118"/>
      <c r="C303" s="118"/>
      <c r="D303" s="118"/>
      <c r="E303" s="118"/>
      <c r="F303" s="118"/>
      <c r="G303" s="118"/>
      <c r="H303" s="118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hidden="1">
      <c r="A304" s="118"/>
      <c r="B304" s="118"/>
      <c r="C304" s="118"/>
      <c r="D304" s="118"/>
      <c r="E304" s="118"/>
      <c r="F304" s="118"/>
      <c r="G304" s="118"/>
      <c r="H304" s="118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hidden="1">
      <c r="A305" s="118"/>
      <c r="B305" s="118"/>
      <c r="C305" s="118"/>
      <c r="D305" s="118"/>
      <c r="E305" s="118"/>
      <c r="F305" s="118"/>
      <c r="G305" s="118"/>
      <c r="H305" s="118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hidden="1">
      <c r="A306" s="118"/>
      <c r="B306" s="118"/>
      <c r="C306" s="118"/>
      <c r="D306" s="118"/>
      <c r="E306" s="118"/>
      <c r="F306" s="118"/>
      <c r="G306" s="118"/>
      <c r="H306" s="118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hidden="1">
      <c r="A307" s="118"/>
      <c r="B307" s="118"/>
      <c r="C307" s="118"/>
      <c r="D307" s="118"/>
      <c r="E307" s="118"/>
      <c r="F307" s="118"/>
      <c r="G307" s="118"/>
      <c r="H307" s="118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hidden="1">
      <c r="A308" s="118"/>
      <c r="B308" s="118"/>
      <c r="C308" s="118"/>
      <c r="D308" s="118"/>
      <c r="E308" s="118"/>
      <c r="F308" s="118"/>
      <c r="G308" s="118"/>
      <c r="H308" s="118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hidden="1">
      <c r="A309" s="118"/>
      <c r="B309" s="118"/>
      <c r="C309" s="118"/>
      <c r="D309" s="118"/>
      <c r="E309" s="118"/>
      <c r="F309" s="118"/>
      <c r="G309" s="118"/>
      <c r="H309" s="118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hidden="1">
      <c r="A310" s="118"/>
      <c r="B310" s="118"/>
      <c r="C310" s="118"/>
      <c r="D310" s="118"/>
      <c r="E310" s="118"/>
      <c r="F310" s="118"/>
      <c r="G310" s="118"/>
      <c r="H310" s="118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hidden="1">
      <c r="A311" s="118"/>
      <c r="B311" s="118"/>
      <c r="C311" s="118"/>
      <c r="D311" s="118"/>
      <c r="E311" s="118"/>
      <c r="F311" s="118"/>
      <c r="G311" s="118"/>
      <c r="H311" s="118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hidden="1">
      <c r="A312" s="118"/>
      <c r="B312" s="118"/>
      <c r="C312" s="118"/>
      <c r="D312" s="118"/>
      <c r="E312" s="118"/>
      <c r="F312" s="118"/>
      <c r="G312" s="118"/>
      <c r="H312" s="118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hidden="1">
      <c r="A313" s="118"/>
      <c r="B313" s="118"/>
      <c r="C313" s="118"/>
      <c r="D313" s="118"/>
      <c r="E313" s="118"/>
      <c r="F313" s="118"/>
      <c r="G313" s="118"/>
      <c r="H313" s="118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hidden="1">
      <c r="A314" s="118"/>
      <c r="B314" s="118"/>
      <c r="C314" s="118"/>
      <c r="D314" s="118"/>
      <c r="E314" s="118"/>
      <c r="F314" s="118"/>
      <c r="G314" s="118"/>
      <c r="H314" s="118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hidden="1">
      <c r="A315" s="118"/>
      <c r="B315" s="118"/>
      <c r="C315" s="118"/>
      <c r="D315" s="118"/>
      <c r="E315" s="118"/>
      <c r="F315" s="118"/>
      <c r="G315" s="118"/>
      <c r="H315" s="118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hidden="1">
      <c r="A316" s="118"/>
      <c r="B316" s="118"/>
      <c r="C316" s="118"/>
      <c r="D316" s="118"/>
      <c r="E316" s="118"/>
      <c r="F316" s="118"/>
      <c r="G316" s="118"/>
      <c r="H316" s="118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hidden="1">
      <c r="A317" s="118"/>
      <c r="B317" s="118"/>
      <c r="C317" s="118"/>
      <c r="D317" s="118"/>
      <c r="E317" s="118"/>
      <c r="F317" s="118"/>
      <c r="G317" s="118"/>
      <c r="H317" s="118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hidden="1">
      <c r="A318" s="118"/>
      <c r="B318" s="118"/>
      <c r="C318" s="118"/>
      <c r="D318" s="118"/>
      <c r="E318" s="118"/>
      <c r="F318" s="118"/>
      <c r="G318" s="118"/>
      <c r="H318" s="118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hidden="1">
      <c r="A319" s="118"/>
      <c r="B319" s="118"/>
      <c r="C319" s="118"/>
      <c r="D319" s="118"/>
      <c r="E319" s="118"/>
      <c r="F319" s="118"/>
      <c r="G319" s="118"/>
      <c r="H319" s="118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hidden="1">
      <c r="A320" s="118"/>
      <c r="B320" s="118"/>
      <c r="C320" s="118"/>
      <c r="D320" s="118"/>
      <c r="E320" s="118"/>
      <c r="F320" s="118"/>
      <c r="G320" s="118"/>
      <c r="H320" s="118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hidden="1">
      <c r="A321" s="118"/>
      <c r="B321" s="118"/>
      <c r="C321" s="118"/>
      <c r="D321" s="118"/>
      <c r="E321" s="118"/>
      <c r="F321" s="118"/>
      <c r="G321" s="118"/>
      <c r="H321" s="118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hidden="1">
      <c r="A322" s="118"/>
      <c r="B322" s="118"/>
      <c r="C322" s="118"/>
      <c r="D322" s="118"/>
      <c r="E322" s="118"/>
      <c r="F322" s="118"/>
      <c r="G322" s="118"/>
      <c r="H322" s="118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hidden="1">
      <c r="A323" s="118"/>
      <c r="B323" s="118"/>
      <c r="C323" s="118"/>
      <c r="D323" s="118"/>
      <c r="E323" s="118"/>
      <c r="F323" s="118"/>
      <c r="G323" s="118"/>
      <c r="H323" s="118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hidden="1">
      <c r="A324" s="118"/>
      <c r="B324" s="118"/>
      <c r="C324" s="118"/>
      <c r="D324" s="118"/>
      <c r="E324" s="118"/>
      <c r="F324" s="118"/>
      <c r="G324" s="118"/>
      <c r="H324" s="118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hidden="1">
      <c r="A325" s="118"/>
      <c r="B325" s="118"/>
      <c r="C325" s="118"/>
      <c r="D325" s="118"/>
      <c r="E325" s="118"/>
      <c r="F325" s="118"/>
      <c r="G325" s="118"/>
      <c r="H325" s="118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hidden="1">
      <c r="A326" s="118"/>
      <c r="B326" s="118"/>
      <c r="C326" s="118"/>
      <c r="D326" s="118"/>
      <c r="E326" s="118"/>
      <c r="F326" s="118"/>
      <c r="G326" s="118"/>
      <c r="H326" s="118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hidden="1">
      <c r="A327" s="118"/>
      <c r="B327" s="118"/>
      <c r="C327" s="118"/>
      <c r="D327" s="118"/>
      <c r="E327" s="118"/>
      <c r="F327" s="118"/>
      <c r="G327" s="118"/>
      <c r="H327" s="118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hidden="1">
      <c r="A328" s="118"/>
      <c r="B328" s="118"/>
      <c r="C328" s="118"/>
      <c r="D328" s="118"/>
      <c r="E328" s="118"/>
      <c r="F328" s="118"/>
      <c r="G328" s="118"/>
      <c r="H328" s="118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hidden="1">
      <c r="A329" s="118"/>
      <c r="B329" s="118"/>
      <c r="C329" s="118"/>
      <c r="D329" s="118"/>
      <c r="E329" s="118"/>
      <c r="F329" s="118"/>
      <c r="G329" s="118"/>
      <c r="H329" s="118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hidden="1">
      <c r="A330" s="118"/>
      <c r="B330" s="118"/>
      <c r="C330" s="118"/>
      <c r="D330" s="118"/>
      <c r="E330" s="118"/>
      <c r="F330" s="118"/>
      <c r="G330" s="118"/>
      <c r="H330" s="118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hidden="1">
      <c r="A331" s="118"/>
      <c r="B331" s="118"/>
      <c r="C331" s="118"/>
      <c r="D331" s="118"/>
      <c r="E331" s="118"/>
      <c r="F331" s="118"/>
      <c r="G331" s="118"/>
      <c r="H331" s="118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hidden="1">
      <c r="A332" s="118"/>
      <c r="B332" s="118"/>
      <c r="C332" s="118"/>
      <c r="D332" s="118"/>
      <c r="E332" s="118"/>
      <c r="F332" s="118"/>
      <c r="G332" s="118"/>
      <c r="H332" s="118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hidden="1">
      <c r="A333" s="118"/>
      <c r="B333" s="118"/>
      <c r="C333" s="118"/>
      <c r="D333" s="118"/>
      <c r="E333" s="118"/>
      <c r="F333" s="118"/>
      <c r="G333" s="118"/>
      <c r="H333" s="118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hidden="1">
      <c r="A334" s="118"/>
      <c r="B334" s="118"/>
      <c r="C334" s="118"/>
      <c r="D334" s="118"/>
      <c r="E334" s="118"/>
      <c r="F334" s="118"/>
      <c r="G334" s="118"/>
      <c r="H334" s="118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hidden="1">
      <c r="A335" s="118"/>
      <c r="B335" s="118"/>
      <c r="C335" s="118"/>
      <c r="D335" s="118"/>
      <c r="E335" s="118"/>
      <c r="F335" s="118"/>
      <c r="G335" s="118"/>
      <c r="H335" s="118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hidden="1">
      <c r="A336" s="118"/>
      <c r="B336" s="118"/>
      <c r="C336" s="118"/>
      <c r="D336" s="118"/>
      <c r="E336" s="118"/>
      <c r="F336" s="118"/>
      <c r="G336" s="118"/>
      <c r="H336" s="118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hidden="1">
      <c r="A337" s="118"/>
      <c r="B337" s="118"/>
      <c r="C337" s="118"/>
      <c r="D337" s="118"/>
      <c r="E337" s="118"/>
      <c r="F337" s="118"/>
      <c r="G337" s="118"/>
      <c r="H337" s="118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hidden="1">
      <c r="A338" s="118"/>
      <c r="B338" s="118"/>
      <c r="C338" s="118"/>
      <c r="D338" s="118"/>
      <c r="E338" s="118"/>
      <c r="F338" s="118"/>
      <c r="G338" s="118"/>
      <c r="H338" s="118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hidden="1">
      <c r="A339" s="118"/>
      <c r="B339" s="118"/>
      <c r="C339" s="118"/>
      <c r="D339" s="118"/>
      <c r="E339" s="118"/>
      <c r="F339" s="118"/>
      <c r="G339" s="118"/>
      <c r="H339" s="118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hidden="1">
      <c r="A340" s="118"/>
      <c r="B340" s="118"/>
      <c r="C340" s="118"/>
      <c r="D340" s="118"/>
      <c r="E340" s="118"/>
      <c r="F340" s="118"/>
      <c r="G340" s="118"/>
      <c r="H340" s="118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hidden="1">
      <c r="A341" s="118"/>
      <c r="B341" s="118"/>
      <c r="C341" s="118"/>
      <c r="D341" s="118"/>
      <c r="E341" s="118"/>
      <c r="F341" s="118"/>
      <c r="G341" s="118"/>
      <c r="H341" s="118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hidden="1">
      <c r="A342" s="118"/>
      <c r="B342" s="118"/>
      <c r="C342" s="118"/>
      <c r="D342" s="118"/>
      <c r="E342" s="118"/>
      <c r="F342" s="118"/>
      <c r="G342" s="118"/>
      <c r="H342" s="118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hidden="1">
      <c r="A343" s="118"/>
      <c r="B343" s="118"/>
      <c r="C343" s="118"/>
      <c r="D343" s="118"/>
      <c r="E343" s="118"/>
      <c r="F343" s="118"/>
      <c r="G343" s="118"/>
      <c r="H343" s="118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hidden="1">
      <c r="A344" s="118"/>
      <c r="B344" s="118"/>
      <c r="C344" s="118"/>
      <c r="D344" s="118"/>
      <c r="E344" s="118"/>
      <c r="F344" s="118"/>
      <c r="G344" s="118"/>
      <c r="H344" s="118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hidden="1">
      <c r="A345" s="118"/>
      <c r="B345" s="118"/>
      <c r="C345" s="118"/>
      <c r="D345" s="118"/>
      <c r="E345" s="118"/>
      <c r="F345" s="118"/>
      <c r="G345" s="118"/>
      <c r="H345" s="118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hidden="1">
      <c r="A346" s="118"/>
      <c r="B346" s="118"/>
      <c r="C346" s="118"/>
      <c r="D346" s="118"/>
      <c r="E346" s="118"/>
      <c r="F346" s="118"/>
      <c r="G346" s="118"/>
      <c r="H346" s="118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hidden="1">
      <c r="A347" s="118"/>
      <c r="B347" s="118"/>
      <c r="C347" s="118"/>
      <c r="D347" s="118"/>
      <c r="E347" s="118"/>
      <c r="F347" s="118"/>
      <c r="G347" s="118"/>
      <c r="H347" s="118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hidden="1">
      <c r="A348" s="118"/>
      <c r="B348" s="118"/>
      <c r="C348" s="118"/>
      <c r="D348" s="118"/>
      <c r="E348" s="118"/>
      <c r="F348" s="118"/>
      <c r="G348" s="118"/>
      <c r="H348" s="118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hidden="1">
      <c r="A349" s="118"/>
      <c r="B349" s="118"/>
      <c r="C349" s="118"/>
      <c r="D349" s="118"/>
      <c r="E349" s="118"/>
      <c r="F349" s="118"/>
      <c r="G349" s="118"/>
      <c r="H349" s="118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hidden="1">
      <c r="A350" s="118"/>
      <c r="B350" s="118"/>
      <c r="C350" s="118"/>
      <c r="D350" s="118"/>
      <c r="E350" s="118"/>
      <c r="F350" s="118"/>
      <c r="G350" s="118"/>
      <c r="H350" s="118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hidden="1">
      <c r="A351" s="118"/>
      <c r="B351" s="118"/>
      <c r="C351" s="118"/>
      <c r="D351" s="118"/>
      <c r="E351" s="118"/>
      <c r="F351" s="118"/>
      <c r="G351" s="118"/>
      <c r="H351" s="118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hidden="1">
      <c r="A352" s="118"/>
      <c r="B352" s="118"/>
      <c r="C352" s="118"/>
      <c r="D352" s="118"/>
      <c r="E352" s="118"/>
      <c r="F352" s="118"/>
      <c r="G352" s="118"/>
      <c r="H352" s="118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hidden="1">
      <c r="A353" s="118"/>
      <c r="B353" s="118"/>
      <c r="C353" s="118"/>
      <c r="D353" s="118"/>
      <c r="E353" s="118"/>
      <c r="F353" s="118"/>
      <c r="G353" s="118"/>
      <c r="H353" s="118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hidden="1">
      <c r="A354" s="118"/>
      <c r="B354" s="118"/>
      <c r="C354" s="118"/>
      <c r="D354" s="118"/>
      <c r="E354" s="118"/>
      <c r="F354" s="118"/>
      <c r="G354" s="118"/>
      <c r="H354" s="118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hidden="1">
      <c r="A355" s="118"/>
      <c r="B355" s="118"/>
      <c r="C355" s="118"/>
      <c r="D355" s="118"/>
      <c r="E355" s="118"/>
      <c r="F355" s="118"/>
      <c r="G355" s="118"/>
      <c r="H355" s="118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hidden="1">
      <c r="A356" s="118"/>
      <c r="B356" s="118"/>
      <c r="C356" s="118"/>
      <c r="D356" s="118"/>
      <c r="E356" s="118"/>
      <c r="F356" s="118"/>
      <c r="G356" s="118"/>
      <c r="H356" s="118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hidden="1">
      <c r="A357" s="118"/>
      <c r="B357" s="118"/>
      <c r="C357" s="118"/>
      <c r="D357" s="118"/>
      <c r="E357" s="118"/>
      <c r="F357" s="118"/>
      <c r="G357" s="118"/>
      <c r="H357" s="118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hidden="1">
      <c r="A358" s="118"/>
      <c r="B358" s="118"/>
      <c r="C358" s="118"/>
      <c r="D358" s="118"/>
      <c r="E358" s="118"/>
      <c r="F358" s="118"/>
      <c r="G358" s="118"/>
      <c r="H358" s="118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hidden="1">
      <c r="A359" s="118"/>
      <c r="B359" s="118"/>
      <c r="C359" s="118"/>
      <c r="D359" s="118"/>
      <c r="E359" s="118"/>
      <c r="F359" s="118"/>
      <c r="G359" s="118"/>
      <c r="H359" s="118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hidden="1">
      <c r="A360" s="118"/>
      <c r="B360" s="118"/>
      <c r="C360" s="118"/>
      <c r="D360" s="118"/>
      <c r="E360" s="118"/>
      <c r="F360" s="118"/>
      <c r="G360" s="118"/>
      <c r="H360" s="118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hidden="1">
      <c r="A361" s="118"/>
      <c r="B361" s="118"/>
      <c r="C361" s="118"/>
      <c r="D361" s="118"/>
      <c r="E361" s="118"/>
      <c r="F361" s="118"/>
      <c r="G361" s="118"/>
      <c r="H361" s="118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hidden="1">
      <c r="A362" s="118"/>
      <c r="B362" s="118"/>
      <c r="C362" s="118"/>
      <c r="D362" s="118"/>
      <c r="E362" s="118"/>
      <c r="F362" s="118"/>
      <c r="G362" s="118"/>
      <c r="H362" s="118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hidden="1">
      <c r="A363" s="118"/>
      <c r="B363" s="118"/>
      <c r="C363" s="118"/>
      <c r="D363" s="118"/>
      <c r="E363" s="118"/>
      <c r="F363" s="118"/>
      <c r="G363" s="118"/>
      <c r="H363" s="118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hidden="1">
      <c r="A364" s="118"/>
      <c r="B364" s="118"/>
      <c r="C364" s="118"/>
      <c r="D364" s="118"/>
      <c r="E364" s="118"/>
      <c r="F364" s="118"/>
      <c r="G364" s="118"/>
      <c r="H364" s="118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hidden="1">
      <c r="A365" s="118"/>
      <c r="B365" s="118"/>
      <c r="C365" s="118"/>
      <c r="D365" s="118"/>
      <c r="E365" s="118"/>
      <c r="F365" s="118"/>
      <c r="G365" s="118"/>
      <c r="H365" s="118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hidden="1">
      <c r="A366" s="118"/>
      <c r="B366" s="118"/>
      <c r="C366" s="118"/>
      <c r="D366" s="118"/>
      <c r="E366" s="118"/>
      <c r="F366" s="118"/>
      <c r="G366" s="118"/>
      <c r="H366" s="118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hidden="1">
      <c r="A367" s="118"/>
      <c r="B367" s="118"/>
      <c r="C367" s="118"/>
      <c r="D367" s="118"/>
      <c r="E367" s="118"/>
      <c r="F367" s="118"/>
      <c r="G367" s="118"/>
      <c r="H367" s="118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hidden="1">
      <c r="A368" s="118"/>
      <c r="B368" s="118"/>
      <c r="C368" s="118"/>
      <c r="D368" s="118"/>
      <c r="E368" s="118"/>
      <c r="F368" s="118"/>
      <c r="G368" s="118"/>
      <c r="H368" s="118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hidden="1">
      <c r="A369" s="118"/>
      <c r="B369" s="118"/>
      <c r="C369" s="118"/>
      <c r="D369" s="118"/>
      <c r="E369" s="118"/>
      <c r="F369" s="118"/>
      <c r="G369" s="118"/>
      <c r="H369" s="118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hidden="1">
      <c r="A370" s="118"/>
      <c r="B370" s="118"/>
      <c r="C370" s="118"/>
      <c r="D370" s="118"/>
      <c r="E370" s="118"/>
      <c r="F370" s="118"/>
      <c r="G370" s="118"/>
      <c r="H370" s="118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hidden="1">
      <c r="A371" s="118"/>
      <c r="B371" s="118"/>
      <c r="C371" s="118"/>
      <c r="D371" s="118"/>
      <c r="E371" s="118"/>
      <c r="F371" s="118"/>
      <c r="G371" s="118"/>
      <c r="H371" s="118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hidden="1">
      <c r="A372" s="118"/>
      <c r="B372" s="118"/>
      <c r="C372" s="118"/>
      <c r="D372" s="118"/>
      <c r="E372" s="118"/>
      <c r="F372" s="118"/>
      <c r="G372" s="118"/>
      <c r="H372" s="118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hidden="1">
      <c r="A373" s="118"/>
      <c r="B373" s="118"/>
      <c r="C373" s="118"/>
      <c r="D373" s="118"/>
      <c r="E373" s="118"/>
      <c r="F373" s="118"/>
      <c r="G373" s="118"/>
      <c r="H373" s="118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hidden="1">
      <c r="A374" s="118"/>
      <c r="B374" s="118"/>
      <c r="C374" s="118"/>
      <c r="D374" s="118"/>
      <c r="E374" s="118"/>
      <c r="F374" s="118"/>
      <c r="G374" s="118"/>
      <c r="H374" s="118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hidden="1">
      <c r="A375" s="118"/>
      <c r="B375" s="118"/>
      <c r="C375" s="118"/>
      <c r="D375" s="118"/>
      <c r="E375" s="118"/>
      <c r="F375" s="118"/>
      <c r="G375" s="118"/>
      <c r="H375" s="118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hidden="1">
      <c r="A376" s="118"/>
      <c r="B376" s="118"/>
      <c r="C376" s="118"/>
      <c r="D376" s="118"/>
      <c r="E376" s="118"/>
      <c r="F376" s="118"/>
      <c r="G376" s="118"/>
      <c r="H376" s="118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hidden="1">
      <c r="A377" s="118"/>
      <c r="B377" s="118"/>
      <c r="C377" s="118"/>
      <c r="D377" s="118"/>
      <c r="E377" s="118"/>
      <c r="F377" s="118"/>
      <c r="G377" s="118"/>
      <c r="H377" s="118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hidden="1">
      <c r="A378" s="118"/>
      <c r="B378" s="118"/>
      <c r="C378" s="118"/>
      <c r="D378" s="118"/>
      <c r="E378" s="118"/>
      <c r="F378" s="118"/>
      <c r="G378" s="118"/>
      <c r="H378" s="118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hidden="1">
      <c r="A379" s="118"/>
      <c r="B379" s="118"/>
      <c r="C379" s="118"/>
      <c r="D379" s="118"/>
      <c r="E379" s="118"/>
      <c r="F379" s="118"/>
      <c r="G379" s="118"/>
      <c r="H379" s="118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hidden="1">
      <c r="A380" s="118"/>
      <c r="B380" s="118"/>
      <c r="C380" s="118"/>
      <c r="D380" s="118"/>
      <c r="E380" s="118"/>
      <c r="F380" s="118"/>
      <c r="G380" s="118"/>
      <c r="H380" s="118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hidden="1">
      <c r="A381" s="118"/>
      <c r="B381" s="118"/>
      <c r="C381" s="118"/>
      <c r="D381" s="118"/>
      <c r="E381" s="118"/>
      <c r="F381" s="118"/>
      <c r="G381" s="118"/>
      <c r="H381" s="118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hidden="1">
      <c r="A382" s="118"/>
      <c r="B382" s="118"/>
      <c r="C382" s="118"/>
      <c r="D382" s="118"/>
      <c r="E382" s="118"/>
      <c r="F382" s="118"/>
      <c r="G382" s="118"/>
      <c r="H382" s="118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hidden="1">
      <c r="A383" s="118"/>
      <c r="B383" s="118"/>
      <c r="C383" s="118"/>
      <c r="D383" s="118"/>
      <c r="E383" s="118"/>
      <c r="F383" s="118"/>
      <c r="G383" s="118"/>
      <c r="H383" s="118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hidden="1">
      <c r="A384" s="118"/>
      <c r="B384" s="118"/>
      <c r="C384" s="118"/>
      <c r="D384" s="118"/>
      <c r="E384" s="118"/>
      <c r="F384" s="118"/>
      <c r="G384" s="118"/>
      <c r="H384" s="118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hidden="1">
      <c r="A385" s="118"/>
      <c r="B385" s="118"/>
      <c r="C385" s="118"/>
      <c r="D385" s="118"/>
      <c r="E385" s="118"/>
      <c r="F385" s="118"/>
      <c r="G385" s="118"/>
      <c r="H385" s="118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hidden="1">
      <c r="A386" s="118"/>
      <c r="B386" s="118"/>
      <c r="C386" s="118"/>
      <c r="D386" s="118"/>
      <c r="E386" s="118"/>
      <c r="F386" s="118"/>
      <c r="G386" s="118"/>
      <c r="H386" s="118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hidden="1">
      <c r="A387" s="118"/>
      <c r="B387" s="118"/>
      <c r="C387" s="118"/>
      <c r="D387" s="118"/>
      <c r="E387" s="118"/>
      <c r="F387" s="118"/>
      <c r="G387" s="118"/>
      <c r="H387" s="118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hidden="1">
      <c r="A388" s="118"/>
      <c r="B388" s="118"/>
      <c r="C388" s="118"/>
      <c r="D388" s="118"/>
      <c r="E388" s="118"/>
      <c r="F388" s="118"/>
      <c r="G388" s="118"/>
      <c r="H388" s="118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hidden="1">
      <c r="A389" s="118"/>
      <c r="B389" s="118"/>
      <c r="C389" s="118"/>
      <c r="D389" s="118"/>
      <c r="E389" s="118"/>
      <c r="F389" s="118"/>
      <c r="G389" s="118"/>
      <c r="H389" s="118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hidden="1">
      <c r="A390" s="118"/>
      <c r="B390" s="118"/>
      <c r="C390" s="118"/>
      <c r="D390" s="118"/>
      <c r="E390" s="118"/>
      <c r="F390" s="118"/>
      <c r="G390" s="118"/>
      <c r="H390" s="118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hidden="1">
      <c r="A391" s="118"/>
      <c r="B391" s="118"/>
      <c r="C391" s="118"/>
      <c r="D391" s="118"/>
      <c r="E391" s="118"/>
      <c r="F391" s="118"/>
      <c r="G391" s="118"/>
      <c r="H391" s="118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hidden="1">
      <c r="A392" s="118"/>
      <c r="B392" s="118"/>
      <c r="C392" s="118"/>
      <c r="D392" s="118"/>
      <c r="E392" s="118"/>
      <c r="F392" s="118"/>
      <c r="G392" s="118"/>
      <c r="H392" s="118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hidden="1">
      <c r="A393" s="118"/>
      <c r="B393" s="118"/>
      <c r="C393" s="118"/>
      <c r="D393" s="118"/>
      <c r="E393" s="118"/>
      <c r="F393" s="118"/>
      <c r="G393" s="118"/>
      <c r="H393" s="118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hidden="1">
      <c r="A394" s="118"/>
      <c r="B394" s="118"/>
      <c r="C394" s="118"/>
      <c r="D394" s="118"/>
      <c r="E394" s="118"/>
      <c r="F394" s="118"/>
      <c r="G394" s="118"/>
      <c r="H394" s="118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hidden="1">
      <c r="A395" s="118"/>
      <c r="B395" s="118"/>
      <c r="C395" s="118"/>
      <c r="D395" s="118"/>
      <c r="E395" s="118"/>
      <c r="F395" s="118"/>
      <c r="G395" s="118"/>
      <c r="H395" s="118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hidden="1">
      <c r="A396" s="118"/>
      <c r="B396" s="118"/>
      <c r="C396" s="118"/>
      <c r="D396" s="118"/>
      <c r="E396" s="118"/>
      <c r="F396" s="118"/>
      <c r="G396" s="118"/>
      <c r="H396" s="118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hidden="1">
      <c r="A397" s="118"/>
      <c r="B397" s="118"/>
      <c r="C397" s="118"/>
      <c r="D397" s="118"/>
      <c r="E397" s="118"/>
      <c r="F397" s="118"/>
      <c r="G397" s="118"/>
      <c r="H397" s="118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hidden="1">
      <c r="A398" s="118"/>
      <c r="B398" s="118"/>
      <c r="C398" s="118"/>
      <c r="D398" s="118"/>
      <c r="E398" s="118"/>
      <c r="F398" s="118"/>
      <c r="G398" s="118"/>
      <c r="H398" s="118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hidden="1">
      <c r="A399" s="118"/>
      <c r="B399" s="118"/>
      <c r="C399" s="118"/>
      <c r="D399" s="118"/>
      <c r="E399" s="118"/>
      <c r="F399" s="118"/>
      <c r="G399" s="118"/>
      <c r="H399" s="118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hidden="1">
      <c r="A400" s="118"/>
      <c r="B400" s="118"/>
      <c r="C400" s="118"/>
      <c r="D400" s="118"/>
      <c r="E400" s="118"/>
      <c r="F400" s="118"/>
      <c r="G400" s="118"/>
      <c r="H400" s="118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hidden="1">
      <c r="A401" s="118"/>
      <c r="B401" s="118"/>
      <c r="C401" s="118"/>
      <c r="D401" s="118"/>
      <c r="E401" s="118"/>
      <c r="F401" s="118"/>
      <c r="G401" s="118"/>
      <c r="H401" s="118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hidden="1">
      <c r="A402" s="118"/>
      <c r="B402" s="118"/>
      <c r="C402" s="118"/>
      <c r="D402" s="118"/>
      <c r="E402" s="118"/>
      <c r="F402" s="118"/>
      <c r="G402" s="118"/>
      <c r="H402" s="118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hidden="1">
      <c r="A403" s="118"/>
      <c r="B403" s="118"/>
      <c r="C403" s="118"/>
      <c r="D403" s="118"/>
      <c r="E403" s="118"/>
      <c r="F403" s="118"/>
      <c r="G403" s="118"/>
      <c r="H403" s="118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hidden="1">
      <c r="A404" s="118"/>
      <c r="B404" s="118"/>
      <c r="C404" s="118"/>
      <c r="D404" s="118"/>
      <c r="E404" s="118"/>
      <c r="F404" s="118"/>
      <c r="G404" s="118"/>
      <c r="H404" s="118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hidden="1">
      <c r="A405" s="118"/>
      <c r="B405" s="118"/>
      <c r="C405" s="118"/>
      <c r="D405" s="118"/>
      <c r="E405" s="118"/>
      <c r="F405" s="118"/>
      <c r="G405" s="118"/>
      <c r="H405" s="118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hidden="1">
      <c r="A406" s="118"/>
      <c r="B406" s="118"/>
      <c r="C406" s="118"/>
      <c r="D406" s="118"/>
      <c r="E406" s="118"/>
      <c r="F406" s="118"/>
      <c r="G406" s="118"/>
      <c r="H406" s="118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hidden="1">
      <c r="A407" s="118"/>
      <c r="B407" s="118"/>
      <c r="C407" s="118"/>
      <c r="D407" s="118"/>
      <c r="E407" s="118"/>
      <c r="F407" s="118"/>
      <c r="G407" s="118"/>
      <c r="H407" s="118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hidden="1">
      <c r="A408" s="118"/>
      <c r="B408" s="118"/>
      <c r="C408" s="118"/>
      <c r="D408" s="118"/>
      <c r="E408" s="118"/>
      <c r="F408" s="118"/>
      <c r="G408" s="118"/>
      <c r="H408" s="118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hidden="1">
      <c r="A409" s="118"/>
      <c r="B409" s="118"/>
      <c r="C409" s="118"/>
      <c r="D409" s="118"/>
      <c r="E409" s="118"/>
      <c r="F409" s="118"/>
      <c r="G409" s="118"/>
      <c r="H409" s="118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hidden="1">
      <c r="A410" s="118"/>
      <c r="B410" s="118"/>
      <c r="C410" s="118"/>
      <c r="D410" s="118"/>
      <c r="E410" s="118"/>
      <c r="F410" s="118"/>
      <c r="G410" s="118"/>
      <c r="H410" s="118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hidden="1">
      <c r="A411" s="118"/>
      <c r="B411" s="118"/>
      <c r="C411" s="118"/>
      <c r="D411" s="118"/>
      <c r="E411" s="118"/>
      <c r="F411" s="118"/>
      <c r="G411" s="118"/>
      <c r="H411" s="118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hidden="1">
      <c r="A412" s="118"/>
      <c r="B412" s="118"/>
      <c r="C412" s="118"/>
      <c r="D412" s="118"/>
      <c r="E412" s="118"/>
      <c r="F412" s="118"/>
      <c r="G412" s="118"/>
      <c r="H412" s="118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hidden="1">
      <c r="A413" s="118"/>
      <c r="B413" s="118"/>
      <c r="C413" s="118"/>
      <c r="D413" s="118"/>
      <c r="E413" s="118"/>
      <c r="F413" s="118"/>
      <c r="G413" s="118"/>
      <c r="H413" s="118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hidden="1">
      <c r="A414" s="118"/>
      <c r="B414" s="118"/>
      <c r="C414" s="118"/>
      <c r="D414" s="118"/>
      <c r="E414" s="118"/>
      <c r="F414" s="118"/>
      <c r="G414" s="118"/>
      <c r="H414" s="118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hidden="1">
      <c r="A415" s="118"/>
      <c r="B415" s="118"/>
      <c r="C415" s="118"/>
      <c r="D415" s="118"/>
      <c r="E415" s="118"/>
      <c r="F415" s="118"/>
      <c r="G415" s="118"/>
      <c r="H415" s="118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hidden="1">
      <c r="A416" s="118"/>
      <c r="B416" s="118"/>
      <c r="C416" s="118"/>
      <c r="D416" s="118"/>
      <c r="E416" s="118"/>
      <c r="F416" s="118"/>
      <c r="G416" s="118"/>
      <c r="H416" s="118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hidden="1">
      <c r="A417" s="118"/>
      <c r="B417" s="118"/>
      <c r="C417" s="118"/>
      <c r="D417" s="118"/>
      <c r="E417" s="118"/>
      <c r="F417" s="118"/>
      <c r="G417" s="118"/>
      <c r="H417" s="118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hidden="1">
      <c r="A418" s="118"/>
      <c r="B418" s="118"/>
      <c r="C418" s="118"/>
      <c r="D418" s="118"/>
      <c r="E418" s="118"/>
      <c r="F418" s="118"/>
      <c r="G418" s="118"/>
      <c r="H418" s="118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hidden="1">
      <c r="A419" s="118"/>
      <c r="B419" s="118"/>
      <c r="C419" s="118"/>
      <c r="D419" s="118"/>
      <c r="E419" s="118"/>
      <c r="F419" s="118"/>
      <c r="G419" s="118"/>
      <c r="H419" s="118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hidden="1">
      <c r="A420" s="118"/>
      <c r="B420" s="118"/>
      <c r="C420" s="118"/>
      <c r="D420" s="118"/>
      <c r="E420" s="118"/>
      <c r="F420" s="118"/>
      <c r="G420" s="118"/>
      <c r="H420" s="118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hidden="1">
      <c r="A421" s="118"/>
      <c r="B421" s="118"/>
      <c r="C421" s="118"/>
      <c r="D421" s="118"/>
      <c r="E421" s="118"/>
      <c r="F421" s="118"/>
      <c r="G421" s="118"/>
      <c r="H421" s="118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hidden="1">
      <c r="A422" s="118"/>
      <c r="B422" s="118"/>
      <c r="C422" s="118"/>
      <c r="D422" s="118"/>
      <c r="E422" s="118"/>
      <c r="F422" s="118"/>
      <c r="G422" s="118"/>
      <c r="H422" s="118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hidden="1">
      <c r="A423" s="118"/>
      <c r="B423" s="118"/>
      <c r="C423" s="118"/>
      <c r="D423" s="118"/>
      <c r="E423" s="118"/>
      <c r="F423" s="118"/>
      <c r="G423" s="118"/>
      <c r="H423" s="118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hidden="1">
      <c r="A424" s="118"/>
      <c r="B424" s="118"/>
      <c r="C424" s="118"/>
      <c r="D424" s="118"/>
      <c r="E424" s="118"/>
      <c r="F424" s="118"/>
      <c r="G424" s="118"/>
      <c r="H424" s="118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hidden="1">
      <c r="A425" s="118"/>
      <c r="B425" s="118"/>
      <c r="C425" s="118"/>
      <c r="D425" s="118"/>
      <c r="E425" s="118"/>
      <c r="F425" s="118"/>
      <c r="G425" s="118"/>
      <c r="H425" s="118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hidden="1">
      <c r="A426" s="118"/>
      <c r="B426" s="118"/>
      <c r="C426" s="118"/>
      <c r="D426" s="118"/>
      <c r="E426" s="118"/>
      <c r="F426" s="118"/>
      <c r="G426" s="118"/>
      <c r="H426" s="118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hidden="1">
      <c r="A427" s="118"/>
      <c r="B427" s="118"/>
      <c r="C427" s="118"/>
      <c r="D427" s="118"/>
      <c r="E427" s="118"/>
      <c r="F427" s="118"/>
      <c r="G427" s="118"/>
      <c r="H427" s="118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hidden="1">
      <c r="A428" s="118"/>
      <c r="B428" s="118"/>
      <c r="C428" s="118"/>
      <c r="D428" s="118"/>
      <c r="E428" s="118"/>
      <c r="F428" s="118"/>
      <c r="G428" s="118"/>
      <c r="H428" s="118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hidden="1">
      <c r="A429" s="118"/>
      <c r="B429" s="118"/>
      <c r="C429" s="118"/>
      <c r="D429" s="118"/>
      <c r="E429" s="118"/>
      <c r="F429" s="118"/>
      <c r="G429" s="118"/>
      <c r="H429" s="118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hidden="1">
      <c r="A430" s="118"/>
      <c r="B430" s="118"/>
      <c r="C430" s="118"/>
      <c r="D430" s="118"/>
      <c r="E430" s="118"/>
      <c r="F430" s="118"/>
      <c r="G430" s="118"/>
      <c r="H430" s="118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hidden="1">
      <c r="A431" s="118"/>
      <c r="B431" s="118"/>
      <c r="C431" s="118"/>
      <c r="D431" s="118"/>
      <c r="E431" s="118"/>
      <c r="F431" s="118"/>
      <c r="G431" s="118"/>
      <c r="H431" s="118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hidden="1">
      <c r="A432" s="118"/>
      <c r="B432" s="118"/>
      <c r="C432" s="118"/>
      <c r="D432" s="118"/>
      <c r="E432" s="118"/>
      <c r="F432" s="118"/>
      <c r="G432" s="118"/>
      <c r="H432" s="118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hidden="1">
      <c r="A433" s="118"/>
      <c r="B433" s="118"/>
      <c r="C433" s="118"/>
      <c r="D433" s="118"/>
      <c r="E433" s="118"/>
      <c r="F433" s="118"/>
      <c r="G433" s="118"/>
      <c r="H433" s="118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hidden="1">
      <c r="A434" s="118"/>
      <c r="B434" s="118"/>
      <c r="C434" s="118"/>
      <c r="D434" s="118"/>
      <c r="E434" s="118"/>
      <c r="F434" s="118"/>
      <c r="G434" s="118"/>
      <c r="H434" s="118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hidden="1">
      <c r="A435" s="118"/>
      <c r="B435" s="118"/>
      <c r="C435" s="118"/>
      <c r="D435" s="118"/>
      <c r="E435" s="118"/>
      <c r="F435" s="118"/>
      <c r="G435" s="118"/>
      <c r="H435" s="118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hidden="1">
      <c r="A436" s="118"/>
      <c r="B436" s="118"/>
      <c r="C436" s="118"/>
      <c r="D436" s="118"/>
      <c r="E436" s="118"/>
      <c r="F436" s="118"/>
      <c r="G436" s="118"/>
      <c r="H436" s="118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hidden="1">
      <c r="A437" s="118"/>
      <c r="B437" s="118"/>
      <c r="C437" s="118"/>
      <c r="D437" s="118"/>
      <c r="E437" s="118"/>
      <c r="F437" s="118"/>
      <c r="G437" s="118"/>
      <c r="H437" s="118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hidden="1">
      <c r="A438" s="118"/>
      <c r="B438" s="118"/>
      <c r="C438" s="118"/>
      <c r="D438" s="118"/>
      <c r="E438" s="118"/>
      <c r="F438" s="118"/>
      <c r="G438" s="118"/>
      <c r="H438" s="118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hidden="1">
      <c r="A439" s="118"/>
      <c r="B439" s="118"/>
      <c r="C439" s="118"/>
      <c r="D439" s="118"/>
      <c r="E439" s="118"/>
      <c r="F439" s="118"/>
      <c r="G439" s="118"/>
      <c r="H439" s="118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hidden="1">
      <c r="A440" s="118"/>
      <c r="B440" s="118"/>
      <c r="C440" s="118"/>
      <c r="D440" s="118"/>
      <c r="E440" s="118"/>
      <c r="F440" s="118"/>
      <c r="G440" s="118"/>
      <c r="H440" s="118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hidden="1">
      <c r="A441" s="118"/>
      <c r="B441" s="118"/>
      <c r="C441" s="118"/>
      <c r="D441" s="118"/>
      <c r="E441" s="118"/>
      <c r="F441" s="118"/>
      <c r="G441" s="118"/>
      <c r="H441" s="118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hidden="1">
      <c r="A442" s="118"/>
      <c r="B442" s="118"/>
      <c r="C442" s="118"/>
      <c r="D442" s="118"/>
      <c r="E442" s="118"/>
      <c r="F442" s="118"/>
      <c r="G442" s="118"/>
      <c r="H442" s="118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hidden="1">
      <c r="A443" s="118"/>
      <c r="B443" s="118"/>
      <c r="C443" s="118"/>
      <c r="D443" s="118"/>
      <c r="E443" s="118"/>
      <c r="F443" s="118"/>
      <c r="G443" s="118"/>
      <c r="H443" s="118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hidden="1">
      <c r="A444" s="118"/>
      <c r="B444" s="118"/>
      <c r="C444" s="118"/>
      <c r="D444" s="118"/>
      <c r="E444" s="118"/>
      <c r="F444" s="118"/>
      <c r="G444" s="118"/>
      <c r="H444" s="118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hidden="1">
      <c r="A445" s="118"/>
      <c r="B445" s="118"/>
      <c r="C445" s="118"/>
      <c r="D445" s="118"/>
      <c r="E445" s="118"/>
      <c r="F445" s="118"/>
      <c r="G445" s="118"/>
      <c r="H445" s="118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hidden="1">
      <c r="A446" s="118"/>
      <c r="B446" s="118"/>
      <c r="C446" s="118"/>
      <c r="D446" s="118"/>
      <c r="E446" s="118"/>
      <c r="F446" s="118"/>
      <c r="G446" s="118"/>
      <c r="H446" s="118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hidden="1">
      <c r="A447" s="118"/>
      <c r="B447" s="118"/>
      <c r="C447" s="118"/>
      <c r="D447" s="118"/>
      <c r="E447" s="118"/>
      <c r="F447" s="118"/>
      <c r="G447" s="118"/>
      <c r="H447" s="118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hidden="1">
      <c r="A448" s="118"/>
      <c r="B448" s="118"/>
      <c r="C448" s="118"/>
      <c r="D448" s="118"/>
      <c r="E448" s="118"/>
      <c r="F448" s="118"/>
      <c r="G448" s="118"/>
      <c r="H448" s="118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hidden="1">
      <c r="A449" s="118"/>
      <c r="B449" s="118"/>
      <c r="C449" s="118"/>
      <c r="D449" s="118"/>
      <c r="E449" s="118"/>
      <c r="F449" s="118"/>
      <c r="G449" s="118"/>
      <c r="H449" s="118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hidden="1">
      <c r="A450" s="118"/>
      <c r="B450" s="118"/>
      <c r="C450" s="118"/>
      <c r="D450" s="118"/>
      <c r="E450" s="118"/>
      <c r="F450" s="118"/>
      <c r="G450" s="118"/>
      <c r="H450" s="118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hidden="1">
      <c r="A451" s="118"/>
      <c r="B451" s="118"/>
      <c r="C451" s="118"/>
      <c r="D451" s="118"/>
      <c r="E451" s="118"/>
      <c r="F451" s="118"/>
      <c r="G451" s="118"/>
      <c r="H451" s="118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hidden="1">
      <c r="A452" s="118"/>
      <c r="B452" s="118"/>
      <c r="C452" s="118"/>
      <c r="D452" s="118"/>
      <c r="E452" s="118"/>
      <c r="F452" s="118"/>
      <c r="G452" s="118"/>
      <c r="H452" s="118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hidden="1">
      <c r="A453" s="118"/>
      <c r="B453" s="118"/>
      <c r="C453" s="118"/>
      <c r="D453" s="118"/>
      <c r="E453" s="118"/>
      <c r="F453" s="118"/>
      <c r="G453" s="118"/>
      <c r="H453" s="118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hidden="1">
      <c r="A454" s="118"/>
      <c r="B454" s="118"/>
      <c r="C454" s="118"/>
      <c r="D454" s="118"/>
      <c r="E454" s="118"/>
      <c r="F454" s="118"/>
      <c r="G454" s="118"/>
      <c r="H454" s="118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hidden="1">
      <c r="A455" s="118"/>
      <c r="B455" s="118"/>
      <c r="C455" s="118"/>
      <c r="D455" s="118"/>
      <c r="E455" s="118"/>
      <c r="F455" s="118"/>
      <c r="G455" s="118"/>
      <c r="H455" s="118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hidden="1">
      <c r="A456" s="118"/>
      <c r="B456" s="118"/>
      <c r="C456" s="118"/>
      <c r="D456" s="118"/>
      <c r="E456" s="118"/>
      <c r="F456" s="118"/>
      <c r="G456" s="118"/>
      <c r="H456" s="118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hidden="1">
      <c r="A457" s="118"/>
      <c r="B457" s="118"/>
      <c r="C457" s="118"/>
      <c r="D457" s="118"/>
      <c r="E457" s="118"/>
      <c r="F457" s="118"/>
      <c r="G457" s="118"/>
      <c r="H457" s="118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hidden="1">
      <c r="A458" s="118"/>
      <c r="B458" s="118"/>
      <c r="C458" s="118"/>
      <c r="D458" s="118"/>
      <c r="E458" s="118"/>
      <c r="F458" s="118"/>
      <c r="G458" s="118"/>
      <c r="H458" s="118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hidden="1">
      <c r="A459" s="118"/>
      <c r="B459" s="118"/>
      <c r="C459" s="118"/>
      <c r="D459" s="118"/>
      <c r="E459" s="118"/>
      <c r="F459" s="118"/>
      <c r="G459" s="118"/>
      <c r="H459" s="118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hidden="1">
      <c r="A460" s="118"/>
      <c r="B460" s="118"/>
      <c r="C460" s="118"/>
      <c r="D460" s="118"/>
      <c r="E460" s="118"/>
      <c r="F460" s="118"/>
      <c r="G460" s="118"/>
      <c r="H460" s="118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hidden="1">
      <c r="A461" s="118"/>
      <c r="B461" s="118"/>
      <c r="C461" s="118"/>
      <c r="D461" s="118"/>
      <c r="E461" s="118"/>
      <c r="F461" s="118"/>
      <c r="G461" s="118"/>
      <c r="H461" s="118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hidden="1">
      <c r="A462" s="118"/>
      <c r="B462" s="118"/>
      <c r="C462" s="118"/>
      <c r="D462" s="118"/>
      <c r="E462" s="118"/>
      <c r="F462" s="118"/>
      <c r="G462" s="118"/>
      <c r="H462" s="118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hidden="1">
      <c r="A463" s="118"/>
      <c r="B463" s="118"/>
      <c r="C463" s="118"/>
      <c r="D463" s="118"/>
      <c r="E463" s="118"/>
      <c r="F463" s="118"/>
      <c r="G463" s="118"/>
      <c r="H463" s="118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hidden="1">
      <c r="A464" s="118"/>
      <c r="B464" s="118"/>
      <c r="C464" s="118"/>
      <c r="D464" s="118"/>
      <c r="E464" s="118"/>
      <c r="F464" s="118"/>
      <c r="G464" s="118"/>
      <c r="H464" s="118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hidden="1">
      <c r="A465" s="118"/>
      <c r="B465" s="118"/>
      <c r="C465" s="118"/>
      <c r="D465" s="118"/>
      <c r="E465" s="118"/>
      <c r="F465" s="118"/>
      <c r="G465" s="118"/>
      <c r="H465" s="118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hidden="1">
      <c r="A466" s="118"/>
      <c r="B466" s="118"/>
      <c r="C466" s="118"/>
      <c r="D466" s="118"/>
      <c r="E466" s="118"/>
      <c r="F466" s="118"/>
      <c r="G466" s="118"/>
      <c r="H466" s="118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hidden="1">
      <c r="A467" s="118"/>
      <c r="B467" s="118"/>
      <c r="C467" s="118"/>
      <c r="D467" s="118"/>
      <c r="E467" s="118"/>
      <c r="F467" s="118"/>
      <c r="G467" s="118"/>
      <c r="H467" s="118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hidden="1">
      <c r="A468" s="118"/>
      <c r="B468" s="118"/>
      <c r="C468" s="118"/>
      <c r="D468" s="118"/>
      <c r="E468" s="118"/>
      <c r="F468" s="118"/>
      <c r="G468" s="118"/>
      <c r="H468" s="118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hidden="1">
      <c r="A469" s="118"/>
      <c r="B469" s="118"/>
      <c r="C469" s="118"/>
      <c r="D469" s="118"/>
      <c r="E469" s="118"/>
      <c r="F469" s="118"/>
      <c r="G469" s="118"/>
      <c r="H469" s="118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hidden="1">
      <c r="A470" s="118"/>
      <c r="B470" s="118"/>
      <c r="C470" s="118"/>
      <c r="D470" s="118"/>
      <c r="E470" s="118"/>
      <c r="F470" s="118"/>
      <c r="G470" s="118"/>
      <c r="H470" s="118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hidden="1">
      <c r="A471" s="118"/>
      <c r="B471" s="118"/>
      <c r="C471" s="118"/>
      <c r="D471" s="118"/>
      <c r="E471" s="118"/>
      <c r="F471" s="118"/>
      <c r="G471" s="118"/>
      <c r="H471" s="118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hidden="1">
      <c r="A472" s="118"/>
      <c r="B472" s="118"/>
      <c r="C472" s="118"/>
      <c r="D472" s="118"/>
      <c r="E472" s="118"/>
      <c r="F472" s="118"/>
      <c r="G472" s="118"/>
      <c r="H472" s="118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hidden="1">
      <c r="A473" s="118"/>
      <c r="B473" s="118"/>
      <c r="C473" s="118"/>
      <c r="D473" s="118"/>
      <c r="E473" s="118"/>
      <c r="F473" s="118"/>
      <c r="G473" s="118"/>
      <c r="H473" s="118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hidden="1">
      <c r="A474" s="118"/>
      <c r="B474" s="118"/>
      <c r="C474" s="118"/>
      <c r="D474" s="118"/>
      <c r="E474" s="118"/>
      <c r="F474" s="118"/>
      <c r="G474" s="118"/>
      <c r="H474" s="118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hidden="1">
      <c r="A475" s="118"/>
      <c r="B475" s="118"/>
      <c r="C475" s="118"/>
      <c r="D475" s="118"/>
      <c r="E475" s="118"/>
      <c r="F475" s="118"/>
      <c r="G475" s="118"/>
      <c r="H475" s="118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hidden="1">
      <c r="A476" s="118"/>
      <c r="B476" s="118"/>
      <c r="C476" s="118"/>
      <c r="D476" s="118"/>
      <c r="E476" s="118"/>
      <c r="F476" s="118"/>
      <c r="G476" s="118"/>
      <c r="H476" s="118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hidden="1">
      <c r="A477" s="118"/>
      <c r="B477" s="118"/>
      <c r="C477" s="118"/>
      <c r="D477" s="118"/>
      <c r="E477" s="118"/>
      <c r="F477" s="118"/>
      <c r="G477" s="118"/>
      <c r="H477" s="118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hidden="1">
      <c r="A478" s="118"/>
      <c r="B478" s="118"/>
      <c r="C478" s="118"/>
      <c r="D478" s="118"/>
      <c r="E478" s="118"/>
      <c r="F478" s="118"/>
      <c r="G478" s="118"/>
      <c r="H478" s="118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hidden="1">
      <c r="A479" s="118"/>
      <c r="B479" s="118"/>
      <c r="C479" s="118"/>
      <c r="D479" s="118"/>
      <c r="E479" s="118"/>
      <c r="F479" s="118"/>
      <c r="G479" s="118"/>
      <c r="H479" s="118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hidden="1">
      <c r="A480" s="118"/>
      <c r="B480" s="118"/>
      <c r="C480" s="118"/>
      <c r="D480" s="118"/>
      <c r="E480" s="118"/>
      <c r="F480" s="118"/>
      <c r="G480" s="118"/>
      <c r="H480" s="118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hidden="1">
      <c r="A481" s="118"/>
      <c r="B481" s="118"/>
      <c r="C481" s="118"/>
      <c r="D481" s="118"/>
      <c r="E481" s="118"/>
      <c r="F481" s="118"/>
      <c r="G481" s="118"/>
      <c r="H481" s="118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hidden="1">
      <c r="A482" s="118"/>
      <c r="B482" s="118"/>
      <c r="C482" s="118"/>
      <c r="D482" s="118"/>
      <c r="E482" s="118"/>
      <c r="F482" s="118"/>
      <c r="G482" s="118"/>
      <c r="H482" s="118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hidden="1">
      <c r="A483" s="118"/>
      <c r="B483" s="118"/>
      <c r="C483" s="118"/>
      <c r="D483" s="118"/>
      <c r="E483" s="118"/>
      <c r="F483" s="118"/>
      <c r="G483" s="118"/>
      <c r="H483" s="118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hidden="1">
      <c r="A484" s="118"/>
      <c r="B484" s="118"/>
      <c r="C484" s="118"/>
      <c r="D484" s="118"/>
      <c r="E484" s="118"/>
      <c r="F484" s="118"/>
      <c r="G484" s="118"/>
      <c r="H484" s="118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hidden="1">
      <c r="A485" s="118"/>
      <c r="B485" s="118"/>
      <c r="C485" s="118"/>
      <c r="D485" s="118"/>
      <c r="E485" s="118"/>
      <c r="F485" s="118"/>
      <c r="G485" s="118"/>
      <c r="H485" s="118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hidden="1">
      <c r="A486" s="118"/>
      <c r="B486" s="118"/>
      <c r="C486" s="118"/>
      <c r="D486" s="118"/>
      <c r="E486" s="118"/>
      <c r="F486" s="118"/>
      <c r="G486" s="118"/>
      <c r="H486" s="118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hidden="1">
      <c r="A487" s="118"/>
      <c r="B487" s="118"/>
      <c r="C487" s="118"/>
      <c r="D487" s="118"/>
      <c r="E487" s="118"/>
      <c r="F487" s="118"/>
      <c r="G487" s="118"/>
      <c r="H487" s="118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hidden="1">
      <c r="A488" s="118"/>
      <c r="B488" s="118"/>
      <c r="C488" s="118"/>
      <c r="D488" s="118"/>
      <c r="E488" s="118"/>
      <c r="F488" s="118"/>
      <c r="G488" s="118"/>
      <c r="H488" s="118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hidden="1">
      <c r="A489" s="118"/>
      <c r="B489" s="118"/>
      <c r="C489" s="118"/>
      <c r="D489" s="118"/>
      <c r="E489" s="118"/>
      <c r="F489" s="118"/>
      <c r="G489" s="118"/>
      <c r="H489" s="118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hidden="1">
      <c r="A490" s="118"/>
      <c r="B490" s="118"/>
      <c r="C490" s="118"/>
      <c r="D490" s="118"/>
      <c r="E490" s="118"/>
      <c r="F490" s="118"/>
      <c r="G490" s="118"/>
      <c r="H490" s="118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hidden="1">
      <c r="A491" s="118"/>
      <c r="B491" s="118"/>
      <c r="C491" s="118"/>
      <c r="D491" s="118"/>
      <c r="E491" s="118"/>
      <c r="F491" s="118"/>
      <c r="G491" s="118"/>
      <c r="H491" s="118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hidden="1">
      <c r="A492" s="118"/>
      <c r="B492" s="118"/>
      <c r="C492" s="118"/>
      <c r="D492" s="118"/>
      <c r="E492" s="118"/>
      <c r="F492" s="118"/>
      <c r="G492" s="118"/>
      <c r="H492" s="118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hidden="1">
      <c r="A493" s="118"/>
      <c r="B493" s="118"/>
      <c r="C493" s="118"/>
      <c r="D493" s="118"/>
      <c r="E493" s="118"/>
      <c r="F493" s="118"/>
      <c r="G493" s="118"/>
      <c r="H493" s="118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hidden="1">
      <c r="A494" s="118"/>
      <c r="B494" s="118"/>
      <c r="C494" s="118"/>
      <c r="D494" s="118"/>
      <c r="E494" s="118"/>
      <c r="F494" s="118"/>
      <c r="G494" s="118"/>
      <c r="H494" s="118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hidden="1">
      <c r="A495" s="118"/>
      <c r="B495" s="118"/>
      <c r="C495" s="118"/>
      <c r="D495" s="118"/>
      <c r="E495" s="118"/>
      <c r="F495" s="118"/>
      <c r="G495" s="118"/>
      <c r="H495" s="118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hidden="1">
      <c r="A496" s="118"/>
      <c r="B496" s="118"/>
      <c r="C496" s="118"/>
      <c r="D496" s="118"/>
      <c r="E496" s="118"/>
      <c r="F496" s="118"/>
      <c r="G496" s="118"/>
      <c r="H496" s="118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hidden="1">
      <c r="A497" s="118"/>
      <c r="B497" s="118"/>
      <c r="C497" s="118"/>
      <c r="D497" s="118"/>
      <c r="E497" s="118"/>
      <c r="F497" s="118"/>
      <c r="G497" s="118"/>
      <c r="H497" s="118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hidden="1">
      <c r="A498" s="118"/>
      <c r="B498" s="118"/>
      <c r="C498" s="118"/>
      <c r="D498" s="118"/>
      <c r="E498" s="118"/>
      <c r="F498" s="118"/>
      <c r="G498" s="118"/>
      <c r="H498" s="118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hidden="1">
      <c r="A499" s="118"/>
      <c r="B499" s="118"/>
      <c r="C499" s="118"/>
      <c r="D499" s="118"/>
      <c r="E499" s="118"/>
      <c r="F499" s="118"/>
      <c r="G499" s="118"/>
      <c r="H499" s="118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hidden="1">
      <c r="A500" s="118"/>
      <c r="B500" s="118"/>
      <c r="C500" s="118"/>
      <c r="D500" s="118"/>
      <c r="E500" s="118"/>
      <c r="F500" s="118"/>
      <c r="G500" s="118"/>
      <c r="H500" s="118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hidden="1">
      <c r="A501" s="118"/>
      <c r="B501" s="118"/>
      <c r="C501" s="118"/>
      <c r="D501" s="118"/>
      <c r="E501" s="118"/>
      <c r="F501" s="118"/>
      <c r="G501" s="118"/>
      <c r="H501" s="118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hidden="1">
      <c r="A502" s="118"/>
      <c r="B502" s="118"/>
      <c r="C502" s="118"/>
      <c r="D502" s="118"/>
      <c r="E502" s="118"/>
      <c r="F502" s="118"/>
      <c r="G502" s="118"/>
      <c r="H502" s="118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hidden="1">
      <c r="A503" s="118"/>
      <c r="B503" s="118"/>
      <c r="C503" s="118"/>
      <c r="D503" s="118"/>
      <c r="E503" s="118"/>
      <c r="F503" s="118"/>
      <c r="G503" s="118"/>
      <c r="H503" s="118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hidden="1">
      <c r="A504" s="118"/>
      <c r="B504" s="118"/>
      <c r="C504" s="118"/>
      <c r="D504" s="118"/>
      <c r="E504" s="118"/>
      <c r="F504" s="118"/>
      <c r="G504" s="118"/>
      <c r="H504" s="118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hidden="1">
      <c r="A505" s="118"/>
      <c r="B505" s="118"/>
      <c r="C505" s="118"/>
      <c r="D505" s="118"/>
      <c r="E505" s="118"/>
      <c r="F505" s="118"/>
      <c r="G505" s="118"/>
      <c r="H505" s="118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hidden="1">
      <c r="A506" s="118"/>
      <c r="B506" s="118"/>
      <c r="C506" s="118"/>
      <c r="D506" s="118"/>
      <c r="E506" s="118"/>
      <c r="F506" s="118"/>
      <c r="G506" s="118"/>
      <c r="H506" s="118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hidden="1">
      <c r="A507" s="118"/>
      <c r="B507" s="118"/>
      <c r="C507" s="118"/>
      <c r="D507" s="118"/>
      <c r="E507" s="118"/>
      <c r="F507" s="118"/>
      <c r="G507" s="118"/>
      <c r="H507" s="118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hidden="1">
      <c r="A508" s="118"/>
      <c r="B508" s="118"/>
      <c r="C508" s="118"/>
      <c r="D508" s="118"/>
      <c r="E508" s="118"/>
      <c r="F508" s="118"/>
      <c r="G508" s="118"/>
      <c r="H508" s="118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hidden="1">
      <c r="A509" s="118"/>
      <c r="B509" s="118"/>
      <c r="C509" s="118"/>
      <c r="D509" s="118"/>
      <c r="E509" s="118"/>
      <c r="F509" s="118"/>
      <c r="G509" s="118"/>
      <c r="H509" s="118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hidden="1">
      <c r="A510" s="118"/>
      <c r="B510" s="118"/>
      <c r="C510" s="118"/>
      <c r="D510" s="118"/>
      <c r="E510" s="118"/>
      <c r="F510" s="118"/>
      <c r="G510" s="118"/>
      <c r="H510" s="118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hidden="1">
      <c r="A511" s="118"/>
      <c r="B511" s="118"/>
      <c r="C511" s="118"/>
      <c r="D511" s="118"/>
      <c r="E511" s="118"/>
      <c r="F511" s="118"/>
      <c r="G511" s="118"/>
      <c r="H511" s="118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hidden="1">
      <c r="A512" s="118"/>
      <c r="B512" s="118"/>
      <c r="C512" s="118"/>
      <c r="D512" s="118"/>
      <c r="E512" s="118"/>
      <c r="F512" s="118"/>
      <c r="G512" s="118"/>
      <c r="H512" s="118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hidden="1">
      <c r="A513" s="118"/>
      <c r="B513" s="118"/>
      <c r="C513" s="118"/>
      <c r="D513" s="118"/>
      <c r="E513" s="118"/>
      <c r="F513" s="118"/>
      <c r="G513" s="118"/>
      <c r="H513" s="118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hidden="1">
      <c r="A514" s="118"/>
      <c r="B514" s="118"/>
      <c r="C514" s="118"/>
      <c r="D514" s="118"/>
      <c r="E514" s="118"/>
      <c r="F514" s="118"/>
      <c r="G514" s="118"/>
      <c r="H514" s="118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hidden="1">
      <c r="A515" s="118"/>
      <c r="B515" s="118"/>
      <c r="C515" s="118"/>
      <c r="D515" s="118"/>
      <c r="E515" s="118"/>
      <c r="F515" s="118"/>
      <c r="G515" s="118"/>
      <c r="H515" s="118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hidden="1">
      <c r="A516" s="118"/>
      <c r="B516" s="118"/>
      <c r="C516" s="118"/>
      <c r="D516" s="118"/>
      <c r="E516" s="118"/>
      <c r="F516" s="118"/>
      <c r="G516" s="118"/>
      <c r="H516" s="118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hidden="1">
      <c r="A517" s="118"/>
      <c r="B517" s="118"/>
      <c r="C517" s="118"/>
      <c r="D517" s="118"/>
      <c r="E517" s="118"/>
      <c r="F517" s="118"/>
      <c r="G517" s="118"/>
      <c r="H517" s="118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hidden="1">
      <c r="A518" s="118"/>
      <c r="B518" s="118"/>
      <c r="C518" s="118"/>
      <c r="D518" s="118"/>
      <c r="E518" s="118"/>
      <c r="F518" s="118"/>
      <c r="G518" s="118"/>
      <c r="H518" s="118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hidden="1">
      <c r="A519" s="118"/>
      <c r="B519" s="118"/>
      <c r="C519" s="118"/>
      <c r="D519" s="118"/>
      <c r="E519" s="118"/>
      <c r="F519" s="118"/>
      <c r="G519" s="118"/>
      <c r="H519" s="118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hidden="1">
      <c r="A520" s="118"/>
      <c r="B520" s="118"/>
      <c r="C520" s="118"/>
      <c r="D520" s="118"/>
      <c r="E520" s="118"/>
      <c r="F520" s="118"/>
      <c r="G520" s="118"/>
      <c r="H520" s="118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hidden="1">
      <c r="A521" s="118"/>
      <c r="B521" s="118"/>
      <c r="C521" s="118"/>
      <c r="D521" s="118"/>
      <c r="E521" s="118"/>
      <c r="F521" s="118"/>
      <c r="G521" s="118"/>
      <c r="H521" s="118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hidden="1">
      <c r="A522" s="118"/>
      <c r="B522" s="118"/>
      <c r="C522" s="118"/>
      <c r="D522" s="118"/>
      <c r="E522" s="118"/>
      <c r="F522" s="118"/>
      <c r="G522" s="118"/>
      <c r="H522" s="118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hidden="1">
      <c r="A523" s="118"/>
      <c r="B523" s="118"/>
      <c r="C523" s="118"/>
      <c r="D523" s="118"/>
      <c r="E523" s="118"/>
      <c r="F523" s="118"/>
      <c r="G523" s="118"/>
      <c r="H523" s="118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hidden="1">
      <c r="A524" s="118"/>
      <c r="B524" s="118"/>
      <c r="C524" s="118"/>
      <c r="D524" s="118"/>
      <c r="E524" s="118"/>
      <c r="F524" s="118"/>
      <c r="G524" s="118"/>
      <c r="H524" s="118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hidden="1">
      <c r="A525" s="118"/>
      <c r="B525" s="118"/>
      <c r="C525" s="118"/>
      <c r="D525" s="118"/>
      <c r="E525" s="118"/>
      <c r="F525" s="118"/>
      <c r="G525" s="118"/>
      <c r="H525" s="118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hidden="1">
      <c r="A526" s="118"/>
      <c r="B526" s="118"/>
      <c r="C526" s="118"/>
      <c r="D526" s="118"/>
      <c r="E526" s="118"/>
      <c r="F526" s="118"/>
      <c r="G526" s="118"/>
      <c r="H526" s="118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hidden="1">
      <c r="A527" s="118"/>
      <c r="B527" s="118"/>
      <c r="C527" s="118"/>
      <c r="D527" s="118"/>
      <c r="E527" s="118"/>
      <c r="F527" s="118"/>
      <c r="G527" s="118"/>
      <c r="H527" s="118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hidden="1">
      <c r="A528" s="118"/>
      <c r="B528" s="118"/>
      <c r="C528" s="118"/>
      <c r="D528" s="118"/>
      <c r="E528" s="118"/>
      <c r="F528" s="118"/>
      <c r="G528" s="118"/>
      <c r="H528" s="118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hidden="1">
      <c r="A529" s="118"/>
      <c r="B529" s="118"/>
      <c r="C529" s="118"/>
      <c r="D529" s="118"/>
      <c r="E529" s="118"/>
      <c r="F529" s="118"/>
      <c r="G529" s="118"/>
      <c r="H529" s="118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hidden="1">
      <c r="A530" s="118"/>
      <c r="B530" s="118"/>
      <c r="C530" s="118"/>
      <c r="D530" s="118"/>
      <c r="E530" s="118"/>
      <c r="F530" s="118"/>
      <c r="G530" s="118"/>
      <c r="H530" s="118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hidden="1">
      <c r="A531" s="118"/>
      <c r="B531" s="118"/>
      <c r="C531" s="118"/>
      <c r="D531" s="118"/>
      <c r="E531" s="118"/>
      <c r="F531" s="118"/>
      <c r="G531" s="118"/>
      <c r="H531" s="118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hidden="1">
      <c r="A532" s="118"/>
      <c r="B532" s="118"/>
      <c r="C532" s="118"/>
      <c r="D532" s="118"/>
      <c r="E532" s="118"/>
      <c r="F532" s="118"/>
      <c r="G532" s="118"/>
      <c r="H532" s="118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hidden="1">
      <c r="A533" s="118"/>
      <c r="B533" s="118"/>
      <c r="C533" s="118"/>
      <c r="D533" s="118"/>
      <c r="E533" s="118"/>
      <c r="F533" s="118"/>
      <c r="G533" s="118"/>
      <c r="H533" s="118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hidden="1">
      <c r="A534" s="118"/>
      <c r="B534" s="118"/>
      <c r="C534" s="118"/>
      <c r="D534" s="118"/>
      <c r="E534" s="118"/>
      <c r="F534" s="118"/>
      <c r="G534" s="118"/>
      <c r="H534" s="118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hidden="1">
      <c r="A535" s="118"/>
      <c r="B535" s="118"/>
      <c r="C535" s="118"/>
      <c r="D535" s="118"/>
      <c r="E535" s="118"/>
      <c r="F535" s="118"/>
      <c r="G535" s="118"/>
      <c r="H535" s="118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hidden="1">
      <c r="A536" s="118"/>
      <c r="B536" s="118"/>
      <c r="C536" s="118"/>
      <c r="D536" s="118"/>
      <c r="E536" s="118"/>
      <c r="F536" s="118"/>
      <c r="G536" s="118"/>
      <c r="H536" s="118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hidden="1">
      <c r="A537" s="118"/>
      <c r="B537" s="118"/>
      <c r="C537" s="118"/>
      <c r="D537" s="118"/>
      <c r="E537" s="118"/>
      <c r="F537" s="118"/>
      <c r="G537" s="118"/>
      <c r="H537" s="118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hidden="1">
      <c r="A538" s="118"/>
      <c r="B538" s="118"/>
      <c r="C538" s="118"/>
      <c r="D538" s="118"/>
      <c r="E538" s="118"/>
      <c r="F538" s="118"/>
      <c r="G538" s="118"/>
      <c r="H538" s="118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hidden="1">
      <c r="A539" s="118"/>
      <c r="B539" s="118"/>
      <c r="C539" s="118"/>
      <c r="D539" s="118"/>
      <c r="E539" s="118"/>
      <c r="F539" s="118"/>
      <c r="G539" s="118"/>
      <c r="H539" s="118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hidden="1">
      <c r="A540" s="118"/>
      <c r="B540" s="118"/>
      <c r="C540" s="118"/>
      <c r="D540" s="118"/>
      <c r="E540" s="118"/>
      <c r="F540" s="118"/>
      <c r="G540" s="118"/>
      <c r="H540" s="118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hidden="1">
      <c r="A541" s="118"/>
      <c r="B541" s="118"/>
      <c r="C541" s="118"/>
      <c r="D541" s="118"/>
      <c r="E541" s="118"/>
      <c r="F541" s="118"/>
      <c r="G541" s="118"/>
      <c r="H541" s="118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hidden="1">
      <c r="A542" s="118"/>
      <c r="B542" s="118"/>
      <c r="C542" s="118"/>
      <c r="D542" s="118"/>
      <c r="E542" s="118"/>
      <c r="F542" s="118"/>
      <c r="G542" s="118"/>
      <c r="H542" s="118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hidden="1">
      <c r="A543" s="118"/>
      <c r="B543" s="118"/>
      <c r="C543" s="118"/>
      <c r="D543" s="118"/>
      <c r="E543" s="118"/>
      <c r="F543" s="118"/>
      <c r="G543" s="118"/>
      <c r="H543" s="118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hidden="1">
      <c r="A544" s="118"/>
      <c r="B544" s="118"/>
      <c r="C544" s="118"/>
      <c r="D544" s="118"/>
      <c r="E544" s="118"/>
      <c r="F544" s="118"/>
      <c r="G544" s="118"/>
      <c r="H544" s="118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hidden="1">
      <c r="A545" s="118"/>
      <c r="B545" s="118"/>
      <c r="C545" s="118"/>
      <c r="D545" s="118"/>
      <c r="E545" s="118"/>
      <c r="F545" s="118"/>
      <c r="G545" s="118"/>
      <c r="H545" s="118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hidden="1">
      <c r="A546" s="118"/>
      <c r="B546" s="118"/>
      <c r="C546" s="118"/>
      <c r="D546" s="118"/>
      <c r="E546" s="118"/>
      <c r="F546" s="118"/>
      <c r="G546" s="118"/>
      <c r="H546" s="118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hidden="1">
      <c r="A547" s="118"/>
      <c r="B547" s="118"/>
      <c r="C547" s="118"/>
      <c r="D547" s="118"/>
      <c r="E547" s="118"/>
      <c r="F547" s="118"/>
      <c r="G547" s="118"/>
      <c r="H547" s="118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hidden="1">
      <c r="A548" s="118"/>
      <c r="B548" s="118"/>
      <c r="C548" s="118"/>
      <c r="D548" s="118"/>
      <c r="E548" s="118"/>
      <c r="F548" s="118"/>
      <c r="G548" s="118"/>
      <c r="H548" s="118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hidden="1">
      <c r="A549" s="118"/>
      <c r="B549" s="118"/>
      <c r="C549" s="118"/>
      <c r="D549" s="118"/>
      <c r="E549" s="118"/>
      <c r="F549" s="118"/>
      <c r="G549" s="118"/>
      <c r="H549" s="118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hidden="1">
      <c r="A550" s="118"/>
      <c r="B550" s="118"/>
      <c r="C550" s="118"/>
      <c r="D550" s="118"/>
      <c r="E550" s="118"/>
      <c r="F550" s="118"/>
      <c r="G550" s="118"/>
      <c r="H550" s="118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hidden="1">
      <c r="A551" s="118"/>
      <c r="B551" s="118"/>
      <c r="C551" s="118"/>
      <c r="D551" s="118"/>
      <c r="E551" s="118"/>
      <c r="F551" s="118"/>
      <c r="G551" s="118"/>
      <c r="H551" s="118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hidden="1">
      <c r="A552" s="118"/>
      <c r="B552" s="118"/>
      <c r="C552" s="118"/>
      <c r="D552" s="118"/>
      <c r="E552" s="118"/>
      <c r="F552" s="118"/>
      <c r="G552" s="118"/>
      <c r="H552" s="118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hidden="1">
      <c r="A553" s="118"/>
      <c r="B553" s="118"/>
      <c r="C553" s="118"/>
      <c r="D553" s="118"/>
      <c r="E553" s="118"/>
      <c r="F553" s="118"/>
      <c r="G553" s="118"/>
      <c r="H553" s="118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hidden="1">
      <c r="A554" s="118"/>
      <c r="B554" s="118"/>
      <c r="C554" s="118"/>
      <c r="D554" s="118"/>
      <c r="E554" s="118"/>
      <c r="F554" s="118"/>
      <c r="G554" s="118"/>
      <c r="H554" s="118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hidden="1">
      <c r="A555" s="118"/>
      <c r="B555" s="118"/>
      <c r="C555" s="118"/>
      <c r="D555" s="118"/>
      <c r="E555" s="118"/>
      <c r="F555" s="118"/>
      <c r="G555" s="118"/>
      <c r="H555" s="118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hidden="1">
      <c r="A556" s="118"/>
      <c r="B556" s="118"/>
      <c r="C556" s="118"/>
      <c r="D556" s="118"/>
      <c r="E556" s="118"/>
      <c r="F556" s="118"/>
      <c r="G556" s="118"/>
      <c r="H556" s="118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hidden="1">
      <c r="A557" s="118"/>
      <c r="B557" s="118"/>
      <c r="C557" s="118"/>
      <c r="D557" s="118"/>
      <c r="E557" s="118"/>
      <c r="F557" s="118"/>
      <c r="G557" s="118"/>
      <c r="H557" s="118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hidden="1">
      <c r="A558" s="118"/>
      <c r="B558" s="118"/>
      <c r="C558" s="118"/>
      <c r="D558" s="118"/>
      <c r="E558" s="118"/>
      <c r="F558" s="118"/>
      <c r="G558" s="118"/>
      <c r="H558" s="118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hidden="1">
      <c r="A559" s="118"/>
      <c r="B559" s="118"/>
      <c r="C559" s="118"/>
      <c r="D559" s="118"/>
      <c r="E559" s="118"/>
      <c r="F559" s="118"/>
      <c r="G559" s="118"/>
      <c r="H559" s="118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hidden="1">
      <c r="A560" s="118"/>
      <c r="B560" s="118"/>
      <c r="C560" s="118"/>
      <c r="D560" s="118"/>
      <c r="E560" s="118"/>
      <c r="F560" s="118"/>
      <c r="G560" s="118"/>
      <c r="H560" s="118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hidden="1">
      <c r="A561" s="118"/>
      <c r="B561" s="118"/>
      <c r="C561" s="118"/>
      <c r="D561" s="118"/>
      <c r="E561" s="118"/>
      <c r="F561" s="118"/>
      <c r="G561" s="118"/>
      <c r="H561" s="118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hidden="1">
      <c r="A562" s="118"/>
      <c r="B562" s="118"/>
      <c r="C562" s="118"/>
      <c r="D562" s="118"/>
      <c r="E562" s="118"/>
      <c r="F562" s="118"/>
      <c r="G562" s="118"/>
      <c r="H562" s="118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hidden="1">
      <c r="A563" s="118"/>
      <c r="B563" s="118"/>
      <c r="C563" s="118"/>
      <c r="D563" s="118"/>
      <c r="E563" s="118"/>
      <c r="F563" s="118"/>
      <c r="G563" s="118"/>
      <c r="H563" s="118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hidden="1">
      <c r="A564" s="118"/>
      <c r="B564" s="118"/>
      <c r="C564" s="118"/>
      <c r="D564" s="118"/>
      <c r="E564" s="118"/>
      <c r="F564" s="118"/>
      <c r="G564" s="118"/>
      <c r="H564" s="118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hidden="1">
      <c r="A565" s="118"/>
      <c r="B565" s="118"/>
      <c r="C565" s="118"/>
      <c r="D565" s="118"/>
      <c r="E565" s="118"/>
      <c r="F565" s="118"/>
      <c r="G565" s="118"/>
      <c r="H565" s="118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hidden="1">
      <c r="A566" s="118"/>
      <c r="B566" s="118"/>
      <c r="C566" s="118"/>
      <c r="D566" s="118"/>
      <c r="E566" s="118"/>
      <c r="F566" s="118"/>
      <c r="G566" s="118"/>
      <c r="H566" s="118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hidden="1">
      <c r="A567" s="118"/>
      <c r="B567" s="118"/>
      <c r="C567" s="118"/>
      <c r="D567" s="118"/>
      <c r="E567" s="118"/>
      <c r="F567" s="118"/>
      <c r="G567" s="118"/>
      <c r="H567" s="118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hidden="1">
      <c r="A568" s="118"/>
      <c r="B568" s="118"/>
      <c r="C568" s="118"/>
      <c r="D568" s="118"/>
      <c r="E568" s="118"/>
      <c r="F568" s="118"/>
      <c r="G568" s="118"/>
      <c r="H568" s="118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hidden="1">
      <c r="A569" s="118"/>
      <c r="B569" s="118"/>
      <c r="C569" s="118"/>
      <c r="D569" s="118"/>
      <c r="E569" s="118"/>
      <c r="F569" s="118"/>
      <c r="G569" s="118"/>
      <c r="H569" s="118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hidden="1">
      <c r="A570" s="118"/>
      <c r="B570" s="118"/>
      <c r="C570" s="118"/>
      <c r="D570" s="118"/>
      <c r="E570" s="118"/>
      <c r="F570" s="118"/>
      <c r="G570" s="118"/>
      <c r="H570" s="118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hidden="1">
      <c r="A571" s="118"/>
      <c r="B571" s="118"/>
      <c r="C571" s="118"/>
      <c r="D571" s="118"/>
      <c r="E571" s="118"/>
      <c r="F571" s="118"/>
      <c r="G571" s="118"/>
      <c r="H571" s="118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hidden="1">
      <c r="A572" s="118"/>
      <c r="B572" s="118"/>
      <c r="C572" s="118"/>
      <c r="D572" s="118"/>
      <c r="E572" s="118"/>
      <c r="F572" s="118"/>
      <c r="G572" s="118"/>
      <c r="H572" s="118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hidden="1">
      <c r="A573" s="118"/>
      <c r="B573" s="118"/>
      <c r="C573" s="118"/>
      <c r="D573" s="118"/>
      <c r="E573" s="118"/>
      <c r="F573" s="118"/>
      <c r="G573" s="118"/>
      <c r="H573" s="118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hidden="1">
      <c r="A574" s="118"/>
      <c r="B574" s="118"/>
      <c r="C574" s="118"/>
      <c r="D574" s="118"/>
      <c r="E574" s="118"/>
      <c r="F574" s="118"/>
      <c r="G574" s="118"/>
      <c r="H574" s="118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hidden="1">
      <c r="A575" s="118"/>
      <c r="B575" s="118"/>
      <c r="C575" s="118"/>
      <c r="D575" s="118"/>
      <c r="E575" s="118"/>
      <c r="F575" s="118"/>
      <c r="G575" s="118"/>
      <c r="H575" s="118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hidden="1">
      <c r="A576" s="118"/>
      <c r="B576" s="118"/>
      <c r="C576" s="118"/>
      <c r="D576" s="118"/>
      <c r="E576" s="118"/>
      <c r="F576" s="118"/>
      <c r="G576" s="118"/>
      <c r="H576" s="118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hidden="1">
      <c r="A577" s="118"/>
      <c r="B577" s="118"/>
      <c r="C577" s="118"/>
      <c r="D577" s="118"/>
      <c r="E577" s="118"/>
      <c r="F577" s="118"/>
      <c r="G577" s="118"/>
      <c r="H577" s="118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hidden="1">
      <c r="A578" s="118"/>
      <c r="B578" s="118"/>
      <c r="C578" s="118"/>
      <c r="D578" s="118"/>
      <c r="E578" s="118"/>
      <c r="F578" s="118"/>
      <c r="G578" s="118"/>
      <c r="H578" s="118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hidden="1">
      <c r="A579" s="118"/>
      <c r="B579" s="118"/>
      <c r="C579" s="118"/>
      <c r="D579" s="118"/>
      <c r="E579" s="118"/>
      <c r="F579" s="118"/>
      <c r="G579" s="118"/>
      <c r="H579" s="118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hidden="1">
      <c r="A580" s="118"/>
      <c r="B580" s="118"/>
      <c r="C580" s="118"/>
      <c r="D580" s="118"/>
      <c r="E580" s="118"/>
      <c r="F580" s="118"/>
      <c r="G580" s="118"/>
      <c r="H580" s="118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hidden="1">
      <c r="A581" s="118"/>
      <c r="B581" s="118"/>
      <c r="C581" s="118"/>
      <c r="D581" s="118"/>
      <c r="E581" s="118"/>
      <c r="F581" s="118"/>
      <c r="G581" s="118"/>
      <c r="H581" s="118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hidden="1">
      <c r="A582" s="118"/>
      <c r="B582" s="118"/>
      <c r="C582" s="118"/>
      <c r="D582" s="118"/>
      <c r="E582" s="118"/>
      <c r="F582" s="118"/>
      <c r="G582" s="118"/>
      <c r="H582" s="118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hidden="1">
      <c r="A583" s="118"/>
      <c r="B583" s="118"/>
      <c r="C583" s="118"/>
      <c r="D583" s="118"/>
      <c r="E583" s="118"/>
      <c r="F583" s="118"/>
      <c r="G583" s="118"/>
      <c r="H583" s="118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hidden="1">
      <c r="A584" s="118"/>
      <c r="B584" s="118"/>
      <c r="C584" s="118"/>
      <c r="D584" s="118"/>
      <c r="E584" s="118"/>
      <c r="F584" s="118"/>
      <c r="G584" s="118"/>
      <c r="H584" s="118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hidden="1">
      <c r="A585" s="118"/>
      <c r="B585" s="118"/>
      <c r="C585" s="118"/>
      <c r="D585" s="118"/>
      <c r="E585" s="118"/>
      <c r="F585" s="118"/>
      <c r="G585" s="118"/>
      <c r="H585" s="118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hidden="1">
      <c r="A586" s="118"/>
      <c r="B586" s="118"/>
      <c r="C586" s="118"/>
      <c r="D586" s="118"/>
      <c r="E586" s="118"/>
      <c r="F586" s="118"/>
      <c r="G586" s="118"/>
      <c r="H586" s="118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hidden="1">
      <c r="A587" s="118"/>
      <c r="B587" s="118"/>
      <c r="C587" s="118"/>
      <c r="D587" s="118"/>
      <c r="E587" s="118"/>
      <c r="F587" s="118"/>
      <c r="G587" s="118"/>
      <c r="H587" s="118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hidden="1">
      <c r="A588" s="118"/>
      <c r="B588" s="118"/>
      <c r="C588" s="118"/>
      <c r="D588" s="118"/>
      <c r="E588" s="118"/>
      <c r="F588" s="118"/>
      <c r="G588" s="118"/>
      <c r="H588" s="118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hidden="1">
      <c r="A589" s="118"/>
      <c r="B589" s="118"/>
      <c r="C589" s="118"/>
      <c r="D589" s="118"/>
      <c r="E589" s="118"/>
      <c r="F589" s="118"/>
      <c r="G589" s="118"/>
      <c r="H589" s="118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hidden="1">
      <c r="A590" s="118"/>
      <c r="B590" s="118"/>
      <c r="C590" s="118"/>
      <c r="D590" s="118"/>
      <c r="E590" s="118"/>
      <c r="F590" s="118"/>
      <c r="G590" s="118"/>
      <c r="H590" s="118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hidden="1">
      <c r="A591" s="118"/>
      <c r="B591" s="118"/>
      <c r="C591" s="118"/>
      <c r="D591" s="118"/>
      <c r="E591" s="118"/>
      <c r="F591" s="118"/>
      <c r="G591" s="118"/>
      <c r="H591" s="118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hidden="1">
      <c r="A592" s="118"/>
      <c r="B592" s="118"/>
      <c r="C592" s="118"/>
      <c r="D592" s="118"/>
      <c r="E592" s="118"/>
      <c r="F592" s="118"/>
      <c r="G592" s="118"/>
      <c r="H592" s="118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hidden="1">
      <c r="A593" s="118"/>
      <c r="B593" s="118"/>
      <c r="C593" s="118"/>
      <c r="D593" s="118"/>
      <c r="E593" s="118"/>
      <c r="F593" s="118"/>
      <c r="G593" s="118"/>
      <c r="H593" s="118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hidden="1">
      <c r="A594" s="118"/>
      <c r="B594" s="118"/>
      <c r="C594" s="118"/>
      <c r="D594" s="118"/>
      <c r="E594" s="118"/>
      <c r="F594" s="118"/>
      <c r="G594" s="118"/>
      <c r="H594" s="118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hidden="1">
      <c r="A595" s="118"/>
      <c r="B595" s="118"/>
      <c r="C595" s="118"/>
      <c r="D595" s="118"/>
      <c r="E595" s="118"/>
      <c r="F595" s="118"/>
      <c r="G595" s="118"/>
      <c r="H595" s="118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hidden="1">
      <c r="A596" s="118"/>
      <c r="B596" s="118"/>
      <c r="C596" s="118"/>
      <c r="D596" s="118"/>
      <c r="E596" s="118"/>
      <c r="F596" s="118"/>
      <c r="G596" s="118"/>
      <c r="H596" s="118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hidden="1">
      <c r="A597" s="118"/>
      <c r="B597" s="118"/>
      <c r="C597" s="118"/>
      <c r="D597" s="118"/>
      <c r="E597" s="118"/>
      <c r="F597" s="118"/>
      <c r="G597" s="118"/>
      <c r="H597" s="118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hidden="1">
      <c r="A598" s="118"/>
      <c r="B598" s="118"/>
      <c r="C598" s="118"/>
      <c r="D598" s="118"/>
      <c r="E598" s="118"/>
      <c r="F598" s="118"/>
      <c r="G598" s="118"/>
      <c r="H598" s="118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hidden="1">
      <c r="A599" s="118"/>
      <c r="B599" s="118"/>
      <c r="C599" s="118"/>
      <c r="D599" s="118"/>
      <c r="E599" s="118"/>
      <c r="F599" s="118"/>
      <c r="G599" s="118"/>
      <c r="H599" s="118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hidden="1">
      <c r="A600" s="118"/>
      <c r="B600" s="118"/>
      <c r="C600" s="118"/>
      <c r="D600" s="118"/>
      <c r="E600" s="118"/>
      <c r="F600" s="118"/>
      <c r="G600" s="118"/>
      <c r="H600" s="118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hidden="1">
      <c r="A601" s="118"/>
      <c r="B601" s="118"/>
      <c r="C601" s="118"/>
      <c r="D601" s="118"/>
      <c r="E601" s="118"/>
      <c r="F601" s="118"/>
      <c r="G601" s="118"/>
      <c r="H601" s="118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hidden="1">
      <c r="A602" s="118"/>
      <c r="B602" s="118"/>
      <c r="C602" s="118"/>
      <c r="D602" s="118"/>
      <c r="E602" s="118"/>
      <c r="F602" s="118"/>
      <c r="G602" s="118"/>
      <c r="H602" s="118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hidden="1">
      <c r="A603" s="118"/>
      <c r="B603" s="118"/>
      <c r="C603" s="118"/>
      <c r="D603" s="118"/>
      <c r="E603" s="118"/>
      <c r="F603" s="118"/>
      <c r="G603" s="118"/>
      <c r="H603" s="118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hidden="1">
      <c r="A604" s="118"/>
      <c r="B604" s="118"/>
      <c r="C604" s="118"/>
      <c r="D604" s="118"/>
      <c r="E604" s="118"/>
      <c r="F604" s="118"/>
      <c r="G604" s="118"/>
      <c r="H604" s="118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hidden="1">
      <c r="A605" s="118"/>
      <c r="B605" s="118"/>
      <c r="C605" s="118"/>
      <c r="D605" s="118"/>
      <c r="E605" s="118"/>
      <c r="F605" s="118"/>
      <c r="G605" s="118"/>
      <c r="H605" s="118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hidden="1">
      <c r="A606" s="118"/>
      <c r="B606" s="118"/>
      <c r="C606" s="118"/>
      <c r="D606" s="118"/>
      <c r="E606" s="118"/>
      <c r="F606" s="118"/>
      <c r="G606" s="118"/>
      <c r="H606" s="118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hidden="1">
      <c r="A607" s="118"/>
      <c r="B607" s="118"/>
      <c r="C607" s="118"/>
      <c r="D607" s="118"/>
      <c r="E607" s="118"/>
      <c r="F607" s="118"/>
      <c r="G607" s="118"/>
      <c r="H607" s="118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hidden="1">
      <c r="A608" s="118"/>
      <c r="B608" s="118"/>
      <c r="C608" s="118"/>
      <c r="D608" s="118"/>
      <c r="E608" s="118"/>
      <c r="F608" s="118"/>
      <c r="G608" s="118"/>
      <c r="H608" s="118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hidden="1">
      <c r="A609" s="118"/>
      <c r="B609" s="118"/>
      <c r="C609" s="118"/>
      <c r="D609" s="118"/>
      <c r="E609" s="118"/>
      <c r="F609" s="118"/>
      <c r="G609" s="118"/>
      <c r="H609" s="118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hidden="1">
      <c r="A610" s="118"/>
      <c r="B610" s="118"/>
      <c r="C610" s="118"/>
      <c r="D610" s="118"/>
      <c r="E610" s="118"/>
      <c r="F610" s="118"/>
      <c r="G610" s="118"/>
      <c r="H610" s="118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hidden="1">
      <c r="A611" s="118"/>
      <c r="B611" s="118"/>
      <c r="C611" s="118"/>
      <c r="D611" s="118"/>
      <c r="E611" s="118"/>
      <c r="F611" s="118"/>
      <c r="G611" s="118"/>
      <c r="H611" s="118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hidden="1">
      <c r="A612" s="118"/>
      <c r="B612" s="118"/>
      <c r="C612" s="118"/>
      <c r="D612" s="118"/>
      <c r="E612" s="118"/>
      <c r="F612" s="118"/>
      <c r="G612" s="118"/>
      <c r="H612" s="118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hidden="1">
      <c r="A613" s="118"/>
      <c r="B613" s="118"/>
      <c r="C613" s="118"/>
      <c r="D613" s="118"/>
      <c r="E613" s="118"/>
      <c r="F613" s="118"/>
      <c r="G613" s="118"/>
      <c r="H613" s="118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hidden="1">
      <c r="A614" s="118"/>
      <c r="B614" s="118"/>
      <c r="C614" s="118"/>
      <c r="D614" s="118"/>
      <c r="E614" s="118"/>
      <c r="F614" s="118"/>
      <c r="G614" s="118"/>
      <c r="H614" s="118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hidden="1">
      <c r="A615" s="118"/>
      <c r="B615" s="118"/>
      <c r="C615" s="118"/>
      <c r="D615" s="118"/>
      <c r="E615" s="118"/>
      <c r="F615" s="118"/>
      <c r="G615" s="118"/>
      <c r="H615" s="118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hidden="1">
      <c r="A616" s="118"/>
      <c r="B616" s="118"/>
      <c r="C616" s="118"/>
      <c r="D616" s="118"/>
      <c r="E616" s="118"/>
      <c r="F616" s="118"/>
      <c r="G616" s="118"/>
      <c r="H616" s="118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hidden="1">
      <c r="A617" s="118"/>
      <c r="B617" s="118"/>
      <c r="C617" s="118"/>
      <c r="D617" s="118"/>
      <c r="E617" s="118"/>
      <c r="F617" s="118"/>
      <c r="G617" s="118"/>
      <c r="H617" s="118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hidden="1">
      <c r="A618" s="118"/>
      <c r="B618" s="118"/>
      <c r="C618" s="118"/>
      <c r="D618" s="118"/>
      <c r="E618" s="118"/>
      <c r="F618" s="118"/>
      <c r="G618" s="118"/>
      <c r="H618" s="118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hidden="1">
      <c r="A619" s="118"/>
      <c r="B619" s="118"/>
      <c r="C619" s="118"/>
      <c r="D619" s="118"/>
      <c r="E619" s="118"/>
      <c r="F619" s="118"/>
      <c r="G619" s="118"/>
      <c r="H619" s="118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hidden="1">
      <c r="A620" s="118"/>
      <c r="B620" s="118"/>
      <c r="C620" s="118"/>
      <c r="D620" s="118"/>
      <c r="E620" s="118"/>
      <c r="F620" s="118"/>
      <c r="G620" s="118"/>
      <c r="H620" s="118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hidden="1">
      <c r="A621" s="118"/>
      <c r="B621" s="118"/>
      <c r="C621" s="118"/>
      <c r="D621" s="118"/>
      <c r="E621" s="118"/>
      <c r="F621" s="118"/>
      <c r="G621" s="118"/>
      <c r="H621" s="118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hidden="1">
      <c r="A622" s="118"/>
      <c r="B622" s="118"/>
      <c r="C622" s="118"/>
      <c r="D622" s="118"/>
      <c r="E622" s="118"/>
      <c r="F622" s="118"/>
      <c r="G622" s="118"/>
      <c r="H622" s="118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hidden="1">
      <c r="A623" s="118"/>
      <c r="B623" s="118"/>
      <c r="C623" s="118"/>
      <c r="D623" s="118"/>
      <c r="E623" s="118"/>
      <c r="F623" s="118"/>
      <c r="G623" s="118"/>
      <c r="H623" s="118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hidden="1">
      <c r="A624" s="118"/>
      <c r="B624" s="118"/>
      <c r="C624" s="118"/>
      <c r="D624" s="118"/>
      <c r="E624" s="118"/>
      <c r="F624" s="118"/>
      <c r="G624" s="118"/>
      <c r="H624" s="118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hidden="1">
      <c r="A625" s="118"/>
      <c r="B625" s="118"/>
      <c r="C625" s="118"/>
      <c r="D625" s="118"/>
      <c r="E625" s="118"/>
      <c r="F625" s="118"/>
      <c r="G625" s="118"/>
      <c r="H625" s="118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hidden="1">
      <c r="A626" s="118"/>
      <c r="B626" s="118"/>
      <c r="C626" s="118"/>
      <c r="D626" s="118"/>
      <c r="E626" s="118"/>
      <c r="F626" s="118"/>
      <c r="G626" s="118"/>
      <c r="H626" s="118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hidden="1">
      <c r="A627" s="118"/>
      <c r="B627" s="118"/>
      <c r="C627" s="118"/>
      <c r="D627" s="118"/>
      <c r="E627" s="118"/>
      <c r="F627" s="118"/>
      <c r="G627" s="118"/>
      <c r="H627" s="118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hidden="1">
      <c r="A628" s="118"/>
      <c r="B628" s="118"/>
      <c r="C628" s="118"/>
      <c r="D628" s="118"/>
      <c r="E628" s="118"/>
      <c r="F628" s="118"/>
      <c r="G628" s="118"/>
      <c r="H628" s="118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hidden="1">
      <c r="A629" s="118"/>
      <c r="B629" s="118"/>
      <c r="C629" s="118"/>
      <c r="D629" s="118"/>
      <c r="E629" s="118"/>
      <c r="F629" s="118"/>
      <c r="G629" s="118"/>
      <c r="H629" s="118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hidden="1">
      <c r="A630" s="118"/>
      <c r="B630" s="118"/>
      <c r="C630" s="118"/>
      <c r="D630" s="118"/>
      <c r="E630" s="118"/>
      <c r="F630" s="118"/>
      <c r="G630" s="118"/>
      <c r="H630" s="118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hidden="1">
      <c r="A631" s="118"/>
      <c r="B631" s="118"/>
      <c r="C631" s="118"/>
      <c r="D631" s="118"/>
      <c r="E631" s="118"/>
      <c r="F631" s="118"/>
      <c r="G631" s="118"/>
      <c r="H631" s="118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hidden="1">
      <c r="A632" s="118"/>
      <c r="B632" s="118"/>
      <c r="C632" s="118"/>
      <c r="D632" s="118"/>
      <c r="E632" s="118"/>
      <c r="F632" s="118"/>
      <c r="G632" s="118"/>
      <c r="H632" s="118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hidden="1">
      <c r="A633" s="118"/>
      <c r="B633" s="118"/>
      <c r="C633" s="118"/>
      <c r="D633" s="118"/>
      <c r="E633" s="118"/>
      <c r="F633" s="118"/>
      <c r="G633" s="118"/>
      <c r="H633" s="118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hidden="1">
      <c r="A634" s="118"/>
      <c r="B634" s="118"/>
      <c r="C634" s="118"/>
      <c r="D634" s="118"/>
      <c r="E634" s="118"/>
      <c r="F634" s="118"/>
      <c r="G634" s="118"/>
      <c r="H634" s="118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hidden="1">
      <c r="A635" s="118"/>
      <c r="B635" s="118"/>
      <c r="C635" s="118"/>
      <c r="D635" s="118"/>
      <c r="E635" s="118"/>
      <c r="F635" s="118"/>
      <c r="G635" s="118"/>
      <c r="H635" s="118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hidden="1">
      <c r="A636" s="118"/>
      <c r="B636" s="118"/>
      <c r="C636" s="118"/>
      <c r="D636" s="118"/>
      <c r="E636" s="118"/>
      <c r="F636" s="118"/>
      <c r="G636" s="118"/>
      <c r="H636" s="118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hidden="1">
      <c r="A637" s="118"/>
      <c r="B637" s="118"/>
      <c r="C637" s="118"/>
      <c r="D637" s="118"/>
      <c r="E637" s="118"/>
      <c r="F637" s="118"/>
      <c r="G637" s="118"/>
      <c r="H637" s="118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hidden="1">
      <c r="A638" s="118"/>
      <c r="B638" s="118"/>
      <c r="C638" s="118"/>
      <c r="D638" s="118"/>
      <c r="E638" s="118"/>
      <c r="F638" s="118"/>
      <c r="G638" s="118"/>
      <c r="H638" s="118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hidden="1">
      <c r="A639" s="118"/>
      <c r="B639" s="118"/>
      <c r="C639" s="118"/>
      <c r="D639" s="118"/>
      <c r="E639" s="118"/>
      <c r="F639" s="118"/>
      <c r="G639" s="118"/>
      <c r="H639" s="118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hidden="1">
      <c r="A640" s="118"/>
      <c r="B640" s="118"/>
      <c r="C640" s="118"/>
      <c r="D640" s="118"/>
      <c r="E640" s="118"/>
      <c r="F640" s="118"/>
      <c r="G640" s="118"/>
      <c r="H640" s="118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hidden="1">
      <c r="A641" s="118"/>
      <c r="B641" s="118"/>
      <c r="C641" s="118"/>
      <c r="D641" s="118"/>
      <c r="E641" s="118"/>
      <c r="F641" s="118"/>
      <c r="G641" s="118"/>
      <c r="H641" s="118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hidden="1">
      <c r="A642" s="118"/>
      <c r="B642" s="118"/>
      <c r="C642" s="118"/>
      <c r="D642" s="118"/>
      <c r="E642" s="118"/>
      <c r="F642" s="118"/>
      <c r="G642" s="118"/>
      <c r="H642" s="118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hidden="1">
      <c r="A643" s="118"/>
      <c r="B643" s="118"/>
      <c r="C643" s="118"/>
      <c r="D643" s="118"/>
      <c r="E643" s="118"/>
      <c r="F643" s="118"/>
      <c r="G643" s="118"/>
      <c r="H643" s="118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hidden="1">
      <c r="A644" s="118"/>
      <c r="B644" s="118"/>
      <c r="C644" s="118"/>
      <c r="D644" s="118"/>
      <c r="E644" s="118"/>
      <c r="F644" s="118"/>
      <c r="G644" s="118"/>
      <c r="H644" s="118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hidden="1">
      <c r="A645" s="118"/>
      <c r="B645" s="118"/>
      <c r="C645" s="118"/>
      <c r="D645" s="118"/>
      <c r="E645" s="118"/>
      <c r="F645" s="118"/>
      <c r="G645" s="118"/>
      <c r="H645" s="118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hidden="1">
      <c r="A646" s="118"/>
      <c r="B646" s="118"/>
      <c r="C646" s="118"/>
      <c r="D646" s="118"/>
      <c r="E646" s="118"/>
      <c r="F646" s="118"/>
      <c r="G646" s="118"/>
      <c r="H646" s="118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hidden="1">
      <c r="A647" s="118"/>
      <c r="B647" s="118"/>
      <c r="C647" s="118"/>
      <c r="D647" s="118"/>
      <c r="E647" s="118"/>
      <c r="F647" s="118"/>
      <c r="G647" s="118"/>
      <c r="H647" s="118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hidden="1">
      <c r="A648" s="118"/>
      <c r="B648" s="118"/>
      <c r="C648" s="118"/>
      <c r="D648" s="118"/>
      <c r="E648" s="118"/>
      <c r="F648" s="118"/>
      <c r="G648" s="118"/>
      <c r="H648" s="118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hidden="1">
      <c r="A649" s="118"/>
      <c r="B649" s="118"/>
      <c r="C649" s="118"/>
      <c r="D649" s="118"/>
      <c r="E649" s="118"/>
      <c r="F649" s="118"/>
      <c r="G649" s="118"/>
      <c r="H649" s="118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hidden="1">
      <c r="A650" s="118"/>
      <c r="B650" s="118"/>
      <c r="C650" s="118"/>
      <c r="D650" s="118"/>
      <c r="E650" s="118"/>
      <c r="F650" s="118"/>
      <c r="G650" s="118"/>
      <c r="H650" s="118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hidden="1">
      <c r="A651" s="118"/>
      <c r="B651" s="118"/>
      <c r="C651" s="118"/>
      <c r="D651" s="118"/>
      <c r="E651" s="118"/>
      <c r="F651" s="118"/>
      <c r="G651" s="118"/>
      <c r="H651" s="118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hidden="1">
      <c r="A652" s="118"/>
      <c r="B652" s="118"/>
      <c r="C652" s="118"/>
      <c r="D652" s="118"/>
      <c r="E652" s="118"/>
      <c r="F652" s="118"/>
      <c r="G652" s="118"/>
      <c r="H652" s="118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hidden="1">
      <c r="A653" s="118"/>
      <c r="B653" s="118"/>
      <c r="C653" s="118"/>
      <c r="D653" s="118"/>
      <c r="E653" s="118"/>
      <c r="F653" s="118"/>
      <c r="G653" s="118"/>
      <c r="H653" s="118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hidden="1">
      <c r="A654" s="118"/>
      <c r="B654" s="118"/>
      <c r="C654" s="118"/>
      <c r="D654" s="118"/>
      <c r="E654" s="118"/>
      <c r="F654" s="118"/>
      <c r="G654" s="118"/>
      <c r="H654" s="118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hidden="1">
      <c r="A655" s="118"/>
      <c r="B655" s="118"/>
      <c r="C655" s="118"/>
      <c r="D655" s="118"/>
      <c r="E655" s="118"/>
      <c r="F655" s="118"/>
      <c r="G655" s="118"/>
      <c r="H655" s="118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hidden="1">
      <c r="A656" s="118"/>
      <c r="B656" s="118"/>
      <c r="C656" s="118"/>
      <c r="D656" s="118"/>
      <c r="E656" s="118"/>
      <c r="F656" s="118"/>
      <c r="G656" s="118"/>
      <c r="H656" s="118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hidden="1">
      <c r="A657" s="118"/>
      <c r="B657" s="118"/>
      <c r="C657" s="118"/>
      <c r="D657" s="118"/>
      <c r="E657" s="118"/>
      <c r="F657" s="118"/>
      <c r="G657" s="118"/>
      <c r="H657" s="118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hidden="1">
      <c r="A658" s="118"/>
      <c r="B658" s="118"/>
      <c r="C658" s="118"/>
      <c r="D658" s="118"/>
      <c r="E658" s="118"/>
      <c r="F658" s="118"/>
      <c r="G658" s="118"/>
      <c r="H658" s="118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hidden="1">
      <c r="A659" s="118"/>
      <c r="B659" s="118"/>
      <c r="C659" s="118"/>
      <c r="D659" s="118"/>
      <c r="E659" s="118"/>
      <c r="F659" s="118"/>
      <c r="G659" s="118"/>
      <c r="H659" s="118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hidden="1">
      <c r="A660" s="118"/>
      <c r="B660" s="118"/>
      <c r="C660" s="118"/>
      <c r="D660" s="118"/>
      <c r="E660" s="118"/>
      <c r="F660" s="118"/>
      <c r="G660" s="118"/>
      <c r="H660" s="118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hidden="1">
      <c r="A661" s="118"/>
      <c r="B661" s="118"/>
      <c r="C661" s="118"/>
      <c r="D661" s="118"/>
      <c r="E661" s="118"/>
      <c r="F661" s="118"/>
      <c r="G661" s="118"/>
      <c r="H661" s="118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hidden="1">
      <c r="A662" s="118"/>
      <c r="B662" s="118"/>
      <c r="C662" s="118"/>
      <c r="D662" s="118"/>
      <c r="E662" s="118"/>
      <c r="F662" s="118"/>
      <c r="G662" s="118"/>
      <c r="H662" s="118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hidden="1">
      <c r="A663" s="118"/>
      <c r="B663" s="118"/>
      <c r="C663" s="118"/>
      <c r="D663" s="118"/>
      <c r="E663" s="118"/>
      <c r="F663" s="118"/>
      <c r="G663" s="118"/>
      <c r="H663" s="118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hidden="1">
      <c r="A664" s="118"/>
      <c r="B664" s="118"/>
      <c r="C664" s="118"/>
      <c r="D664" s="118"/>
      <c r="E664" s="118"/>
      <c r="F664" s="118"/>
      <c r="G664" s="118"/>
      <c r="H664" s="118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hidden="1">
      <c r="A665" s="118"/>
      <c r="B665" s="118"/>
      <c r="C665" s="118"/>
      <c r="D665" s="118"/>
      <c r="E665" s="118"/>
      <c r="F665" s="118"/>
      <c r="G665" s="118"/>
      <c r="H665" s="118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hidden="1">
      <c r="A666" s="118"/>
      <c r="B666" s="118"/>
      <c r="C666" s="118"/>
      <c r="D666" s="118"/>
      <c r="E666" s="118"/>
      <c r="F666" s="118"/>
      <c r="G666" s="118"/>
      <c r="H666" s="118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hidden="1">
      <c r="A667" s="118"/>
      <c r="B667" s="118"/>
      <c r="C667" s="118"/>
      <c r="D667" s="118"/>
      <c r="E667" s="118"/>
      <c r="F667" s="118"/>
      <c r="G667" s="118"/>
      <c r="H667" s="118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hidden="1">
      <c r="A668" s="118"/>
      <c r="B668" s="118"/>
      <c r="C668" s="118"/>
      <c r="D668" s="118"/>
      <c r="E668" s="118"/>
      <c r="F668" s="118"/>
      <c r="G668" s="118"/>
      <c r="H668" s="118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hidden="1">
      <c r="A669" s="118"/>
      <c r="B669" s="118"/>
      <c r="C669" s="118"/>
      <c r="D669" s="118"/>
      <c r="E669" s="118"/>
      <c r="F669" s="118"/>
      <c r="G669" s="118"/>
      <c r="H669" s="118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hidden="1">
      <c r="A670" s="118"/>
      <c r="B670" s="118"/>
      <c r="C670" s="118"/>
      <c r="D670" s="118"/>
      <c r="E670" s="118"/>
      <c r="F670" s="118"/>
      <c r="G670" s="118"/>
      <c r="H670" s="118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hidden="1">
      <c r="A671" s="118"/>
      <c r="B671" s="118"/>
      <c r="C671" s="118"/>
      <c r="D671" s="118"/>
      <c r="E671" s="118"/>
      <c r="F671" s="118"/>
      <c r="G671" s="118"/>
      <c r="H671" s="118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hidden="1">
      <c r="A672" s="118"/>
      <c r="B672" s="118"/>
      <c r="C672" s="118"/>
      <c r="D672" s="118"/>
      <c r="E672" s="118"/>
      <c r="F672" s="118"/>
      <c r="G672" s="118"/>
      <c r="H672" s="118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hidden="1">
      <c r="A673" s="118"/>
      <c r="B673" s="118"/>
      <c r="C673" s="118"/>
      <c r="D673" s="118"/>
      <c r="E673" s="118"/>
      <c r="F673" s="118"/>
      <c r="G673" s="118"/>
      <c r="H673" s="118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hidden="1">
      <c r="A674" s="118"/>
      <c r="B674" s="118"/>
      <c r="C674" s="118"/>
      <c r="D674" s="118"/>
      <c r="E674" s="118"/>
      <c r="F674" s="118"/>
      <c r="G674" s="118"/>
      <c r="H674" s="118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hidden="1">
      <c r="A675" s="118"/>
      <c r="B675" s="118"/>
      <c r="C675" s="118"/>
      <c r="D675" s="118"/>
      <c r="E675" s="118"/>
      <c r="F675" s="118"/>
      <c r="G675" s="118"/>
      <c r="H675" s="118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hidden="1">
      <c r="A676" s="118"/>
      <c r="B676" s="118"/>
      <c r="C676" s="118"/>
      <c r="D676" s="118"/>
      <c r="E676" s="118"/>
      <c r="F676" s="118"/>
      <c r="G676" s="118"/>
      <c r="H676" s="118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hidden="1">
      <c r="A677" s="118"/>
      <c r="B677" s="118"/>
      <c r="C677" s="118"/>
      <c r="D677" s="118"/>
      <c r="E677" s="118"/>
      <c r="F677" s="118"/>
      <c r="G677" s="118"/>
      <c r="H677" s="118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hidden="1">
      <c r="A678" s="118"/>
      <c r="B678" s="118"/>
      <c r="C678" s="118"/>
      <c r="D678" s="118"/>
      <c r="E678" s="118"/>
      <c r="F678" s="118"/>
      <c r="G678" s="118"/>
      <c r="H678" s="118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hidden="1">
      <c r="A679" s="118"/>
      <c r="B679" s="118"/>
      <c r="C679" s="118"/>
      <c r="D679" s="118"/>
      <c r="E679" s="118"/>
      <c r="F679" s="118"/>
      <c r="G679" s="118"/>
      <c r="H679" s="118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hidden="1">
      <c r="A680" s="118"/>
      <c r="B680" s="118"/>
      <c r="C680" s="118"/>
      <c r="D680" s="118"/>
      <c r="E680" s="118"/>
      <c r="F680" s="118"/>
      <c r="G680" s="118"/>
      <c r="H680" s="118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hidden="1">
      <c r="A681" s="118"/>
      <c r="B681" s="118"/>
      <c r="C681" s="118"/>
      <c r="D681" s="118"/>
      <c r="E681" s="118"/>
      <c r="F681" s="118"/>
      <c r="G681" s="118"/>
      <c r="H681" s="118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hidden="1">
      <c r="A682" s="118"/>
      <c r="B682" s="118"/>
      <c r="C682" s="118"/>
      <c r="D682" s="118"/>
      <c r="E682" s="118"/>
      <c r="F682" s="118"/>
      <c r="G682" s="118"/>
      <c r="H682" s="118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hidden="1">
      <c r="A683" s="118"/>
      <c r="B683" s="118"/>
      <c r="C683" s="118"/>
      <c r="D683" s="118"/>
      <c r="E683" s="118"/>
      <c r="F683" s="118"/>
      <c r="G683" s="118"/>
      <c r="H683" s="118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hidden="1">
      <c r="A684" s="118"/>
      <c r="B684" s="118"/>
      <c r="C684" s="118"/>
      <c r="D684" s="118"/>
      <c r="E684" s="118"/>
      <c r="F684" s="118"/>
      <c r="G684" s="118"/>
      <c r="H684" s="118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hidden="1">
      <c r="A685" s="118"/>
      <c r="B685" s="118"/>
      <c r="C685" s="118"/>
      <c r="D685" s="118"/>
      <c r="E685" s="118"/>
      <c r="F685" s="118"/>
      <c r="G685" s="118"/>
      <c r="H685" s="118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hidden="1">
      <c r="A686" s="118"/>
      <c r="B686" s="118"/>
      <c r="C686" s="118"/>
      <c r="D686" s="118"/>
      <c r="E686" s="118"/>
      <c r="F686" s="118"/>
      <c r="G686" s="118"/>
      <c r="H686" s="118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hidden="1">
      <c r="A687" s="118"/>
      <c r="B687" s="118"/>
      <c r="C687" s="118"/>
      <c r="D687" s="118"/>
      <c r="E687" s="118"/>
      <c r="F687" s="118"/>
      <c r="G687" s="118"/>
      <c r="H687" s="118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hidden="1">
      <c r="A688" s="118"/>
      <c r="B688" s="118"/>
      <c r="C688" s="118"/>
      <c r="D688" s="118"/>
      <c r="E688" s="118"/>
      <c r="F688" s="118"/>
      <c r="G688" s="118"/>
      <c r="H688" s="118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hidden="1">
      <c r="A689" s="118"/>
      <c r="B689" s="118"/>
      <c r="C689" s="118"/>
      <c r="D689" s="118"/>
      <c r="E689" s="118"/>
      <c r="F689" s="118"/>
      <c r="G689" s="118"/>
      <c r="H689" s="118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hidden="1">
      <c r="A690" s="118"/>
      <c r="B690" s="118"/>
      <c r="C690" s="118"/>
      <c r="D690" s="118"/>
      <c r="E690" s="118"/>
      <c r="F690" s="118"/>
      <c r="G690" s="118"/>
      <c r="H690" s="118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hidden="1">
      <c r="A691" s="118"/>
      <c r="B691" s="118"/>
      <c r="C691" s="118"/>
      <c r="D691" s="118"/>
      <c r="E691" s="118"/>
      <c r="F691" s="118"/>
      <c r="G691" s="118"/>
      <c r="H691" s="118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hidden="1">
      <c r="A692" s="118"/>
      <c r="B692" s="118"/>
      <c r="C692" s="118"/>
      <c r="D692" s="118"/>
      <c r="E692" s="118"/>
      <c r="F692" s="118"/>
      <c r="G692" s="118"/>
      <c r="H692" s="118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hidden="1">
      <c r="A693" s="118"/>
      <c r="B693" s="118"/>
      <c r="C693" s="118"/>
      <c r="D693" s="118"/>
      <c r="E693" s="118"/>
      <c r="F693" s="118"/>
      <c r="G693" s="118"/>
      <c r="H693" s="118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hidden="1">
      <c r="A694" s="118"/>
      <c r="B694" s="118"/>
      <c r="C694" s="118"/>
      <c r="D694" s="118"/>
      <c r="E694" s="118"/>
      <c r="F694" s="118"/>
      <c r="G694" s="118"/>
      <c r="H694" s="118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hidden="1">
      <c r="A695" s="118"/>
      <c r="B695" s="118"/>
      <c r="C695" s="118"/>
      <c r="D695" s="118"/>
      <c r="E695" s="118"/>
      <c r="F695" s="118"/>
      <c r="G695" s="118"/>
      <c r="H695" s="118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hidden="1">
      <c r="A696" s="118"/>
      <c r="B696" s="118"/>
      <c r="C696" s="118"/>
      <c r="D696" s="118"/>
      <c r="E696" s="118"/>
      <c r="F696" s="118"/>
      <c r="G696" s="118"/>
      <c r="H696" s="118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hidden="1">
      <c r="A697" s="118"/>
      <c r="B697" s="118"/>
      <c r="C697" s="118"/>
      <c r="D697" s="118"/>
      <c r="E697" s="118"/>
      <c r="F697" s="118"/>
      <c r="G697" s="118"/>
      <c r="H697" s="118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hidden="1">
      <c r="A698" s="118"/>
      <c r="B698" s="118"/>
      <c r="C698" s="118"/>
      <c r="D698" s="118"/>
      <c r="E698" s="118"/>
      <c r="F698" s="118"/>
      <c r="G698" s="118"/>
      <c r="H698" s="118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hidden="1">
      <c r="A699" s="118"/>
      <c r="B699" s="118"/>
      <c r="C699" s="118"/>
      <c r="D699" s="118"/>
      <c r="E699" s="118"/>
      <c r="F699" s="118"/>
      <c r="G699" s="118"/>
      <c r="H699" s="118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hidden="1">
      <c r="A700" s="118"/>
      <c r="B700" s="118"/>
      <c r="C700" s="118"/>
      <c r="D700" s="118"/>
      <c r="E700" s="118"/>
      <c r="F700" s="118"/>
      <c r="G700" s="118"/>
      <c r="H700" s="118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hidden="1">
      <c r="A701" s="118"/>
      <c r="B701" s="118"/>
      <c r="C701" s="118"/>
      <c r="D701" s="118"/>
      <c r="E701" s="118"/>
      <c r="F701" s="118"/>
      <c r="G701" s="118"/>
      <c r="H701" s="118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hidden="1">
      <c r="A702" s="118"/>
      <c r="B702" s="118"/>
      <c r="C702" s="118"/>
      <c r="D702" s="118"/>
      <c r="E702" s="118"/>
      <c r="F702" s="118"/>
      <c r="G702" s="118"/>
      <c r="H702" s="118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hidden="1">
      <c r="A703" s="118"/>
      <c r="B703" s="118"/>
      <c r="C703" s="118"/>
      <c r="D703" s="118"/>
      <c r="E703" s="118"/>
      <c r="F703" s="118"/>
      <c r="G703" s="118"/>
      <c r="H703" s="118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hidden="1">
      <c r="A704" s="118"/>
      <c r="B704" s="118"/>
      <c r="C704" s="118"/>
      <c r="D704" s="118"/>
      <c r="E704" s="118"/>
      <c r="F704" s="118"/>
      <c r="G704" s="118"/>
      <c r="H704" s="118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hidden="1">
      <c r="A705" s="118"/>
      <c r="B705" s="118"/>
      <c r="C705" s="118"/>
      <c r="D705" s="118"/>
      <c r="E705" s="118"/>
      <c r="F705" s="118"/>
      <c r="G705" s="118"/>
      <c r="H705" s="118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hidden="1">
      <c r="A706" s="118"/>
      <c r="B706" s="118"/>
      <c r="C706" s="118"/>
      <c r="D706" s="118"/>
      <c r="E706" s="118"/>
      <c r="F706" s="118"/>
      <c r="G706" s="118"/>
      <c r="H706" s="118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hidden="1">
      <c r="A707" s="118"/>
      <c r="B707" s="118"/>
      <c r="C707" s="118"/>
      <c r="D707" s="118"/>
      <c r="E707" s="118"/>
      <c r="F707" s="118"/>
      <c r="G707" s="118"/>
      <c r="H707" s="118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hidden="1">
      <c r="A708" s="118"/>
      <c r="B708" s="118"/>
      <c r="C708" s="118"/>
      <c r="D708" s="118"/>
      <c r="E708" s="118"/>
      <c r="F708" s="118"/>
      <c r="G708" s="118"/>
      <c r="H708" s="118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hidden="1">
      <c r="A709" s="118"/>
      <c r="B709" s="118"/>
      <c r="C709" s="118"/>
      <c r="D709" s="118"/>
      <c r="E709" s="118"/>
      <c r="F709" s="118"/>
      <c r="G709" s="118"/>
      <c r="H709" s="118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hidden="1">
      <c r="A710" s="118"/>
      <c r="B710" s="118"/>
      <c r="C710" s="118"/>
      <c r="D710" s="118"/>
      <c r="E710" s="118"/>
      <c r="F710" s="118"/>
      <c r="G710" s="118"/>
      <c r="H710" s="118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hidden="1">
      <c r="A711" s="118"/>
      <c r="B711" s="118"/>
      <c r="C711" s="118"/>
      <c r="D711" s="118"/>
      <c r="E711" s="118"/>
      <c r="F711" s="118"/>
      <c r="G711" s="118"/>
      <c r="H711" s="118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hidden="1">
      <c r="A712" s="118"/>
      <c r="B712" s="118"/>
      <c r="C712" s="118"/>
      <c r="D712" s="118"/>
      <c r="E712" s="118"/>
      <c r="F712" s="118"/>
      <c r="G712" s="118"/>
      <c r="H712" s="118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hidden="1">
      <c r="A713" s="118"/>
      <c r="B713" s="118"/>
      <c r="C713" s="118"/>
      <c r="D713" s="118"/>
      <c r="E713" s="118"/>
      <c r="F713" s="118"/>
      <c r="G713" s="118"/>
      <c r="H713" s="118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hidden="1">
      <c r="A714" s="118"/>
      <c r="B714" s="118"/>
      <c r="C714" s="118"/>
      <c r="D714" s="118"/>
      <c r="E714" s="118"/>
      <c r="F714" s="118"/>
      <c r="G714" s="118"/>
      <c r="H714" s="118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hidden="1">
      <c r="A715" s="118"/>
      <c r="B715" s="118"/>
      <c r="C715" s="118"/>
      <c r="D715" s="118"/>
      <c r="E715" s="118"/>
      <c r="F715" s="118"/>
      <c r="G715" s="118"/>
      <c r="H715" s="118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hidden="1">
      <c r="A716" s="118"/>
      <c r="B716" s="118"/>
      <c r="C716" s="118"/>
      <c r="D716" s="118"/>
      <c r="E716" s="118"/>
      <c r="F716" s="118"/>
      <c r="G716" s="118"/>
      <c r="H716" s="118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hidden="1">
      <c r="A717" s="118"/>
      <c r="B717" s="118"/>
      <c r="C717" s="118"/>
      <c r="D717" s="118"/>
      <c r="E717" s="118"/>
      <c r="F717" s="118"/>
      <c r="G717" s="118"/>
      <c r="H717" s="118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hidden="1">
      <c r="A718" s="118"/>
      <c r="B718" s="118"/>
      <c r="C718" s="118"/>
      <c r="D718" s="118"/>
      <c r="E718" s="118"/>
      <c r="F718" s="118"/>
      <c r="G718" s="118"/>
      <c r="H718" s="118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hidden="1">
      <c r="A719" s="118"/>
      <c r="B719" s="118"/>
      <c r="C719" s="118"/>
      <c r="D719" s="118"/>
      <c r="E719" s="118"/>
      <c r="F719" s="118"/>
      <c r="G719" s="118"/>
      <c r="H719" s="118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hidden="1">
      <c r="A720" s="118"/>
      <c r="B720" s="118"/>
      <c r="C720" s="118"/>
      <c r="D720" s="118"/>
      <c r="E720" s="118"/>
      <c r="F720" s="118"/>
      <c r="G720" s="118"/>
      <c r="H720" s="118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hidden="1">
      <c r="A721" s="118"/>
      <c r="B721" s="118"/>
      <c r="C721" s="118"/>
      <c r="D721" s="118"/>
      <c r="E721" s="118"/>
      <c r="F721" s="118"/>
      <c r="G721" s="118"/>
      <c r="H721" s="118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hidden="1">
      <c r="A722" s="118"/>
      <c r="B722" s="118"/>
      <c r="C722" s="118"/>
      <c r="D722" s="118"/>
      <c r="E722" s="118"/>
      <c r="F722" s="118"/>
      <c r="G722" s="118"/>
      <c r="H722" s="118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hidden="1">
      <c r="A723" s="118"/>
      <c r="B723" s="118"/>
      <c r="C723" s="118"/>
      <c r="D723" s="118"/>
      <c r="E723" s="118"/>
      <c r="F723" s="118"/>
      <c r="G723" s="118"/>
      <c r="H723" s="118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hidden="1">
      <c r="A724" s="118"/>
      <c r="B724" s="118"/>
      <c r="C724" s="118"/>
      <c r="D724" s="118"/>
      <c r="E724" s="118"/>
      <c r="F724" s="118"/>
      <c r="G724" s="118"/>
      <c r="H724" s="118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hidden="1">
      <c r="A725" s="118"/>
      <c r="B725" s="118"/>
      <c r="C725" s="118"/>
      <c r="D725" s="118"/>
      <c r="E725" s="118"/>
      <c r="F725" s="118"/>
      <c r="G725" s="118"/>
      <c r="H725" s="118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hidden="1">
      <c r="A726" s="118"/>
      <c r="B726" s="118"/>
      <c r="C726" s="118"/>
      <c r="D726" s="118"/>
      <c r="E726" s="118"/>
      <c r="F726" s="118"/>
      <c r="G726" s="118"/>
      <c r="H726" s="118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hidden="1">
      <c r="A727" s="118"/>
      <c r="B727" s="118"/>
      <c r="C727" s="118"/>
      <c r="D727" s="118"/>
      <c r="E727" s="118"/>
      <c r="F727" s="118"/>
      <c r="G727" s="118"/>
      <c r="H727" s="118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hidden="1">
      <c r="A728" s="118"/>
      <c r="B728" s="118"/>
      <c r="C728" s="118"/>
      <c r="D728" s="118"/>
      <c r="E728" s="118"/>
      <c r="F728" s="118"/>
      <c r="G728" s="118"/>
      <c r="H728" s="118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hidden="1">
      <c r="A729" s="118"/>
      <c r="B729" s="118"/>
      <c r="C729" s="118"/>
      <c r="D729" s="118"/>
      <c r="E729" s="118"/>
      <c r="F729" s="118"/>
      <c r="G729" s="118"/>
      <c r="H729" s="118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hidden="1">
      <c r="A730" s="118"/>
      <c r="B730" s="118"/>
      <c r="C730" s="118"/>
      <c r="D730" s="118"/>
      <c r="E730" s="118"/>
      <c r="F730" s="118"/>
      <c r="G730" s="118"/>
      <c r="H730" s="118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hidden="1">
      <c r="A731" s="118"/>
      <c r="B731" s="118"/>
      <c r="C731" s="118"/>
      <c r="D731" s="118"/>
      <c r="E731" s="118"/>
      <c r="F731" s="118"/>
      <c r="G731" s="118"/>
      <c r="H731" s="118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hidden="1">
      <c r="A732" s="118"/>
      <c r="B732" s="118"/>
      <c r="C732" s="118"/>
      <c r="D732" s="118"/>
      <c r="E732" s="118"/>
      <c r="F732" s="118"/>
      <c r="G732" s="118"/>
      <c r="H732" s="118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hidden="1">
      <c r="A733" s="118"/>
      <c r="B733" s="118"/>
      <c r="C733" s="118"/>
      <c r="D733" s="118"/>
      <c r="E733" s="118"/>
      <c r="F733" s="118"/>
      <c r="G733" s="118"/>
      <c r="H733" s="118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hidden="1">
      <c r="A734" s="118"/>
      <c r="B734" s="118"/>
      <c r="C734" s="118"/>
      <c r="D734" s="118"/>
      <c r="E734" s="118"/>
      <c r="F734" s="118"/>
      <c r="G734" s="118"/>
      <c r="H734" s="118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hidden="1">
      <c r="A735" s="118"/>
      <c r="B735" s="118"/>
      <c r="C735" s="118"/>
      <c r="D735" s="118"/>
      <c r="E735" s="118"/>
      <c r="F735" s="118"/>
      <c r="G735" s="118"/>
      <c r="H735" s="118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hidden="1">
      <c r="A736" s="118"/>
      <c r="B736" s="118"/>
      <c r="C736" s="118"/>
      <c r="D736" s="118"/>
      <c r="E736" s="118"/>
      <c r="F736" s="118"/>
      <c r="G736" s="118"/>
      <c r="H736" s="118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hidden="1">
      <c r="A737" s="118"/>
      <c r="B737" s="118"/>
      <c r="C737" s="118"/>
      <c r="D737" s="118"/>
      <c r="E737" s="118"/>
      <c r="F737" s="118"/>
      <c r="G737" s="118"/>
      <c r="H737" s="118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hidden="1">
      <c r="A738" s="118"/>
      <c r="B738" s="118"/>
      <c r="C738" s="118"/>
      <c r="D738" s="118"/>
      <c r="E738" s="118"/>
      <c r="F738" s="118"/>
      <c r="G738" s="118"/>
      <c r="H738" s="118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hidden="1">
      <c r="A739" s="118"/>
      <c r="B739" s="118"/>
      <c r="C739" s="118"/>
      <c r="D739" s="118"/>
      <c r="E739" s="118"/>
      <c r="F739" s="118"/>
      <c r="G739" s="118"/>
      <c r="H739" s="118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hidden="1">
      <c r="A740" s="118"/>
      <c r="B740" s="118"/>
      <c r="C740" s="118"/>
      <c r="D740" s="118"/>
      <c r="E740" s="118"/>
      <c r="F740" s="118"/>
      <c r="G740" s="118"/>
      <c r="H740" s="118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hidden="1">
      <c r="A741" s="118"/>
      <c r="B741" s="118"/>
      <c r="C741" s="118"/>
      <c r="D741" s="118"/>
      <c r="E741" s="118"/>
      <c r="F741" s="118"/>
      <c r="G741" s="118"/>
      <c r="H741" s="118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hidden="1">
      <c r="A742" s="118"/>
      <c r="B742" s="118"/>
      <c r="C742" s="118"/>
      <c r="D742" s="118"/>
      <c r="E742" s="118"/>
      <c r="F742" s="118"/>
      <c r="G742" s="118"/>
      <c r="H742" s="118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hidden="1">
      <c r="A743" s="118"/>
      <c r="B743" s="118"/>
      <c r="C743" s="118"/>
      <c r="D743" s="118"/>
      <c r="E743" s="118"/>
      <c r="F743" s="118"/>
      <c r="G743" s="118"/>
      <c r="H743" s="118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hidden="1">
      <c r="A744" s="118"/>
      <c r="B744" s="118"/>
      <c r="C744" s="118"/>
      <c r="D744" s="118"/>
      <c r="E744" s="118"/>
      <c r="F744" s="118"/>
      <c r="G744" s="118"/>
      <c r="H744" s="118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hidden="1">
      <c r="A745" s="118"/>
      <c r="B745" s="118"/>
      <c r="C745" s="118"/>
      <c r="D745" s="118"/>
      <c r="E745" s="118"/>
      <c r="F745" s="118"/>
      <c r="G745" s="118"/>
      <c r="H745" s="118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hidden="1">
      <c r="A746" s="118"/>
      <c r="B746" s="118"/>
      <c r="C746" s="118"/>
      <c r="D746" s="118"/>
      <c r="E746" s="118"/>
      <c r="F746" s="118"/>
      <c r="G746" s="118"/>
      <c r="H746" s="118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hidden="1">
      <c r="A747" s="118"/>
      <c r="B747" s="118"/>
      <c r="C747" s="118"/>
      <c r="D747" s="118"/>
      <c r="E747" s="118"/>
      <c r="F747" s="118"/>
      <c r="G747" s="118"/>
      <c r="H747" s="118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hidden="1">
      <c r="A748" s="118"/>
      <c r="B748" s="118"/>
      <c r="C748" s="118"/>
      <c r="D748" s="118"/>
      <c r="E748" s="118"/>
      <c r="F748" s="118"/>
      <c r="G748" s="118"/>
      <c r="H748" s="118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hidden="1">
      <c r="A749" s="118"/>
      <c r="B749" s="118"/>
      <c r="C749" s="118"/>
      <c r="D749" s="118"/>
      <c r="E749" s="118"/>
      <c r="F749" s="118"/>
      <c r="G749" s="118"/>
      <c r="H749" s="118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hidden="1">
      <c r="A750" s="118"/>
      <c r="B750" s="118"/>
      <c r="C750" s="118"/>
      <c r="D750" s="118"/>
      <c r="E750" s="118"/>
      <c r="F750" s="118"/>
      <c r="G750" s="118"/>
      <c r="H750" s="118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hidden="1">
      <c r="A751" s="118"/>
      <c r="B751" s="118"/>
      <c r="C751" s="118"/>
      <c r="D751" s="118"/>
      <c r="E751" s="118"/>
      <c r="F751" s="118"/>
      <c r="G751" s="118"/>
      <c r="H751" s="118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hidden="1">
      <c r="A752" s="118"/>
      <c r="B752" s="118"/>
      <c r="C752" s="118"/>
      <c r="D752" s="118"/>
      <c r="E752" s="118"/>
      <c r="F752" s="118"/>
      <c r="G752" s="118"/>
      <c r="H752" s="118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hidden="1">
      <c r="A753" s="118"/>
      <c r="B753" s="118"/>
      <c r="C753" s="118"/>
      <c r="D753" s="118"/>
      <c r="E753" s="118"/>
      <c r="F753" s="118"/>
      <c r="G753" s="118"/>
      <c r="H753" s="118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hidden="1">
      <c r="A754" s="118"/>
      <c r="B754" s="118"/>
      <c r="C754" s="118"/>
      <c r="D754" s="118"/>
      <c r="E754" s="118"/>
      <c r="F754" s="118"/>
      <c r="G754" s="118"/>
      <c r="H754" s="118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hidden="1">
      <c r="A755" s="118"/>
      <c r="B755" s="118"/>
      <c r="C755" s="118"/>
      <c r="D755" s="118"/>
      <c r="E755" s="118"/>
      <c r="F755" s="118"/>
      <c r="G755" s="118"/>
      <c r="H755" s="118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hidden="1">
      <c r="A756" s="118"/>
      <c r="B756" s="118"/>
      <c r="C756" s="118"/>
      <c r="D756" s="118"/>
      <c r="E756" s="118"/>
      <c r="F756" s="118"/>
      <c r="G756" s="118"/>
      <c r="H756" s="118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hidden="1">
      <c r="A757" s="118"/>
      <c r="B757" s="118"/>
      <c r="C757" s="118"/>
      <c r="D757" s="118"/>
      <c r="E757" s="118"/>
      <c r="F757" s="118"/>
      <c r="G757" s="118"/>
      <c r="H757" s="118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hidden="1">
      <c r="A758" s="118"/>
      <c r="B758" s="118"/>
      <c r="C758" s="118"/>
      <c r="D758" s="118"/>
      <c r="E758" s="118"/>
      <c r="F758" s="118"/>
      <c r="G758" s="118"/>
      <c r="H758" s="118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hidden="1">
      <c r="A759" s="118"/>
      <c r="B759" s="118"/>
      <c r="C759" s="118"/>
      <c r="D759" s="118"/>
      <c r="E759" s="118"/>
      <c r="F759" s="118"/>
      <c r="G759" s="118"/>
      <c r="H759" s="118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hidden="1">
      <c r="A760" s="118"/>
      <c r="B760" s="118"/>
      <c r="C760" s="118"/>
      <c r="D760" s="118"/>
      <c r="E760" s="118"/>
      <c r="F760" s="118"/>
      <c r="G760" s="118"/>
      <c r="H760" s="118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hidden="1">
      <c r="A761" s="118"/>
      <c r="B761" s="118"/>
      <c r="C761" s="118"/>
      <c r="D761" s="118"/>
      <c r="E761" s="118"/>
      <c r="F761" s="118"/>
      <c r="G761" s="118"/>
      <c r="H761" s="118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hidden="1">
      <c r="A762" s="118"/>
      <c r="B762" s="118"/>
      <c r="C762" s="118"/>
      <c r="D762" s="118"/>
      <c r="E762" s="118"/>
      <c r="F762" s="118"/>
      <c r="G762" s="118"/>
      <c r="H762" s="118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hidden="1">
      <c r="A763" s="118"/>
      <c r="B763" s="118"/>
      <c r="C763" s="118"/>
      <c r="D763" s="118"/>
      <c r="E763" s="118"/>
      <c r="F763" s="118"/>
      <c r="G763" s="118"/>
      <c r="H763" s="118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hidden="1">
      <c r="A764" s="118"/>
      <c r="B764" s="118"/>
      <c r="C764" s="118"/>
      <c r="D764" s="118"/>
      <c r="E764" s="118"/>
      <c r="F764" s="118"/>
      <c r="G764" s="118"/>
      <c r="H764" s="118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hidden="1">
      <c r="A765" s="118"/>
      <c r="B765" s="118"/>
      <c r="C765" s="118"/>
      <c r="D765" s="118"/>
      <c r="E765" s="118"/>
      <c r="F765" s="118"/>
      <c r="G765" s="118"/>
      <c r="H765" s="118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hidden="1">
      <c r="A766" s="118"/>
      <c r="B766" s="118"/>
      <c r="C766" s="118"/>
      <c r="D766" s="118"/>
      <c r="E766" s="118"/>
      <c r="F766" s="118"/>
      <c r="G766" s="118"/>
      <c r="H766" s="118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hidden="1">
      <c r="A767" s="118"/>
      <c r="B767" s="118"/>
      <c r="C767" s="118"/>
      <c r="D767" s="118"/>
      <c r="E767" s="118"/>
      <c r="F767" s="118"/>
      <c r="G767" s="118"/>
      <c r="H767" s="118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hidden="1">
      <c r="A768" s="118"/>
      <c r="B768" s="118"/>
      <c r="C768" s="118"/>
      <c r="D768" s="118"/>
      <c r="E768" s="118"/>
      <c r="F768" s="118"/>
      <c r="G768" s="118"/>
      <c r="H768" s="118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hidden="1">
      <c r="A769" s="118"/>
      <c r="B769" s="118"/>
      <c r="C769" s="118"/>
      <c r="D769" s="118"/>
      <c r="E769" s="118"/>
      <c r="F769" s="118"/>
      <c r="G769" s="118"/>
      <c r="H769" s="118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hidden="1">
      <c r="A770" s="118"/>
      <c r="B770" s="118"/>
      <c r="C770" s="118"/>
      <c r="D770" s="118"/>
      <c r="E770" s="118"/>
      <c r="F770" s="118"/>
      <c r="G770" s="118"/>
      <c r="H770" s="118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hidden="1">
      <c r="A771" s="118"/>
      <c r="B771" s="118"/>
      <c r="C771" s="118"/>
      <c r="D771" s="118"/>
      <c r="E771" s="118"/>
      <c r="F771" s="118"/>
      <c r="G771" s="118"/>
      <c r="H771" s="118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hidden="1">
      <c r="A772" s="118"/>
      <c r="B772" s="118"/>
      <c r="C772" s="118"/>
      <c r="D772" s="118"/>
      <c r="E772" s="118"/>
      <c r="F772" s="118"/>
      <c r="G772" s="118"/>
      <c r="H772" s="118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hidden="1">
      <c r="A773" s="118"/>
      <c r="B773" s="118"/>
      <c r="C773" s="118"/>
      <c r="D773" s="118"/>
      <c r="E773" s="118"/>
      <c r="F773" s="118"/>
      <c r="G773" s="118"/>
      <c r="H773" s="118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hidden="1">
      <c r="A774" s="118"/>
      <c r="B774" s="118"/>
      <c r="C774" s="118"/>
      <c r="D774" s="118"/>
      <c r="E774" s="118"/>
      <c r="F774" s="118"/>
      <c r="G774" s="118"/>
      <c r="H774" s="118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hidden="1">
      <c r="A775" s="118"/>
      <c r="B775" s="118"/>
      <c r="C775" s="118"/>
      <c r="D775" s="118"/>
      <c r="E775" s="118"/>
      <c r="F775" s="118"/>
      <c r="G775" s="118"/>
      <c r="H775" s="118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hidden="1">
      <c r="A776" s="118"/>
      <c r="B776" s="118"/>
      <c r="C776" s="118"/>
      <c r="D776" s="118"/>
      <c r="E776" s="118"/>
      <c r="F776" s="118"/>
      <c r="G776" s="118"/>
      <c r="H776" s="118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hidden="1">
      <c r="A777" s="118"/>
      <c r="B777" s="118"/>
      <c r="C777" s="118"/>
      <c r="D777" s="118"/>
      <c r="E777" s="118"/>
      <c r="F777" s="118"/>
      <c r="G777" s="118"/>
      <c r="H777" s="118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hidden="1">
      <c r="A778" s="118"/>
      <c r="B778" s="118"/>
      <c r="C778" s="118"/>
      <c r="D778" s="118"/>
      <c r="E778" s="118"/>
      <c r="F778" s="118"/>
      <c r="G778" s="118"/>
      <c r="H778" s="118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hidden="1">
      <c r="A779" s="118"/>
      <c r="B779" s="118"/>
      <c r="C779" s="118"/>
      <c r="D779" s="118"/>
      <c r="E779" s="118"/>
      <c r="F779" s="118"/>
      <c r="G779" s="118"/>
      <c r="H779" s="118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hidden="1">
      <c r="A780" s="118"/>
      <c r="B780" s="118"/>
      <c r="C780" s="118"/>
      <c r="D780" s="118"/>
      <c r="E780" s="118"/>
      <c r="F780" s="118"/>
      <c r="G780" s="118"/>
      <c r="H780" s="118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hidden="1">
      <c r="A781" s="118"/>
      <c r="B781" s="118"/>
      <c r="C781" s="118"/>
      <c r="D781" s="118"/>
      <c r="E781" s="118"/>
      <c r="F781" s="118"/>
      <c r="G781" s="118"/>
      <c r="H781" s="118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hidden="1">
      <c r="A782" s="118"/>
      <c r="B782" s="118"/>
      <c r="C782" s="118"/>
      <c r="D782" s="118"/>
      <c r="E782" s="118"/>
      <c r="F782" s="118"/>
      <c r="G782" s="118"/>
      <c r="H782" s="118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hidden="1">
      <c r="A783" s="118"/>
      <c r="B783" s="118"/>
      <c r="C783" s="118"/>
      <c r="D783" s="118"/>
      <c r="E783" s="118"/>
      <c r="F783" s="118"/>
      <c r="G783" s="118"/>
      <c r="H783" s="118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hidden="1">
      <c r="A784" s="118"/>
      <c r="B784" s="118"/>
      <c r="C784" s="118"/>
      <c r="D784" s="118"/>
      <c r="E784" s="118"/>
      <c r="F784" s="118"/>
      <c r="G784" s="118"/>
      <c r="H784" s="118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hidden="1">
      <c r="A785" s="118"/>
      <c r="B785" s="118"/>
      <c r="C785" s="118"/>
      <c r="D785" s="118"/>
      <c r="E785" s="118"/>
      <c r="F785" s="118"/>
      <c r="G785" s="118"/>
      <c r="H785" s="118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hidden="1">
      <c r="A786" s="118"/>
      <c r="B786" s="118"/>
      <c r="C786" s="118"/>
      <c r="D786" s="118"/>
      <c r="E786" s="118"/>
      <c r="F786" s="118"/>
      <c r="G786" s="118"/>
      <c r="H786" s="118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hidden="1">
      <c r="A787" s="118"/>
      <c r="B787" s="118"/>
      <c r="C787" s="118"/>
      <c r="D787" s="118"/>
      <c r="E787" s="118"/>
      <c r="F787" s="118"/>
      <c r="G787" s="118"/>
      <c r="H787" s="118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hidden="1">
      <c r="A788" s="118"/>
      <c r="B788" s="118"/>
      <c r="C788" s="118"/>
      <c r="D788" s="118"/>
      <c r="E788" s="118"/>
      <c r="F788" s="118"/>
      <c r="G788" s="118"/>
      <c r="H788" s="118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hidden="1">
      <c r="A789" s="118"/>
      <c r="B789" s="118"/>
      <c r="C789" s="118"/>
      <c r="D789" s="118"/>
      <c r="E789" s="118"/>
      <c r="F789" s="118"/>
      <c r="G789" s="118"/>
      <c r="H789" s="118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hidden="1">
      <c r="A790" s="118"/>
      <c r="B790" s="118"/>
      <c r="C790" s="118"/>
      <c r="D790" s="118"/>
      <c r="E790" s="118"/>
      <c r="F790" s="118"/>
      <c r="G790" s="118"/>
      <c r="H790" s="118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hidden="1">
      <c r="A791" s="118"/>
      <c r="B791" s="118"/>
      <c r="C791" s="118"/>
      <c r="D791" s="118"/>
      <c r="E791" s="118"/>
      <c r="F791" s="118"/>
      <c r="G791" s="118"/>
      <c r="H791" s="118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hidden="1">
      <c r="A792" s="118"/>
      <c r="B792" s="118"/>
      <c r="C792" s="118"/>
      <c r="D792" s="118"/>
      <c r="E792" s="118"/>
      <c r="F792" s="118"/>
      <c r="G792" s="118"/>
      <c r="H792" s="118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hidden="1">
      <c r="A793" s="118"/>
      <c r="B793" s="118"/>
      <c r="C793" s="118"/>
      <c r="D793" s="118"/>
      <c r="E793" s="118"/>
      <c r="F793" s="118"/>
      <c r="G793" s="118"/>
      <c r="H793" s="118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hidden="1">
      <c r="A794" s="118"/>
      <c r="B794" s="118"/>
      <c r="C794" s="118"/>
      <c r="D794" s="118"/>
      <c r="E794" s="118"/>
      <c r="F794" s="118"/>
      <c r="G794" s="118"/>
      <c r="H794" s="118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hidden="1">
      <c r="A795" s="118"/>
      <c r="B795" s="118"/>
      <c r="C795" s="118"/>
      <c r="D795" s="118"/>
      <c r="E795" s="118"/>
      <c r="F795" s="118"/>
      <c r="G795" s="118"/>
      <c r="H795" s="118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hidden="1">
      <c r="A796" s="118"/>
      <c r="B796" s="118"/>
      <c r="C796" s="118"/>
      <c r="D796" s="118"/>
      <c r="E796" s="118"/>
      <c r="F796" s="118"/>
      <c r="G796" s="118"/>
      <c r="H796" s="118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hidden="1">
      <c r="A797" s="118"/>
      <c r="B797" s="118"/>
      <c r="C797" s="118"/>
      <c r="D797" s="118"/>
      <c r="E797" s="118"/>
      <c r="F797" s="118"/>
      <c r="G797" s="118"/>
      <c r="H797" s="118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hidden="1">
      <c r="A798" s="118"/>
      <c r="B798" s="118"/>
      <c r="C798" s="118"/>
      <c r="D798" s="118"/>
      <c r="E798" s="118"/>
      <c r="F798" s="118"/>
      <c r="G798" s="118"/>
      <c r="H798" s="118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hidden="1">
      <c r="A799" s="118"/>
      <c r="B799" s="118"/>
      <c r="C799" s="118"/>
      <c r="D799" s="118"/>
      <c r="E799" s="118"/>
      <c r="F799" s="118"/>
      <c r="G799" s="118"/>
      <c r="H799" s="118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hidden="1">
      <c r="A800" s="118"/>
      <c r="B800" s="118"/>
      <c r="C800" s="118"/>
      <c r="D800" s="118"/>
      <c r="E800" s="118"/>
      <c r="F800" s="118"/>
      <c r="G800" s="118"/>
      <c r="H800" s="118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hidden="1">
      <c r="A801" s="118"/>
      <c r="B801" s="118"/>
      <c r="C801" s="118"/>
      <c r="D801" s="118"/>
      <c r="E801" s="118"/>
      <c r="F801" s="118"/>
      <c r="G801" s="118"/>
      <c r="H801" s="118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hidden="1">
      <c r="A802" s="118"/>
      <c r="B802" s="118"/>
      <c r="C802" s="118"/>
      <c r="D802" s="118"/>
      <c r="E802" s="118"/>
      <c r="F802" s="118"/>
      <c r="G802" s="118"/>
      <c r="H802" s="118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hidden="1">
      <c r="A803" s="118"/>
      <c r="B803" s="118"/>
      <c r="C803" s="118"/>
      <c r="D803" s="118"/>
      <c r="E803" s="118"/>
      <c r="F803" s="118"/>
      <c r="G803" s="118"/>
      <c r="H803" s="118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hidden="1">
      <c r="A804" s="118"/>
      <c r="B804" s="118"/>
      <c r="C804" s="118"/>
      <c r="D804" s="118"/>
      <c r="E804" s="118"/>
      <c r="F804" s="118"/>
      <c r="G804" s="118"/>
      <c r="H804" s="118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hidden="1">
      <c r="A805" s="118"/>
      <c r="B805" s="118"/>
      <c r="C805" s="118"/>
      <c r="D805" s="118"/>
      <c r="E805" s="118"/>
      <c r="F805" s="118"/>
      <c r="G805" s="118"/>
      <c r="H805" s="118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hidden="1">
      <c r="A806" s="118"/>
      <c r="B806" s="118"/>
      <c r="C806" s="118"/>
      <c r="D806" s="118"/>
      <c r="E806" s="118"/>
      <c r="F806" s="118"/>
      <c r="G806" s="118"/>
      <c r="H806" s="118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hidden="1">
      <c r="A807" s="118"/>
      <c r="B807" s="118"/>
      <c r="C807" s="118"/>
      <c r="D807" s="118"/>
      <c r="E807" s="118"/>
      <c r="F807" s="118"/>
      <c r="G807" s="118"/>
      <c r="H807" s="118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hidden="1">
      <c r="A808" s="118"/>
      <c r="B808" s="118"/>
      <c r="C808" s="118"/>
      <c r="D808" s="118"/>
      <c r="E808" s="118"/>
      <c r="F808" s="118"/>
      <c r="G808" s="118"/>
      <c r="H808" s="118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hidden="1">
      <c r="A809" s="118"/>
      <c r="B809" s="118"/>
      <c r="C809" s="118"/>
      <c r="D809" s="118"/>
      <c r="E809" s="118"/>
      <c r="F809" s="118"/>
      <c r="G809" s="118"/>
      <c r="H809" s="118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hidden="1">
      <c r="A810" s="118"/>
      <c r="B810" s="118"/>
      <c r="C810" s="118"/>
      <c r="D810" s="118"/>
      <c r="E810" s="118"/>
      <c r="F810" s="118"/>
      <c r="G810" s="118"/>
      <c r="H810" s="118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hidden="1">
      <c r="A811" s="118"/>
      <c r="B811" s="118"/>
      <c r="C811" s="118"/>
      <c r="D811" s="118"/>
      <c r="E811" s="118"/>
      <c r="F811" s="118"/>
      <c r="G811" s="118"/>
      <c r="H811" s="118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hidden="1">
      <c r="A812" s="118"/>
      <c r="B812" s="118"/>
      <c r="C812" s="118"/>
      <c r="D812" s="118"/>
      <c r="E812" s="118"/>
      <c r="F812" s="118"/>
      <c r="G812" s="118"/>
      <c r="H812" s="118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hidden="1">
      <c r="A813" s="118"/>
      <c r="B813" s="118"/>
      <c r="C813" s="118"/>
      <c r="D813" s="118"/>
      <c r="E813" s="118"/>
      <c r="F813" s="118"/>
      <c r="G813" s="118"/>
      <c r="H813" s="118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hidden="1">
      <c r="A814" s="118"/>
      <c r="B814" s="118"/>
      <c r="C814" s="118"/>
      <c r="D814" s="118"/>
      <c r="E814" s="118"/>
      <c r="F814" s="118"/>
      <c r="G814" s="118"/>
      <c r="H814" s="118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hidden="1">
      <c r="A815" s="118"/>
      <c r="B815" s="118"/>
      <c r="C815" s="118"/>
      <c r="D815" s="118"/>
      <c r="E815" s="118"/>
      <c r="F815" s="118"/>
      <c r="G815" s="118"/>
      <c r="H815" s="118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hidden="1">
      <c r="A816" s="118"/>
      <c r="B816" s="118"/>
      <c r="C816" s="118"/>
      <c r="D816" s="118"/>
      <c r="E816" s="118"/>
      <c r="F816" s="118"/>
      <c r="G816" s="118"/>
      <c r="H816" s="118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hidden="1">
      <c r="A817" s="118"/>
      <c r="B817" s="118"/>
      <c r="C817" s="118"/>
      <c r="D817" s="118"/>
      <c r="E817" s="118"/>
      <c r="F817" s="118"/>
      <c r="G817" s="118"/>
      <c r="H817" s="118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hidden="1">
      <c r="A818" s="118"/>
      <c r="B818" s="118"/>
      <c r="C818" s="118"/>
      <c r="D818" s="118"/>
      <c r="E818" s="118"/>
      <c r="F818" s="118"/>
      <c r="G818" s="118"/>
      <c r="H818" s="118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hidden="1">
      <c r="A819" s="118"/>
      <c r="B819" s="118"/>
      <c r="C819" s="118"/>
      <c r="D819" s="118"/>
      <c r="E819" s="118"/>
      <c r="F819" s="118"/>
      <c r="G819" s="118"/>
      <c r="H819" s="118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hidden="1">
      <c r="A820" s="118"/>
      <c r="B820" s="118"/>
      <c r="C820" s="118"/>
      <c r="D820" s="118"/>
      <c r="E820" s="118"/>
      <c r="F820" s="118"/>
      <c r="G820" s="118"/>
      <c r="H820" s="118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hidden="1">
      <c r="A821" s="118"/>
      <c r="B821" s="118"/>
      <c r="C821" s="118"/>
      <c r="D821" s="118"/>
      <c r="E821" s="118"/>
      <c r="F821" s="118"/>
      <c r="G821" s="118"/>
      <c r="H821" s="118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hidden="1">
      <c r="A822" s="118"/>
      <c r="B822" s="118"/>
      <c r="C822" s="118"/>
      <c r="D822" s="118"/>
      <c r="E822" s="118"/>
      <c r="F822" s="118"/>
      <c r="G822" s="118"/>
      <c r="H822" s="118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hidden="1">
      <c r="A823" s="118"/>
      <c r="B823" s="118"/>
      <c r="C823" s="118"/>
      <c r="D823" s="118"/>
      <c r="E823" s="118"/>
      <c r="F823" s="118"/>
      <c r="G823" s="118"/>
      <c r="H823" s="118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hidden="1">
      <c r="A824" s="118"/>
      <c r="B824" s="118"/>
      <c r="C824" s="118"/>
      <c r="D824" s="118"/>
      <c r="E824" s="118"/>
      <c r="F824" s="118"/>
      <c r="G824" s="118"/>
      <c r="H824" s="118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hidden="1">
      <c r="A825" s="118"/>
      <c r="B825" s="118"/>
      <c r="C825" s="118"/>
      <c r="D825" s="118"/>
      <c r="E825" s="118"/>
      <c r="F825" s="118"/>
      <c r="G825" s="118"/>
      <c r="H825" s="118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hidden="1">
      <c r="A826" s="118"/>
      <c r="B826" s="118"/>
      <c r="C826" s="118"/>
      <c r="D826" s="118"/>
      <c r="E826" s="118"/>
      <c r="F826" s="118"/>
      <c r="G826" s="118"/>
      <c r="H826" s="118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hidden="1">
      <c r="A827" s="118"/>
      <c r="B827" s="118"/>
      <c r="C827" s="118"/>
      <c r="D827" s="118"/>
      <c r="E827" s="118"/>
      <c r="F827" s="118"/>
      <c r="G827" s="118"/>
      <c r="H827" s="118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hidden="1">
      <c r="A828" s="118"/>
      <c r="B828" s="118"/>
      <c r="C828" s="118"/>
      <c r="D828" s="118"/>
      <c r="E828" s="118"/>
      <c r="F828" s="118"/>
      <c r="G828" s="118"/>
      <c r="H828" s="118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hidden="1">
      <c r="A829" s="118"/>
      <c r="B829" s="118"/>
      <c r="C829" s="118"/>
      <c r="D829" s="118"/>
      <c r="E829" s="118"/>
      <c r="F829" s="118"/>
      <c r="G829" s="118"/>
      <c r="H829" s="118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hidden="1">
      <c r="A830" s="118"/>
      <c r="B830" s="118"/>
      <c r="C830" s="118"/>
      <c r="D830" s="118"/>
      <c r="E830" s="118"/>
      <c r="F830" s="118"/>
      <c r="G830" s="118"/>
      <c r="H830" s="118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hidden="1">
      <c r="A831" s="118"/>
      <c r="B831" s="118"/>
      <c r="C831" s="118"/>
      <c r="D831" s="118"/>
      <c r="E831" s="118"/>
      <c r="F831" s="118"/>
      <c r="G831" s="118"/>
      <c r="H831" s="118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hidden="1">
      <c r="A832" s="118"/>
      <c r="B832" s="118"/>
      <c r="C832" s="118"/>
      <c r="D832" s="118"/>
      <c r="E832" s="118"/>
      <c r="F832" s="118"/>
      <c r="G832" s="118"/>
      <c r="H832" s="118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hidden="1">
      <c r="A833" s="118"/>
      <c r="B833" s="118"/>
      <c r="C833" s="118"/>
      <c r="D833" s="118"/>
      <c r="E833" s="118"/>
      <c r="F833" s="118"/>
      <c r="G833" s="118"/>
      <c r="H833" s="118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hidden="1">
      <c r="A834" s="118"/>
      <c r="B834" s="118"/>
      <c r="C834" s="118"/>
      <c r="D834" s="118"/>
      <c r="E834" s="118"/>
      <c r="F834" s="118"/>
      <c r="G834" s="118"/>
      <c r="H834" s="118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hidden="1">
      <c r="A835" s="118"/>
      <c r="B835" s="118"/>
      <c r="C835" s="118"/>
      <c r="D835" s="118"/>
      <c r="E835" s="118"/>
      <c r="F835" s="118"/>
      <c r="G835" s="118"/>
      <c r="H835" s="118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hidden="1">
      <c r="A836" s="118"/>
      <c r="B836" s="118"/>
      <c r="C836" s="118"/>
      <c r="D836" s="118"/>
      <c r="E836" s="118"/>
      <c r="F836" s="118"/>
      <c r="G836" s="118"/>
      <c r="H836" s="118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hidden="1">
      <c r="A837" s="118"/>
      <c r="B837" s="118"/>
      <c r="C837" s="118"/>
      <c r="D837" s="118"/>
      <c r="E837" s="118"/>
      <c r="F837" s="118"/>
      <c r="G837" s="118"/>
      <c r="H837" s="118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hidden="1">
      <c r="A838" s="118"/>
      <c r="B838" s="118"/>
      <c r="C838" s="118"/>
      <c r="D838" s="118"/>
      <c r="E838" s="118"/>
      <c r="F838" s="118"/>
      <c r="G838" s="118"/>
      <c r="H838" s="118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hidden="1">
      <c r="A839" s="118"/>
      <c r="B839" s="118"/>
      <c r="C839" s="118"/>
      <c r="D839" s="118"/>
      <c r="E839" s="118"/>
      <c r="F839" s="118"/>
      <c r="G839" s="118"/>
      <c r="H839" s="118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hidden="1">
      <c r="A840" s="118"/>
      <c r="B840" s="118"/>
      <c r="C840" s="118"/>
      <c r="D840" s="118"/>
      <c r="E840" s="118"/>
      <c r="F840" s="118"/>
      <c r="G840" s="118"/>
      <c r="H840" s="118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hidden="1">
      <c r="A841" s="118"/>
      <c r="B841" s="118"/>
      <c r="C841" s="118"/>
      <c r="D841" s="118"/>
      <c r="E841" s="118"/>
      <c r="F841" s="118"/>
      <c r="G841" s="118"/>
      <c r="H841" s="118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hidden="1">
      <c r="A842" s="118"/>
      <c r="B842" s="118"/>
      <c r="C842" s="118"/>
      <c r="D842" s="118"/>
      <c r="E842" s="118"/>
      <c r="F842" s="118"/>
      <c r="G842" s="118"/>
      <c r="H842" s="118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hidden="1">
      <c r="A843" s="118"/>
      <c r="B843" s="118"/>
      <c r="C843" s="118"/>
      <c r="D843" s="118"/>
      <c r="E843" s="118"/>
      <c r="F843" s="118"/>
      <c r="G843" s="118"/>
      <c r="H843" s="118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hidden="1">
      <c r="A844" s="118"/>
      <c r="B844" s="118"/>
      <c r="C844" s="118"/>
      <c r="D844" s="118"/>
      <c r="E844" s="118"/>
      <c r="F844" s="118"/>
      <c r="G844" s="118"/>
      <c r="H844" s="118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hidden="1">
      <c r="A845" s="118"/>
      <c r="B845" s="118"/>
      <c r="C845" s="118"/>
      <c r="D845" s="118"/>
      <c r="E845" s="118"/>
      <c r="F845" s="118"/>
      <c r="G845" s="118"/>
      <c r="H845" s="118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hidden="1">
      <c r="A846" s="118"/>
      <c r="B846" s="118"/>
      <c r="C846" s="118"/>
      <c r="D846" s="118"/>
      <c r="E846" s="118"/>
      <c r="F846" s="118"/>
      <c r="G846" s="118"/>
      <c r="H846" s="118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hidden="1">
      <c r="A847" s="118"/>
      <c r="B847" s="118"/>
      <c r="C847" s="118"/>
      <c r="D847" s="118"/>
      <c r="E847" s="118"/>
      <c r="F847" s="118"/>
      <c r="G847" s="118"/>
      <c r="H847" s="118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hidden="1">
      <c r="A848" s="118"/>
      <c r="B848" s="118"/>
      <c r="C848" s="118"/>
      <c r="D848" s="118"/>
      <c r="E848" s="118"/>
      <c r="F848" s="118"/>
      <c r="G848" s="118"/>
      <c r="H848" s="118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hidden="1">
      <c r="A849" s="118"/>
      <c r="B849" s="118"/>
      <c r="C849" s="118"/>
      <c r="D849" s="118"/>
      <c r="E849" s="118"/>
      <c r="F849" s="118"/>
      <c r="G849" s="118"/>
      <c r="H849" s="118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hidden="1">
      <c r="A850" s="118"/>
      <c r="B850" s="118"/>
      <c r="C850" s="118"/>
      <c r="D850" s="118"/>
      <c r="E850" s="118"/>
      <c r="F850" s="118"/>
      <c r="G850" s="118"/>
      <c r="H850" s="118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hidden="1">
      <c r="A851" s="118"/>
      <c r="B851" s="118"/>
      <c r="C851" s="118"/>
      <c r="D851" s="118"/>
      <c r="E851" s="118"/>
      <c r="F851" s="118"/>
      <c r="G851" s="118"/>
      <c r="H851" s="118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hidden="1">
      <c r="A852" s="118"/>
      <c r="B852" s="118"/>
      <c r="C852" s="118"/>
      <c r="D852" s="118"/>
      <c r="E852" s="118"/>
      <c r="F852" s="118"/>
      <c r="G852" s="118"/>
      <c r="H852" s="118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hidden="1">
      <c r="A853" s="118"/>
      <c r="B853" s="118"/>
      <c r="C853" s="118"/>
      <c r="D853" s="118"/>
      <c r="E853" s="118"/>
      <c r="F853" s="118"/>
      <c r="G853" s="118"/>
      <c r="H853" s="118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hidden="1">
      <c r="A854" s="118"/>
      <c r="B854" s="118"/>
      <c r="C854" s="118"/>
      <c r="D854" s="118"/>
      <c r="E854" s="118"/>
      <c r="F854" s="118"/>
      <c r="G854" s="118"/>
      <c r="H854" s="118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hidden="1">
      <c r="A855" s="118"/>
      <c r="B855" s="118"/>
      <c r="C855" s="118"/>
      <c r="D855" s="118"/>
      <c r="E855" s="118"/>
      <c r="F855" s="118"/>
      <c r="G855" s="118"/>
      <c r="H855" s="118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hidden="1">
      <c r="A856" s="118"/>
      <c r="B856" s="118"/>
      <c r="C856" s="118"/>
      <c r="D856" s="118"/>
      <c r="E856" s="118"/>
      <c r="F856" s="118"/>
      <c r="G856" s="118"/>
      <c r="H856" s="118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hidden="1">
      <c r="A857" s="118"/>
      <c r="B857" s="118"/>
      <c r="C857" s="118"/>
      <c r="D857" s="118"/>
      <c r="E857" s="118"/>
      <c r="F857" s="118"/>
      <c r="G857" s="118"/>
      <c r="H857" s="118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hidden="1">
      <c r="A858" s="118"/>
      <c r="B858" s="118"/>
      <c r="C858" s="118"/>
      <c r="D858" s="118"/>
      <c r="E858" s="118"/>
      <c r="F858" s="118"/>
      <c r="G858" s="118"/>
      <c r="H858" s="118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hidden="1">
      <c r="A859" s="118"/>
      <c r="B859" s="118"/>
      <c r="C859" s="118"/>
      <c r="D859" s="118"/>
      <c r="E859" s="118"/>
      <c r="F859" s="118"/>
      <c r="G859" s="118"/>
      <c r="H859" s="118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hidden="1">
      <c r="A860" s="118"/>
      <c r="B860" s="118"/>
      <c r="C860" s="118"/>
      <c r="D860" s="118"/>
      <c r="E860" s="118"/>
      <c r="F860" s="118"/>
      <c r="G860" s="118"/>
      <c r="H860" s="118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hidden="1">
      <c r="A861" s="118"/>
      <c r="B861" s="118"/>
      <c r="C861" s="118"/>
      <c r="D861" s="118"/>
      <c r="E861" s="118"/>
      <c r="F861" s="118"/>
      <c r="G861" s="118"/>
      <c r="H861" s="118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hidden="1">
      <c r="A862" s="118"/>
      <c r="B862" s="118"/>
      <c r="C862" s="118"/>
      <c r="D862" s="118"/>
      <c r="E862" s="118"/>
      <c r="F862" s="118"/>
      <c r="G862" s="118"/>
      <c r="H862" s="118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hidden="1">
      <c r="A863" s="118"/>
      <c r="B863" s="118"/>
      <c r="C863" s="118"/>
      <c r="D863" s="118"/>
      <c r="E863" s="118"/>
      <c r="F863" s="118"/>
      <c r="G863" s="118"/>
      <c r="H863" s="118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hidden="1">
      <c r="A864" s="118"/>
      <c r="B864" s="118"/>
      <c r="C864" s="118"/>
      <c r="D864" s="118"/>
      <c r="E864" s="118"/>
      <c r="F864" s="118"/>
      <c r="G864" s="118"/>
      <c r="H864" s="118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hidden="1">
      <c r="A865" s="118"/>
      <c r="B865" s="118"/>
      <c r="C865" s="118"/>
      <c r="D865" s="118"/>
      <c r="E865" s="118"/>
      <c r="F865" s="118"/>
      <c r="G865" s="118"/>
      <c r="H865" s="118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hidden="1">
      <c r="A866" s="118"/>
      <c r="B866" s="118"/>
      <c r="C866" s="118"/>
      <c r="D866" s="118"/>
      <c r="E866" s="118"/>
      <c r="F866" s="118"/>
      <c r="G866" s="118"/>
      <c r="H866" s="118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hidden="1">
      <c r="A867" s="118"/>
      <c r="B867" s="118"/>
      <c r="C867" s="118"/>
      <c r="D867" s="118"/>
      <c r="E867" s="118"/>
      <c r="F867" s="118"/>
      <c r="G867" s="118"/>
      <c r="H867" s="118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hidden="1">
      <c r="A868" s="118"/>
      <c r="B868" s="118"/>
      <c r="C868" s="118"/>
      <c r="D868" s="118"/>
      <c r="E868" s="118"/>
      <c r="F868" s="118"/>
      <c r="G868" s="118"/>
      <c r="H868" s="118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hidden="1">
      <c r="A869" s="118"/>
      <c r="B869" s="118"/>
      <c r="C869" s="118"/>
      <c r="D869" s="118"/>
      <c r="E869" s="118"/>
      <c r="F869" s="118"/>
      <c r="G869" s="118"/>
      <c r="H869" s="118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hidden="1">
      <c r="A870" s="118"/>
      <c r="B870" s="118"/>
      <c r="C870" s="118"/>
      <c r="D870" s="118"/>
      <c r="E870" s="118"/>
      <c r="F870" s="118"/>
      <c r="G870" s="118"/>
      <c r="H870" s="118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hidden="1">
      <c r="A871" s="118"/>
      <c r="B871" s="118"/>
      <c r="C871" s="118"/>
      <c r="D871" s="118"/>
      <c r="E871" s="118"/>
      <c r="F871" s="118"/>
      <c r="G871" s="118"/>
      <c r="H871" s="118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hidden="1">
      <c r="A872" s="118"/>
      <c r="B872" s="118"/>
      <c r="C872" s="118"/>
      <c r="D872" s="118"/>
      <c r="E872" s="118"/>
      <c r="F872" s="118"/>
      <c r="G872" s="118"/>
      <c r="H872" s="118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hidden="1">
      <c r="A873" s="118"/>
      <c r="B873" s="118"/>
      <c r="C873" s="118"/>
      <c r="D873" s="118"/>
      <c r="E873" s="118"/>
      <c r="F873" s="118"/>
      <c r="G873" s="118"/>
      <c r="H873" s="118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hidden="1">
      <c r="A874" s="118"/>
      <c r="B874" s="118"/>
      <c r="C874" s="118"/>
      <c r="D874" s="118"/>
      <c r="E874" s="118"/>
      <c r="F874" s="118"/>
      <c r="G874" s="118"/>
      <c r="H874" s="118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hidden="1">
      <c r="A875" s="118"/>
      <c r="B875" s="118"/>
      <c r="C875" s="118"/>
      <c r="D875" s="118"/>
      <c r="E875" s="118"/>
      <c r="F875" s="118"/>
      <c r="G875" s="118"/>
      <c r="H875" s="118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hidden="1">
      <c r="A876" s="118"/>
      <c r="B876" s="118"/>
      <c r="C876" s="118"/>
      <c r="D876" s="118"/>
      <c r="E876" s="118"/>
      <c r="F876" s="118"/>
      <c r="G876" s="118"/>
      <c r="H876" s="118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hidden="1">
      <c r="A877" s="118"/>
      <c r="B877" s="118"/>
      <c r="C877" s="118"/>
      <c r="D877" s="118"/>
      <c r="E877" s="118"/>
      <c r="F877" s="118"/>
      <c r="G877" s="118"/>
      <c r="H877" s="118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hidden="1">
      <c r="A878" s="118"/>
      <c r="B878" s="118"/>
      <c r="C878" s="118"/>
      <c r="D878" s="118"/>
      <c r="E878" s="118"/>
      <c r="F878" s="118"/>
      <c r="G878" s="118"/>
      <c r="H878" s="118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hidden="1">
      <c r="A879" s="118"/>
      <c r="B879" s="118"/>
      <c r="C879" s="118"/>
      <c r="D879" s="118"/>
      <c r="E879" s="118"/>
      <c r="F879" s="118"/>
      <c r="G879" s="118"/>
      <c r="H879" s="118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hidden="1">
      <c r="A880" s="118"/>
      <c r="B880" s="118"/>
      <c r="C880" s="118"/>
      <c r="D880" s="118"/>
      <c r="E880" s="118"/>
      <c r="F880" s="118"/>
      <c r="G880" s="118"/>
      <c r="H880" s="118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hidden="1">
      <c r="A881" s="118"/>
      <c r="B881" s="118"/>
      <c r="C881" s="118"/>
      <c r="D881" s="118"/>
      <c r="E881" s="118"/>
      <c r="F881" s="118"/>
      <c r="G881" s="118"/>
      <c r="H881" s="118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hidden="1">
      <c r="A882" s="118"/>
      <c r="B882" s="118"/>
      <c r="C882" s="118"/>
      <c r="D882" s="118"/>
      <c r="E882" s="118"/>
      <c r="F882" s="118"/>
      <c r="G882" s="118"/>
      <c r="H882" s="118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hidden="1">
      <c r="A883" s="118"/>
      <c r="B883" s="118"/>
      <c r="C883" s="118"/>
      <c r="D883" s="118"/>
      <c r="E883" s="118"/>
      <c r="F883" s="118"/>
      <c r="G883" s="118"/>
      <c r="H883" s="118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hidden="1">
      <c r="A884" s="118"/>
      <c r="B884" s="118"/>
      <c r="C884" s="118"/>
      <c r="D884" s="118"/>
      <c r="E884" s="118"/>
      <c r="F884" s="118"/>
      <c r="G884" s="118"/>
      <c r="H884" s="118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hidden="1">
      <c r="A885" s="118"/>
      <c r="B885" s="118"/>
      <c r="C885" s="118"/>
      <c r="D885" s="118"/>
      <c r="E885" s="118"/>
      <c r="F885" s="118"/>
      <c r="G885" s="118"/>
      <c r="H885" s="118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hidden="1">
      <c r="A886" s="118"/>
      <c r="B886" s="118"/>
      <c r="C886" s="118"/>
      <c r="D886" s="118"/>
      <c r="E886" s="118"/>
      <c r="F886" s="118"/>
      <c r="G886" s="118"/>
      <c r="H886" s="118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hidden="1">
      <c r="A887" s="118"/>
      <c r="B887" s="118"/>
      <c r="C887" s="118"/>
      <c r="D887" s="118"/>
      <c r="E887" s="118"/>
      <c r="F887" s="118"/>
      <c r="G887" s="118"/>
      <c r="H887" s="118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hidden="1">
      <c r="A888" s="118"/>
      <c r="B888" s="118"/>
      <c r="C888" s="118"/>
      <c r="D888" s="118"/>
      <c r="E888" s="118"/>
      <c r="F888" s="118"/>
      <c r="G888" s="118"/>
      <c r="H888" s="118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hidden="1">
      <c r="A889" s="118"/>
      <c r="B889" s="118"/>
      <c r="C889" s="118"/>
      <c r="D889" s="118"/>
      <c r="E889" s="118"/>
      <c r="F889" s="118"/>
      <c r="G889" s="118"/>
      <c r="H889" s="118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hidden="1">
      <c r="A890" s="118"/>
      <c r="B890" s="118"/>
      <c r="C890" s="118"/>
      <c r="D890" s="118"/>
      <c r="E890" s="118"/>
      <c r="F890" s="118"/>
      <c r="G890" s="118"/>
      <c r="H890" s="118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hidden="1">
      <c r="A891" s="118"/>
      <c r="B891" s="118"/>
      <c r="C891" s="118"/>
      <c r="D891" s="118"/>
      <c r="E891" s="118"/>
      <c r="F891" s="118"/>
      <c r="G891" s="118"/>
      <c r="H891" s="118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hidden="1">
      <c r="A892" s="118"/>
      <c r="B892" s="118"/>
      <c r="C892" s="118"/>
      <c r="D892" s="118"/>
      <c r="E892" s="118"/>
      <c r="F892" s="118"/>
      <c r="G892" s="118"/>
      <c r="H892" s="118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hidden="1">
      <c r="A893" s="118"/>
      <c r="B893" s="118"/>
      <c r="C893" s="118"/>
      <c r="D893" s="118"/>
      <c r="E893" s="118"/>
      <c r="F893" s="118"/>
      <c r="G893" s="118"/>
      <c r="H893" s="118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hidden="1">
      <c r="A894" s="118"/>
      <c r="B894" s="118"/>
      <c r="C894" s="118"/>
      <c r="D894" s="118"/>
      <c r="E894" s="118"/>
      <c r="F894" s="118"/>
      <c r="G894" s="118"/>
      <c r="H894" s="118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hidden="1">
      <c r="A895" s="118"/>
      <c r="B895" s="118"/>
      <c r="C895" s="118"/>
      <c r="D895" s="118"/>
      <c r="E895" s="118"/>
      <c r="F895" s="118"/>
      <c r="G895" s="118"/>
      <c r="H895" s="118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hidden="1">
      <c r="A896" s="118"/>
      <c r="B896" s="118"/>
      <c r="C896" s="118"/>
      <c r="D896" s="118"/>
      <c r="E896" s="118"/>
      <c r="F896" s="118"/>
      <c r="G896" s="118"/>
      <c r="H896" s="118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hidden="1">
      <c r="A897" s="118"/>
      <c r="B897" s="118"/>
      <c r="C897" s="118"/>
      <c r="D897" s="118"/>
      <c r="E897" s="118"/>
      <c r="F897" s="118"/>
      <c r="G897" s="118"/>
      <c r="H897" s="118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hidden="1">
      <c r="A898" s="118"/>
      <c r="B898" s="118"/>
      <c r="C898" s="118"/>
      <c r="D898" s="118"/>
      <c r="E898" s="118"/>
      <c r="F898" s="118"/>
      <c r="G898" s="118"/>
      <c r="H898" s="118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hidden="1">
      <c r="A899" s="118"/>
      <c r="B899" s="118"/>
      <c r="C899" s="118"/>
      <c r="D899" s="118"/>
      <c r="E899" s="118"/>
      <c r="F899" s="118"/>
      <c r="G899" s="118"/>
      <c r="H899" s="118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hidden="1">
      <c r="A900" s="118"/>
      <c r="B900" s="118"/>
      <c r="C900" s="118"/>
      <c r="D900" s="118"/>
      <c r="E900" s="118"/>
      <c r="F900" s="118"/>
      <c r="G900" s="118"/>
      <c r="H900" s="118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hidden="1">
      <c r="A901" s="118"/>
      <c r="B901" s="118"/>
      <c r="C901" s="118"/>
      <c r="D901" s="118"/>
      <c r="E901" s="118"/>
      <c r="F901" s="118"/>
      <c r="G901" s="118"/>
      <c r="H901" s="118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hidden="1">
      <c r="A902" s="118"/>
      <c r="B902" s="118"/>
      <c r="C902" s="118"/>
      <c r="D902" s="118"/>
      <c r="E902" s="118"/>
      <c r="F902" s="118"/>
      <c r="G902" s="118"/>
      <c r="H902" s="118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hidden="1">
      <c r="A903" s="118"/>
      <c r="B903" s="118"/>
      <c r="C903" s="118"/>
      <c r="D903" s="118"/>
      <c r="E903" s="118"/>
      <c r="F903" s="118"/>
      <c r="G903" s="118"/>
      <c r="H903" s="118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hidden="1">
      <c r="A904" s="118"/>
      <c r="B904" s="118"/>
      <c r="C904" s="118"/>
      <c r="D904" s="118"/>
      <c r="E904" s="118"/>
      <c r="F904" s="118"/>
      <c r="G904" s="118"/>
      <c r="H904" s="118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hidden="1">
      <c r="A905" s="118"/>
      <c r="B905" s="118"/>
      <c r="C905" s="118"/>
      <c r="D905" s="118"/>
      <c r="E905" s="118"/>
      <c r="F905" s="118"/>
      <c r="G905" s="118"/>
      <c r="H905" s="118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hidden="1">
      <c r="A906" s="118"/>
      <c r="B906" s="118"/>
      <c r="C906" s="118"/>
      <c r="D906" s="118"/>
      <c r="E906" s="118"/>
      <c r="F906" s="118"/>
      <c r="G906" s="118"/>
      <c r="H906" s="118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hidden="1">
      <c r="A907" s="118"/>
      <c r="B907" s="118"/>
      <c r="C907" s="118"/>
      <c r="D907" s="118"/>
      <c r="E907" s="118"/>
      <c r="F907" s="118"/>
      <c r="G907" s="118"/>
      <c r="H907" s="118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hidden="1">
      <c r="A908" s="118"/>
      <c r="B908" s="118"/>
      <c r="C908" s="118"/>
      <c r="D908" s="118"/>
      <c r="E908" s="118"/>
      <c r="F908" s="118"/>
      <c r="G908" s="118"/>
      <c r="H908" s="118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hidden="1">
      <c r="A909" s="118"/>
      <c r="B909" s="118"/>
      <c r="C909" s="118"/>
      <c r="D909" s="118"/>
      <c r="E909" s="118"/>
      <c r="F909" s="118"/>
      <c r="G909" s="118"/>
      <c r="H909" s="118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hidden="1">
      <c r="A910" s="118"/>
      <c r="B910" s="118"/>
      <c r="C910" s="118"/>
      <c r="D910" s="118"/>
      <c r="E910" s="118"/>
      <c r="F910" s="118"/>
      <c r="G910" s="118"/>
      <c r="H910" s="118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hidden="1">
      <c r="A911" s="118"/>
      <c r="B911" s="118"/>
      <c r="C911" s="118"/>
      <c r="D911" s="118"/>
      <c r="E911" s="118"/>
      <c r="F911" s="118"/>
      <c r="G911" s="118"/>
      <c r="H911" s="118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hidden="1">
      <c r="A912" s="118"/>
      <c r="B912" s="118"/>
      <c r="C912" s="118"/>
      <c r="D912" s="118"/>
      <c r="E912" s="118"/>
      <c r="F912" s="118"/>
      <c r="G912" s="118"/>
      <c r="H912" s="118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hidden="1">
      <c r="A913" s="118"/>
      <c r="B913" s="118"/>
      <c r="C913" s="118"/>
      <c r="D913" s="118"/>
      <c r="E913" s="118"/>
      <c r="F913" s="118"/>
      <c r="G913" s="118"/>
      <c r="H913" s="118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hidden="1">
      <c r="A914" s="118"/>
      <c r="B914" s="118"/>
      <c r="C914" s="118"/>
      <c r="D914" s="118"/>
      <c r="E914" s="118"/>
      <c r="F914" s="118"/>
      <c r="G914" s="118"/>
      <c r="H914" s="118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hidden="1">
      <c r="A915" s="118"/>
      <c r="B915" s="118"/>
      <c r="C915" s="118"/>
      <c r="D915" s="118"/>
      <c r="E915" s="118"/>
      <c r="F915" s="118"/>
      <c r="G915" s="118"/>
      <c r="H915" s="118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hidden="1">
      <c r="A916" s="118"/>
      <c r="B916" s="118"/>
      <c r="C916" s="118"/>
      <c r="D916" s="118"/>
      <c r="E916" s="118"/>
      <c r="F916" s="118"/>
      <c r="G916" s="118"/>
      <c r="H916" s="118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hidden="1">
      <c r="A917" s="118"/>
      <c r="B917" s="118"/>
      <c r="C917" s="118"/>
      <c r="D917" s="118"/>
      <c r="E917" s="118"/>
      <c r="F917" s="118"/>
      <c r="G917" s="118"/>
      <c r="H917" s="118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hidden="1">
      <c r="A918" s="118"/>
      <c r="B918" s="118"/>
      <c r="C918" s="118"/>
      <c r="D918" s="118"/>
      <c r="E918" s="118"/>
      <c r="F918" s="118"/>
      <c r="G918" s="118"/>
      <c r="H918" s="118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hidden="1">
      <c r="A919" s="118"/>
      <c r="B919" s="118"/>
      <c r="C919" s="118"/>
      <c r="D919" s="118"/>
      <c r="E919" s="118"/>
      <c r="F919" s="118"/>
      <c r="G919" s="118"/>
      <c r="H919" s="118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hidden="1">
      <c r="A920" s="118"/>
      <c r="B920" s="118"/>
      <c r="C920" s="118"/>
      <c r="D920" s="118"/>
      <c r="E920" s="118"/>
      <c r="F920" s="118"/>
      <c r="G920" s="118"/>
      <c r="H920" s="118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hidden="1">
      <c r="A921" s="118"/>
      <c r="B921" s="118"/>
      <c r="C921" s="118"/>
      <c r="D921" s="118"/>
      <c r="E921" s="118"/>
      <c r="F921" s="118"/>
      <c r="G921" s="118"/>
      <c r="H921" s="118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hidden="1">
      <c r="A922" s="118"/>
      <c r="B922" s="118"/>
      <c r="C922" s="118"/>
      <c r="D922" s="118"/>
      <c r="E922" s="118"/>
      <c r="F922" s="118"/>
      <c r="G922" s="118"/>
      <c r="H922" s="118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hidden="1">
      <c r="A923" s="118"/>
      <c r="B923" s="118"/>
      <c r="C923" s="118"/>
      <c r="D923" s="118"/>
      <c r="E923" s="118"/>
      <c r="F923" s="118"/>
      <c r="G923" s="118"/>
      <c r="H923" s="118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hidden="1">
      <c r="A924" s="118"/>
      <c r="B924" s="118"/>
      <c r="C924" s="118"/>
      <c r="D924" s="118"/>
      <c r="E924" s="118"/>
      <c r="F924" s="118"/>
      <c r="G924" s="118"/>
      <c r="H924" s="118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hidden="1">
      <c r="A925" s="118"/>
      <c r="B925" s="118"/>
      <c r="C925" s="118"/>
      <c r="D925" s="118"/>
      <c r="E925" s="118"/>
      <c r="F925" s="118"/>
      <c r="G925" s="118"/>
      <c r="H925" s="118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hidden="1">
      <c r="A926" s="118"/>
      <c r="B926" s="118"/>
      <c r="C926" s="118"/>
      <c r="D926" s="118"/>
      <c r="E926" s="118"/>
      <c r="F926" s="118"/>
      <c r="G926" s="118"/>
      <c r="H926" s="118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hidden="1">
      <c r="A927" s="118"/>
      <c r="B927" s="118"/>
      <c r="C927" s="118"/>
      <c r="D927" s="118"/>
      <c r="E927" s="118"/>
      <c r="F927" s="118"/>
      <c r="G927" s="118"/>
      <c r="H927" s="118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hidden="1">
      <c r="A928" s="118"/>
      <c r="B928" s="118"/>
      <c r="C928" s="118"/>
      <c r="D928" s="118"/>
      <c r="E928" s="118"/>
      <c r="F928" s="118"/>
      <c r="G928" s="118"/>
      <c r="H928" s="118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hidden="1">
      <c r="A929" s="118"/>
      <c r="B929" s="118"/>
      <c r="C929" s="118"/>
      <c r="D929" s="118"/>
      <c r="E929" s="118"/>
      <c r="F929" s="118"/>
      <c r="G929" s="118"/>
      <c r="H929" s="118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hidden="1">
      <c r="A930" s="118"/>
      <c r="B930" s="118"/>
      <c r="C930" s="118"/>
      <c r="D930" s="118"/>
      <c r="E930" s="118"/>
      <c r="F930" s="118"/>
      <c r="G930" s="118"/>
      <c r="H930" s="118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hidden="1">
      <c r="A931" s="118"/>
      <c r="B931" s="118"/>
      <c r="C931" s="118"/>
      <c r="D931" s="118"/>
      <c r="E931" s="118"/>
      <c r="F931" s="118"/>
      <c r="G931" s="118"/>
      <c r="H931" s="118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hidden="1">
      <c r="A932" s="118"/>
      <c r="B932" s="118"/>
      <c r="C932" s="118"/>
      <c r="D932" s="118"/>
      <c r="E932" s="118"/>
      <c r="F932" s="118"/>
      <c r="G932" s="118"/>
      <c r="H932" s="118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hidden="1">
      <c r="A933" s="118"/>
      <c r="B933" s="118"/>
      <c r="C933" s="118"/>
      <c r="D933" s="118"/>
      <c r="E933" s="118"/>
      <c r="F933" s="118"/>
      <c r="G933" s="118"/>
      <c r="H933" s="118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hidden="1">
      <c r="A934" s="118"/>
      <c r="B934" s="118"/>
      <c r="C934" s="118"/>
      <c r="D934" s="118"/>
      <c r="E934" s="118"/>
      <c r="F934" s="118"/>
      <c r="G934" s="118"/>
      <c r="H934" s="118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hidden="1">
      <c r="A935" s="118"/>
      <c r="B935" s="118"/>
      <c r="C935" s="118"/>
      <c r="D935" s="118"/>
      <c r="E935" s="118"/>
      <c r="F935" s="118"/>
      <c r="G935" s="118"/>
      <c r="H935" s="118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hidden="1">
      <c r="A936" s="118"/>
      <c r="B936" s="118"/>
      <c r="C936" s="118"/>
      <c r="D936" s="118"/>
      <c r="E936" s="118"/>
      <c r="F936" s="118"/>
      <c r="G936" s="118"/>
      <c r="H936" s="118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hidden="1">
      <c r="A937" s="118"/>
      <c r="B937" s="118"/>
      <c r="C937" s="118"/>
      <c r="D937" s="118"/>
      <c r="E937" s="118"/>
      <c r="F937" s="118"/>
      <c r="G937" s="118"/>
      <c r="H937" s="118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hidden="1">
      <c r="A938" s="118"/>
      <c r="B938" s="118"/>
      <c r="C938" s="118"/>
      <c r="D938" s="118"/>
      <c r="E938" s="118"/>
      <c r="F938" s="118"/>
      <c r="G938" s="118"/>
      <c r="H938" s="118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hidden="1">
      <c r="A939" s="118"/>
      <c r="B939" s="118"/>
      <c r="C939" s="118"/>
      <c r="D939" s="118"/>
      <c r="E939" s="118"/>
      <c r="F939" s="118"/>
      <c r="G939" s="118"/>
      <c r="H939" s="118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hidden="1">
      <c r="A940" s="118"/>
      <c r="B940" s="118"/>
      <c r="C940" s="118"/>
      <c r="D940" s="118"/>
      <c r="E940" s="118"/>
      <c r="F940" s="118"/>
      <c r="G940" s="118"/>
      <c r="H940" s="118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hidden="1">
      <c r="A941" s="118"/>
      <c r="B941" s="118"/>
      <c r="C941" s="118"/>
      <c r="D941" s="118"/>
      <c r="E941" s="118"/>
      <c r="F941" s="118"/>
      <c r="G941" s="118"/>
      <c r="H941" s="118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hidden="1">
      <c r="A942" s="118"/>
      <c r="B942" s="118"/>
      <c r="C942" s="118"/>
      <c r="D942" s="118"/>
      <c r="E942" s="118"/>
      <c r="F942" s="118"/>
      <c r="G942" s="118"/>
      <c r="H942" s="118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hidden="1">
      <c r="A943" s="118"/>
      <c r="B943" s="118"/>
      <c r="C943" s="118"/>
      <c r="D943" s="118"/>
      <c r="E943" s="118"/>
      <c r="F943" s="118"/>
      <c r="G943" s="118"/>
      <c r="H943" s="118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hidden="1">
      <c r="A944" s="118"/>
      <c r="B944" s="118"/>
      <c r="C944" s="118"/>
      <c r="D944" s="118"/>
      <c r="E944" s="118"/>
      <c r="F944" s="118"/>
      <c r="G944" s="118"/>
      <c r="H944" s="118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hidden="1">
      <c r="A945" s="118"/>
      <c r="B945" s="118"/>
      <c r="C945" s="118"/>
      <c r="D945" s="118"/>
      <c r="E945" s="118"/>
      <c r="F945" s="118"/>
      <c r="G945" s="118"/>
      <c r="H945" s="118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hidden="1">
      <c r="A946" s="118"/>
      <c r="B946" s="118"/>
      <c r="C946" s="118"/>
      <c r="D946" s="118"/>
      <c r="E946" s="118"/>
      <c r="F946" s="118"/>
      <c r="G946" s="118"/>
      <c r="H946" s="118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hidden="1">
      <c r="A947" s="118"/>
      <c r="B947" s="118"/>
      <c r="C947" s="118"/>
      <c r="D947" s="118"/>
      <c r="E947" s="118"/>
      <c r="F947" s="118"/>
      <c r="G947" s="118"/>
      <c r="H947" s="118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hidden="1">
      <c r="A948" s="118"/>
      <c r="B948" s="118"/>
      <c r="C948" s="118"/>
      <c r="D948" s="118"/>
      <c r="E948" s="118"/>
      <c r="F948" s="118"/>
      <c r="G948" s="118"/>
      <c r="H948" s="118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hidden="1">
      <c r="A949" s="118"/>
      <c r="B949" s="118"/>
      <c r="C949" s="118"/>
      <c r="D949" s="118"/>
      <c r="E949" s="118"/>
      <c r="F949" s="118"/>
      <c r="G949" s="118"/>
      <c r="H949" s="118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hidden="1">
      <c r="A950" s="118"/>
      <c r="B950" s="118"/>
      <c r="C950" s="118"/>
      <c r="D950" s="118"/>
      <c r="E950" s="118"/>
      <c r="F950" s="118"/>
      <c r="G950" s="118"/>
      <c r="H950" s="118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hidden="1">
      <c r="A951" s="118"/>
      <c r="B951" s="118"/>
      <c r="C951" s="118"/>
      <c r="D951" s="118"/>
      <c r="E951" s="118"/>
      <c r="F951" s="118"/>
      <c r="G951" s="118"/>
      <c r="H951" s="118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hidden="1">
      <c r="A952" s="118"/>
      <c r="B952" s="118"/>
      <c r="C952" s="118"/>
      <c r="D952" s="118"/>
      <c r="E952" s="118"/>
      <c r="F952" s="118"/>
      <c r="G952" s="118"/>
      <c r="H952" s="118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hidden="1">
      <c r="A953" s="118"/>
      <c r="B953" s="118"/>
      <c r="C953" s="118"/>
      <c r="D953" s="118"/>
      <c r="E953" s="118"/>
      <c r="F953" s="118"/>
      <c r="G953" s="118"/>
      <c r="H953" s="118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hidden="1">
      <c r="A954" s="118"/>
      <c r="B954" s="118"/>
      <c r="C954" s="118"/>
      <c r="D954" s="118"/>
      <c r="E954" s="118"/>
      <c r="F954" s="118"/>
      <c r="G954" s="118"/>
      <c r="H954" s="118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hidden="1">
      <c r="A955" s="118"/>
      <c r="B955" s="118"/>
      <c r="C955" s="118"/>
      <c r="D955" s="118"/>
      <c r="E955" s="118"/>
      <c r="F955" s="118"/>
      <c r="G955" s="118"/>
      <c r="H955" s="118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hidden="1">
      <c r="A956" s="118"/>
      <c r="B956" s="118"/>
      <c r="C956" s="118"/>
      <c r="D956" s="118"/>
      <c r="E956" s="118"/>
      <c r="F956" s="118"/>
      <c r="G956" s="118"/>
      <c r="H956" s="118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hidden="1">
      <c r="A957" s="118"/>
      <c r="B957" s="118"/>
      <c r="C957" s="118"/>
      <c r="D957" s="118"/>
      <c r="E957" s="118"/>
      <c r="F957" s="118"/>
      <c r="G957" s="118"/>
      <c r="H957" s="118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hidden="1">
      <c r="A958" s="118"/>
      <c r="B958" s="118"/>
      <c r="C958" s="118"/>
      <c r="D958" s="118"/>
      <c r="E958" s="118"/>
      <c r="F958" s="118"/>
      <c r="G958" s="118"/>
      <c r="H958" s="118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hidden="1">
      <c r="A959" s="118"/>
      <c r="B959" s="118"/>
      <c r="C959" s="118"/>
      <c r="D959" s="118"/>
      <c r="E959" s="118"/>
      <c r="F959" s="118"/>
      <c r="G959" s="118"/>
      <c r="H959" s="118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hidden="1">
      <c r="A960" s="118"/>
      <c r="B960" s="118"/>
      <c r="C960" s="118"/>
      <c r="D960" s="118"/>
      <c r="E960" s="118"/>
      <c r="F960" s="118"/>
      <c r="G960" s="118"/>
      <c r="H960" s="118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hidden="1">
      <c r="A961" s="118"/>
      <c r="B961" s="118"/>
      <c r="C961" s="118"/>
      <c r="D961" s="118"/>
      <c r="E961" s="118"/>
      <c r="F961" s="118"/>
      <c r="G961" s="118"/>
      <c r="H961" s="118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hidden="1">
      <c r="A962" s="118"/>
      <c r="B962" s="118"/>
      <c r="C962" s="118"/>
      <c r="D962" s="118"/>
      <c r="E962" s="118"/>
      <c r="F962" s="118"/>
      <c r="G962" s="118"/>
      <c r="H962" s="118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hidden="1">
      <c r="A963" s="118"/>
      <c r="B963" s="118"/>
      <c r="C963" s="118"/>
      <c r="D963" s="118"/>
      <c r="E963" s="118"/>
      <c r="F963" s="118"/>
      <c r="G963" s="118"/>
      <c r="H963" s="118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hidden="1">
      <c r="A964" s="118"/>
      <c r="B964" s="118"/>
      <c r="C964" s="118"/>
      <c r="D964" s="118"/>
      <c r="E964" s="118"/>
      <c r="F964" s="118"/>
      <c r="G964" s="118"/>
      <c r="H964" s="118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hidden="1">
      <c r="A965" s="118"/>
      <c r="B965" s="118"/>
      <c r="C965" s="118"/>
      <c r="D965" s="118"/>
      <c r="E965" s="118"/>
      <c r="F965" s="118"/>
      <c r="G965" s="118"/>
      <c r="H965" s="118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hidden="1">
      <c r="A966" s="118"/>
      <c r="B966" s="118"/>
      <c r="C966" s="118"/>
      <c r="D966" s="118"/>
      <c r="E966" s="118"/>
      <c r="F966" s="118"/>
      <c r="G966" s="118"/>
      <c r="H966" s="118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hidden="1">
      <c r="A967" s="118"/>
      <c r="B967" s="118"/>
      <c r="C967" s="118"/>
      <c r="D967" s="118"/>
      <c r="E967" s="118"/>
      <c r="F967" s="118"/>
      <c r="G967" s="118"/>
      <c r="H967" s="118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hidden="1">
      <c r="A968" s="118"/>
      <c r="B968" s="118"/>
      <c r="C968" s="118"/>
      <c r="D968" s="118"/>
      <c r="E968" s="118"/>
      <c r="F968" s="118"/>
      <c r="G968" s="118"/>
      <c r="H968" s="118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hidden="1">
      <c r="A969" s="118"/>
      <c r="B969" s="118"/>
      <c r="C969" s="118"/>
      <c r="D969" s="118"/>
      <c r="E969" s="118"/>
      <c r="F969" s="118"/>
      <c r="G969" s="118"/>
      <c r="H969" s="118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hidden="1">
      <c r="A970" s="118"/>
      <c r="B970" s="118"/>
      <c r="C970" s="118"/>
      <c r="D970" s="118"/>
      <c r="E970" s="118"/>
      <c r="F970" s="118"/>
      <c r="G970" s="118"/>
      <c r="H970" s="118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hidden="1">
      <c r="A971" s="118"/>
      <c r="B971" s="118"/>
      <c r="C971" s="118"/>
      <c r="D971" s="118"/>
      <c r="E971" s="118"/>
      <c r="F971" s="118"/>
      <c r="G971" s="118"/>
      <c r="H971" s="118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hidden="1">
      <c r="A972" s="118"/>
      <c r="B972" s="118"/>
      <c r="C972" s="118"/>
      <c r="D972" s="118"/>
      <c r="E972" s="118"/>
      <c r="F972" s="118"/>
      <c r="G972" s="118"/>
      <c r="H972" s="118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hidden="1">
      <c r="A973" s="118"/>
      <c r="B973" s="118"/>
      <c r="C973" s="118"/>
      <c r="D973" s="118"/>
      <c r="E973" s="118"/>
      <c r="F973" s="118"/>
      <c r="G973" s="118"/>
      <c r="H973" s="118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hidden="1">
      <c r="A974" s="118"/>
      <c r="B974" s="118"/>
      <c r="C974" s="118"/>
      <c r="D974" s="118"/>
      <c r="E974" s="118"/>
      <c r="F974" s="118"/>
      <c r="G974" s="118"/>
      <c r="H974" s="118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hidden="1">
      <c r="A975" s="118"/>
      <c r="B975" s="118"/>
      <c r="C975" s="118"/>
      <c r="D975" s="118"/>
      <c r="E975" s="118"/>
      <c r="F975" s="118"/>
      <c r="G975" s="118"/>
      <c r="H975" s="118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hidden="1">
      <c r="A976" s="118"/>
      <c r="B976" s="118"/>
      <c r="C976" s="118"/>
      <c r="D976" s="118"/>
      <c r="E976" s="118"/>
      <c r="F976" s="118"/>
      <c r="G976" s="118"/>
      <c r="H976" s="118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hidden="1">
      <c r="A977" s="118"/>
      <c r="B977" s="118"/>
      <c r="C977" s="118"/>
      <c r="D977" s="118"/>
      <c r="E977" s="118"/>
      <c r="F977" s="118"/>
      <c r="G977" s="118"/>
      <c r="H977" s="118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hidden="1">
      <c r="A978" s="118"/>
      <c r="B978" s="118"/>
      <c r="C978" s="118"/>
      <c r="D978" s="118"/>
      <c r="E978" s="118"/>
      <c r="F978" s="118"/>
      <c r="G978" s="118"/>
      <c r="H978" s="118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hidden="1">
      <c r="A979" s="118"/>
      <c r="B979" s="118"/>
      <c r="C979" s="118"/>
      <c r="D979" s="118"/>
      <c r="E979" s="118"/>
      <c r="F979" s="118"/>
      <c r="G979" s="118"/>
      <c r="H979" s="118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hidden="1">
      <c r="A980" s="118"/>
      <c r="B980" s="118"/>
      <c r="C980" s="118"/>
      <c r="D980" s="118"/>
      <c r="E980" s="118"/>
      <c r="F980" s="118"/>
      <c r="G980" s="118"/>
      <c r="H980" s="118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hidden="1">
      <c r="A981" s="118"/>
      <c r="B981" s="118"/>
      <c r="C981" s="118"/>
      <c r="D981" s="118"/>
      <c r="E981" s="118"/>
      <c r="F981" s="118"/>
      <c r="G981" s="118"/>
      <c r="H981" s="118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hidden="1">
      <c r="A982" s="118"/>
      <c r="B982" s="118"/>
      <c r="C982" s="118"/>
      <c r="D982" s="118"/>
      <c r="E982" s="118"/>
      <c r="F982" s="118"/>
      <c r="G982" s="118"/>
      <c r="H982" s="118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hidden="1">
      <c r="A983" s="118"/>
      <c r="B983" s="118"/>
      <c r="C983" s="118"/>
      <c r="D983" s="118"/>
      <c r="E983" s="118"/>
      <c r="F983" s="118"/>
      <c r="G983" s="118"/>
      <c r="H983" s="118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hidden="1">
      <c r="A984" s="118"/>
      <c r="B984" s="118"/>
      <c r="C984" s="118"/>
      <c r="D984" s="118"/>
      <c r="E984" s="118"/>
      <c r="F984" s="118"/>
      <c r="G984" s="118"/>
      <c r="H984" s="118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hidden="1">
      <c r="A985" s="118"/>
      <c r="B985" s="118"/>
      <c r="C985" s="118"/>
      <c r="D985" s="118"/>
      <c r="E985" s="118"/>
      <c r="F985" s="118"/>
      <c r="G985" s="118"/>
      <c r="H985" s="118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hidden="1">
      <c r="A986" s="118"/>
      <c r="B986" s="118"/>
      <c r="C986" s="118"/>
      <c r="D986" s="118"/>
      <c r="E986" s="118"/>
      <c r="F986" s="118"/>
      <c r="G986" s="118"/>
      <c r="H986" s="118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hidden="1">
      <c r="A987" s="118"/>
      <c r="B987" s="118"/>
      <c r="C987" s="118"/>
      <c r="D987" s="118"/>
      <c r="E987" s="118"/>
      <c r="F987" s="118"/>
      <c r="G987" s="118"/>
      <c r="H987" s="118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hidden="1">
      <c r="A988" s="118"/>
      <c r="B988" s="118"/>
      <c r="C988" s="118"/>
      <c r="D988" s="118"/>
      <c r="E988" s="118"/>
      <c r="F988" s="118"/>
      <c r="G988" s="118"/>
      <c r="H988" s="118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hidden="1">
      <c r="A989" s="118"/>
      <c r="B989" s="118"/>
      <c r="C989" s="118"/>
      <c r="D989" s="118"/>
      <c r="E989" s="118"/>
      <c r="F989" s="118"/>
      <c r="G989" s="118"/>
      <c r="H989" s="118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hidden="1">
      <c r="A990" s="118"/>
      <c r="B990" s="118"/>
      <c r="C990" s="118"/>
      <c r="D990" s="118"/>
      <c r="E990" s="118"/>
      <c r="F990" s="118"/>
      <c r="G990" s="118"/>
      <c r="H990" s="118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hidden="1">
      <c r="A991" s="118"/>
      <c r="B991" s="118"/>
      <c r="C991" s="118"/>
      <c r="D991" s="118"/>
      <c r="E991" s="118"/>
      <c r="F991" s="118"/>
      <c r="G991" s="118"/>
      <c r="H991" s="118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hidden="1">
      <c r="A992" s="118"/>
      <c r="B992" s="118"/>
      <c r="C992" s="118"/>
      <c r="D992" s="118"/>
      <c r="E992" s="118"/>
      <c r="F992" s="118"/>
      <c r="G992" s="118"/>
      <c r="H992" s="118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hidden="1">
      <c r="A993" s="118"/>
      <c r="B993" s="118"/>
      <c r="C993" s="118"/>
      <c r="D993" s="118"/>
      <c r="E993" s="118"/>
      <c r="F993" s="118"/>
      <c r="G993" s="118"/>
      <c r="H993" s="118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hidden="1">
      <c r="A994" s="118"/>
      <c r="B994" s="118"/>
      <c r="C994" s="118"/>
      <c r="D994" s="118"/>
      <c r="E994" s="118"/>
      <c r="F994" s="118"/>
      <c r="G994" s="118"/>
      <c r="H994" s="118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hidden="1">
      <c r="A995" s="118"/>
      <c r="B995" s="118"/>
      <c r="C995" s="118"/>
      <c r="D995" s="118"/>
      <c r="E995" s="118"/>
      <c r="F995" s="118"/>
      <c r="G995" s="118"/>
      <c r="H995" s="118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hidden="1">
      <c r="A996" s="118"/>
      <c r="B996" s="118"/>
      <c r="C996" s="118"/>
      <c r="D996" s="118"/>
      <c r="E996" s="118"/>
      <c r="F996" s="118"/>
      <c r="G996" s="118"/>
      <c r="H996" s="118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hidden="1">
      <c r="A997" s="118"/>
      <c r="B997" s="118"/>
      <c r="C997" s="118"/>
      <c r="D997" s="118"/>
      <c r="E997" s="118"/>
      <c r="F997" s="118"/>
      <c r="G997" s="118"/>
      <c r="H997" s="118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hidden="1">
      <c r="A998" s="118"/>
      <c r="B998" s="118"/>
      <c r="C998" s="118"/>
      <c r="D998" s="118"/>
      <c r="E998" s="118"/>
      <c r="F998" s="118"/>
      <c r="G998" s="118"/>
      <c r="H998" s="118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hidden="1">
      <c r="A999" s="118"/>
      <c r="B999" s="118"/>
      <c r="C999" s="118"/>
      <c r="D999" s="118"/>
      <c r="E999" s="118"/>
      <c r="F999" s="118"/>
      <c r="G999" s="118"/>
      <c r="H999" s="118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hidden="1">
      <c r="A1000" s="118"/>
      <c r="B1000" s="118"/>
      <c r="C1000" s="118"/>
      <c r="D1000" s="118"/>
      <c r="E1000" s="118"/>
      <c r="F1000" s="118"/>
      <c r="G1000" s="118"/>
      <c r="H1000" s="118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  <row r="1001" hidden="1">
      <c r="A1001" s="118"/>
      <c r="B1001" s="118"/>
      <c r="C1001" s="118"/>
      <c r="D1001" s="118"/>
      <c r="E1001" s="118"/>
      <c r="F1001" s="118"/>
      <c r="G1001" s="118"/>
      <c r="H1001" s="118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  <c r="Z1001" s="119"/>
    </row>
    <row r="1002" hidden="1">
      <c r="A1002" s="118"/>
      <c r="B1002" s="118"/>
      <c r="C1002" s="118"/>
      <c r="D1002" s="118"/>
      <c r="E1002" s="118"/>
      <c r="F1002" s="118"/>
      <c r="G1002" s="118"/>
      <c r="H1002" s="118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  <c r="Z1002" s="119"/>
    </row>
  </sheetData>
  <mergeCells count="41">
    <mergeCell ref="A1:H1"/>
    <mergeCell ref="A3:B3"/>
    <mergeCell ref="D3:E3"/>
    <mergeCell ref="G3:H3"/>
    <mergeCell ref="K3:M3"/>
    <mergeCell ref="A4:B4"/>
    <mergeCell ref="D4:E4"/>
    <mergeCell ref="A6:B6"/>
    <mergeCell ref="D6:E6"/>
    <mergeCell ref="A7:B7"/>
    <mergeCell ref="D7:E7"/>
    <mergeCell ref="A9:B9"/>
    <mergeCell ref="D9:E9"/>
    <mergeCell ref="A10:B10"/>
    <mergeCell ref="D10:E10"/>
    <mergeCell ref="A13:H13"/>
    <mergeCell ref="B14:C14"/>
    <mergeCell ref="G14:H14"/>
    <mergeCell ref="B15:C15"/>
    <mergeCell ref="G15:H15"/>
    <mergeCell ref="G16:H16"/>
    <mergeCell ref="B23:C23"/>
    <mergeCell ref="B24:C24"/>
    <mergeCell ref="B25:C25"/>
    <mergeCell ref="A28:F28"/>
    <mergeCell ref="B16:C16"/>
    <mergeCell ref="B17:C17"/>
    <mergeCell ref="B18:C18"/>
    <mergeCell ref="B19:C19"/>
    <mergeCell ref="B20:C20"/>
    <mergeCell ref="B21:C21"/>
    <mergeCell ref="B22:C22"/>
    <mergeCell ref="G24:H24"/>
    <mergeCell ref="G25:H25"/>
    <mergeCell ref="G17:H17"/>
    <mergeCell ref="G18:H18"/>
    <mergeCell ref="G19:H19"/>
    <mergeCell ref="G20:H20"/>
    <mergeCell ref="G21:H21"/>
    <mergeCell ref="G22:H22"/>
    <mergeCell ref="G23:H23"/>
  </mergeCells>
  <conditionalFormatting sqref="A15:H25 A30:F40">
    <cfRule type="expression" dxfId="5" priority="1">
      <formula>ES.IMPPAR(ROW())</formula>
    </cfRule>
  </conditionalFormatting>
  <dataValidations>
    <dataValidation type="list" allowBlank="1" sqref="A4">
      <formula1>ListaOS</formula1>
    </dataValidation>
    <dataValidation type="list" allowBlank="1" showErrorMessage="1" sqref="B15:B24">
      <formula1>TARIFARIO!$I$2:$I$1000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5.63"/>
    <col customWidth="1" min="5" max="5" width="17.25"/>
    <col customWidth="1" min="6" max="6" width="28.88"/>
    <col customWidth="1" min="7" max="7" width="16.88"/>
    <col customWidth="1" min="8" max="8" width="22.13"/>
  </cols>
  <sheetData>
    <row r="1">
      <c r="A1" s="120" t="s">
        <v>109</v>
      </c>
    </row>
    <row r="2">
      <c r="A2" s="121" t="s">
        <v>27</v>
      </c>
      <c r="B2" s="121" t="s">
        <v>33</v>
      </c>
      <c r="C2" s="121" t="s">
        <v>28</v>
      </c>
      <c r="D2" s="121" t="s">
        <v>110</v>
      </c>
      <c r="E2" s="121" t="s">
        <v>111</v>
      </c>
      <c r="F2" s="121" t="s">
        <v>112</v>
      </c>
      <c r="G2" s="121" t="s">
        <v>113</v>
      </c>
      <c r="H2" s="121" t="s">
        <v>106</v>
      </c>
    </row>
    <row r="3">
      <c r="A3" s="122" t="s">
        <v>36</v>
      </c>
      <c r="B3" s="123">
        <v>45606.0</v>
      </c>
      <c r="C3" s="122" t="s">
        <v>37</v>
      </c>
      <c r="D3" s="122" t="s">
        <v>114</v>
      </c>
      <c r="E3" s="124">
        <v>129.95</v>
      </c>
      <c r="F3" s="124">
        <v>33.284</v>
      </c>
      <c r="G3" s="124">
        <v>163.23399999999998</v>
      </c>
      <c r="H3" s="122"/>
    </row>
    <row r="4">
      <c r="A4" s="122" t="s">
        <v>43</v>
      </c>
      <c r="B4" s="123">
        <v>45606.0</v>
      </c>
      <c r="C4" s="122" t="s">
        <v>44</v>
      </c>
      <c r="D4" s="122" t="s">
        <v>114</v>
      </c>
      <c r="E4" s="124">
        <v>67.8</v>
      </c>
      <c r="F4" s="124">
        <v>0.0</v>
      </c>
      <c r="G4" s="124">
        <v>67.8</v>
      </c>
      <c r="H4" s="122"/>
    </row>
    <row r="5">
      <c r="A5" s="122" t="s">
        <v>46</v>
      </c>
      <c r="B5" s="123">
        <v>45606.0</v>
      </c>
      <c r="C5" s="122" t="s">
        <v>47</v>
      </c>
      <c r="D5" s="122" t="s">
        <v>115</v>
      </c>
      <c r="E5" s="124">
        <v>79.1</v>
      </c>
      <c r="F5" s="124">
        <v>0.0</v>
      </c>
      <c r="G5" s="124">
        <v>79.1</v>
      </c>
      <c r="H5" s="125"/>
    </row>
    <row r="6">
      <c r="A6" s="122" t="s">
        <v>50</v>
      </c>
      <c r="B6" s="123">
        <v>45606.0</v>
      </c>
      <c r="C6" s="122" t="s">
        <v>51</v>
      </c>
      <c r="D6" s="122" t="s">
        <v>116</v>
      </c>
      <c r="E6" s="124">
        <v>113.0</v>
      </c>
      <c r="F6" s="124">
        <v>0.0</v>
      </c>
      <c r="G6" s="124">
        <v>113.0</v>
      </c>
      <c r="H6" s="125"/>
    </row>
    <row r="7">
      <c r="A7" s="122" t="s">
        <v>68</v>
      </c>
      <c r="B7" s="123">
        <v>45609.0</v>
      </c>
      <c r="C7" s="122" t="s">
        <v>69</v>
      </c>
      <c r="D7" s="122" t="s">
        <v>117</v>
      </c>
      <c r="E7" s="124">
        <v>209.05</v>
      </c>
      <c r="F7" s="124">
        <v>91.67</v>
      </c>
      <c r="G7" s="124">
        <v>300.72</v>
      </c>
      <c r="H7" s="122"/>
    </row>
    <row r="8">
      <c r="A8" s="122"/>
      <c r="B8" s="123"/>
      <c r="C8" s="122"/>
      <c r="D8" s="122"/>
      <c r="E8" s="124"/>
      <c r="F8" s="124"/>
      <c r="G8" s="124"/>
      <c r="H8" s="122"/>
    </row>
    <row r="9">
      <c r="A9" s="122"/>
      <c r="B9" s="123"/>
      <c r="C9" s="122"/>
      <c r="D9" s="122"/>
      <c r="E9" s="124"/>
      <c r="F9" s="124"/>
      <c r="G9" s="124"/>
      <c r="H9" s="122"/>
    </row>
    <row r="10">
      <c r="A10" s="122"/>
      <c r="B10" s="123"/>
      <c r="C10" s="122"/>
      <c r="D10" s="122"/>
      <c r="E10" s="124"/>
      <c r="F10" s="124"/>
      <c r="G10" s="124"/>
      <c r="H10" s="122"/>
    </row>
    <row r="11">
      <c r="A11" s="122"/>
      <c r="B11" s="123"/>
      <c r="C11" s="122"/>
      <c r="D11" s="122"/>
      <c r="E11" s="124"/>
      <c r="F11" s="124"/>
      <c r="G11" s="124"/>
      <c r="H11" s="125"/>
    </row>
    <row r="12">
      <c r="A12" s="122"/>
      <c r="B12" s="123"/>
      <c r="C12" s="122"/>
      <c r="D12" s="122"/>
      <c r="E12" s="124"/>
      <c r="F12" s="124"/>
      <c r="G12" s="124"/>
      <c r="H12" s="125"/>
    </row>
    <row r="13">
      <c r="A13" s="122"/>
      <c r="B13" s="123"/>
      <c r="C13" s="122"/>
      <c r="D13" s="122"/>
      <c r="E13" s="124"/>
      <c r="F13" s="124"/>
      <c r="G13" s="124"/>
      <c r="H13" s="125"/>
    </row>
    <row r="14">
      <c r="A14" s="122"/>
      <c r="B14" s="123"/>
      <c r="C14" s="122"/>
      <c r="D14" s="122"/>
      <c r="E14" s="124"/>
      <c r="F14" s="124"/>
      <c r="G14" s="124"/>
      <c r="H14" s="125"/>
    </row>
    <row r="15">
      <c r="A15" s="125"/>
      <c r="B15" s="125"/>
      <c r="C15" s="125"/>
      <c r="D15" s="125"/>
      <c r="E15" s="126"/>
      <c r="F15" s="126"/>
      <c r="G15" s="126"/>
      <c r="H15" s="125"/>
    </row>
    <row r="16">
      <c r="A16" s="125"/>
      <c r="B16" s="125"/>
      <c r="C16" s="125"/>
      <c r="D16" s="125"/>
      <c r="E16" s="126"/>
      <c r="F16" s="126"/>
      <c r="G16" s="126"/>
      <c r="H16" s="125"/>
    </row>
    <row r="17">
      <c r="A17" s="125"/>
      <c r="B17" s="125"/>
      <c r="C17" s="125"/>
      <c r="D17" s="125"/>
      <c r="E17" s="126"/>
      <c r="F17" s="126"/>
      <c r="G17" s="126"/>
      <c r="H17" s="125"/>
    </row>
    <row r="18">
      <c r="A18" s="125"/>
      <c r="B18" s="125"/>
      <c r="C18" s="125"/>
      <c r="D18" s="125"/>
      <c r="E18" s="126"/>
      <c r="F18" s="126"/>
      <c r="G18" s="126"/>
      <c r="H18" s="125"/>
    </row>
    <row r="19">
      <c r="A19" s="125"/>
      <c r="B19" s="125"/>
      <c r="C19" s="125"/>
      <c r="D19" s="125"/>
      <c r="E19" s="126"/>
      <c r="F19" s="126"/>
      <c r="G19" s="126"/>
      <c r="H19" s="125"/>
    </row>
    <row r="20">
      <c r="A20" s="125"/>
      <c r="B20" s="125"/>
      <c r="C20" s="125"/>
      <c r="D20" s="125"/>
      <c r="E20" s="126"/>
      <c r="F20" s="126"/>
      <c r="G20" s="126"/>
      <c r="H20" s="125"/>
    </row>
    <row r="21">
      <c r="A21" s="125"/>
      <c r="B21" s="125"/>
      <c r="C21" s="125"/>
      <c r="D21" s="125"/>
      <c r="E21" s="126"/>
      <c r="F21" s="126"/>
      <c r="G21" s="126"/>
      <c r="H21" s="125"/>
    </row>
    <row r="22">
      <c r="A22" s="125"/>
      <c r="B22" s="125"/>
      <c r="C22" s="125"/>
      <c r="D22" s="125"/>
      <c r="E22" s="126"/>
      <c r="F22" s="126"/>
      <c r="G22" s="126"/>
      <c r="H22" s="125"/>
    </row>
    <row r="23">
      <c r="A23" s="125"/>
      <c r="B23" s="125"/>
      <c r="C23" s="125"/>
      <c r="D23" s="125"/>
      <c r="E23" s="126"/>
      <c r="F23" s="126"/>
      <c r="G23" s="126"/>
      <c r="H23" s="125"/>
    </row>
    <row r="24">
      <c r="A24" s="125"/>
      <c r="B24" s="125"/>
      <c r="C24" s="125"/>
      <c r="D24" s="125"/>
      <c r="E24" s="126"/>
      <c r="F24" s="126"/>
      <c r="G24" s="126"/>
      <c r="H24" s="125"/>
    </row>
    <row r="25">
      <c r="A25" s="125"/>
      <c r="B25" s="125"/>
      <c r="C25" s="125"/>
      <c r="D25" s="125"/>
      <c r="E25" s="126"/>
      <c r="F25" s="126"/>
      <c r="G25" s="126"/>
      <c r="H25" s="125"/>
    </row>
    <row r="26">
      <c r="A26" s="125"/>
      <c r="B26" s="125"/>
      <c r="C26" s="125"/>
      <c r="D26" s="125"/>
      <c r="E26" s="126"/>
      <c r="F26" s="126"/>
      <c r="G26" s="126"/>
      <c r="H26" s="125"/>
    </row>
    <row r="27">
      <c r="A27" s="125"/>
      <c r="B27" s="125"/>
      <c r="C27" s="125"/>
      <c r="D27" s="125"/>
      <c r="E27" s="126"/>
      <c r="F27" s="126"/>
      <c r="G27" s="126"/>
      <c r="H27" s="125"/>
    </row>
    <row r="28">
      <c r="A28" s="125"/>
      <c r="B28" s="125"/>
      <c r="C28" s="125"/>
      <c r="D28" s="125"/>
      <c r="E28" s="126"/>
      <c r="F28" s="126"/>
      <c r="G28" s="126"/>
      <c r="H28" s="125"/>
    </row>
    <row r="29">
      <c r="A29" s="125"/>
      <c r="B29" s="125"/>
      <c r="C29" s="125"/>
      <c r="D29" s="125"/>
      <c r="E29" s="126"/>
      <c r="F29" s="126"/>
      <c r="G29" s="126"/>
      <c r="H29" s="125"/>
    </row>
    <row r="30">
      <c r="A30" s="125"/>
      <c r="B30" s="125"/>
      <c r="C30" s="125"/>
      <c r="D30" s="125"/>
      <c r="E30" s="126"/>
      <c r="F30" s="126"/>
      <c r="G30" s="126"/>
      <c r="H30" s="125"/>
    </row>
    <row r="31">
      <c r="A31" s="125"/>
      <c r="B31" s="125"/>
      <c r="C31" s="125"/>
      <c r="D31" s="125"/>
      <c r="E31" s="126"/>
      <c r="F31" s="126"/>
      <c r="G31" s="126"/>
      <c r="H31" s="125"/>
    </row>
    <row r="32">
      <c r="A32" s="125"/>
      <c r="B32" s="125"/>
      <c r="C32" s="125"/>
      <c r="D32" s="125"/>
      <c r="E32" s="126"/>
      <c r="F32" s="126"/>
      <c r="G32" s="126"/>
      <c r="H32" s="125"/>
    </row>
    <row r="33">
      <c r="A33" s="125"/>
      <c r="B33" s="125"/>
      <c r="C33" s="125"/>
      <c r="D33" s="125"/>
      <c r="E33" s="126"/>
      <c r="F33" s="126"/>
      <c r="G33" s="126"/>
      <c r="H33" s="125"/>
    </row>
    <row r="34">
      <c r="A34" s="125"/>
      <c r="B34" s="125"/>
      <c r="C34" s="125"/>
      <c r="D34" s="125"/>
      <c r="E34" s="126"/>
      <c r="F34" s="126"/>
      <c r="G34" s="126"/>
      <c r="H34" s="125"/>
    </row>
    <row r="35">
      <c r="A35" s="125"/>
      <c r="B35" s="125"/>
      <c r="C35" s="125"/>
      <c r="D35" s="125"/>
      <c r="E35" s="126"/>
      <c r="F35" s="126"/>
      <c r="G35" s="126"/>
      <c r="H35" s="125"/>
    </row>
    <row r="36">
      <c r="A36" s="125"/>
      <c r="B36" s="125"/>
      <c r="C36" s="125"/>
      <c r="D36" s="125"/>
      <c r="E36" s="126"/>
      <c r="F36" s="126"/>
      <c r="G36" s="126"/>
      <c r="H36" s="125"/>
    </row>
    <row r="37">
      <c r="A37" s="125"/>
      <c r="B37" s="125"/>
      <c r="C37" s="125"/>
      <c r="D37" s="125"/>
      <c r="E37" s="126"/>
      <c r="F37" s="126"/>
      <c r="G37" s="126"/>
      <c r="H37" s="125"/>
    </row>
    <row r="38">
      <c r="A38" s="125"/>
      <c r="B38" s="125"/>
      <c r="C38" s="125"/>
      <c r="D38" s="125"/>
      <c r="E38" s="126"/>
      <c r="F38" s="126"/>
      <c r="G38" s="126"/>
      <c r="H38" s="125"/>
    </row>
    <row r="39">
      <c r="A39" s="125"/>
      <c r="B39" s="125"/>
      <c r="C39" s="125"/>
      <c r="D39" s="125"/>
      <c r="E39" s="126"/>
      <c r="F39" s="126"/>
      <c r="G39" s="126"/>
      <c r="H39" s="125"/>
    </row>
    <row r="40">
      <c r="A40" s="125"/>
      <c r="B40" s="125"/>
      <c r="C40" s="125"/>
      <c r="D40" s="125"/>
      <c r="E40" s="126"/>
      <c r="F40" s="126"/>
      <c r="G40" s="126"/>
      <c r="H40" s="125"/>
    </row>
    <row r="41">
      <c r="A41" s="125"/>
      <c r="B41" s="125"/>
      <c r="C41" s="125"/>
      <c r="D41" s="125"/>
      <c r="E41" s="126"/>
      <c r="F41" s="126"/>
      <c r="G41" s="126"/>
      <c r="H41" s="125"/>
    </row>
    <row r="42">
      <c r="A42" s="125"/>
      <c r="B42" s="125"/>
      <c r="C42" s="125"/>
      <c r="D42" s="125"/>
      <c r="E42" s="126"/>
      <c r="F42" s="126"/>
      <c r="G42" s="126"/>
      <c r="H42" s="125"/>
    </row>
    <row r="43">
      <c r="A43" s="125"/>
      <c r="B43" s="125"/>
      <c r="C43" s="125"/>
      <c r="D43" s="125"/>
      <c r="E43" s="126"/>
      <c r="F43" s="126"/>
      <c r="G43" s="126"/>
      <c r="H43" s="125"/>
    </row>
    <row r="44">
      <c r="A44" s="125"/>
      <c r="B44" s="125"/>
      <c r="C44" s="125"/>
      <c r="D44" s="125"/>
      <c r="E44" s="126"/>
      <c r="F44" s="126"/>
      <c r="G44" s="126"/>
      <c r="H44" s="125"/>
    </row>
    <row r="45">
      <c r="A45" s="125"/>
      <c r="B45" s="125"/>
      <c r="C45" s="125"/>
      <c r="D45" s="125"/>
      <c r="E45" s="126"/>
      <c r="F45" s="126"/>
      <c r="G45" s="126"/>
      <c r="H45" s="125"/>
    </row>
    <row r="46">
      <c r="A46" s="125"/>
      <c r="B46" s="125"/>
      <c r="C46" s="125"/>
      <c r="D46" s="125"/>
      <c r="E46" s="126"/>
      <c r="F46" s="126"/>
      <c r="G46" s="126"/>
      <c r="H46" s="125"/>
    </row>
    <row r="47">
      <c r="A47" s="125"/>
      <c r="B47" s="125"/>
      <c r="C47" s="125"/>
      <c r="D47" s="125"/>
      <c r="E47" s="126"/>
      <c r="F47" s="126"/>
      <c r="G47" s="126"/>
      <c r="H47" s="125"/>
    </row>
    <row r="48">
      <c r="A48" s="125"/>
      <c r="B48" s="125"/>
      <c r="C48" s="125"/>
      <c r="D48" s="125"/>
      <c r="E48" s="126"/>
      <c r="F48" s="126"/>
      <c r="G48" s="126"/>
      <c r="H48" s="125"/>
    </row>
    <row r="49">
      <c r="A49" s="125"/>
      <c r="B49" s="125"/>
      <c r="C49" s="125"/>
      <c r="D49" s="125"/>
      <c r="E49" s="126"/>
      <c r="F49" s="126"/>
      <c r="G49" s="126"/>
      <c r="H49" s="125"/>
    </row>
    <row r="50">
      <c r="A50" s="125"/>
      <c r="B50" s="125"/>
      <c r="C50" s="125"/>
      <c r="D50" s="125"/>
      <c r="E50" s="126"/>
      <c r="F50" s="126"/>
      <c r="G50" s="126"/>
      <c r="H50" s="125"/>
    </row>
    <row r="51">
      <c r="A51" s="125"/>
      <c r="B51" s="125"/>
      <c r="C51" s="125"/>
      <c r="D51" s="125"/>
      <c r="E51" s="126"/>
      <c r="F51" s="126"/>
      <c r="G51" s="126"/>
      <c r="H51" s="125"/>
    </row>
    <row r="52">
      <c r="A52" s="125"/>
      <c r="B52" s="125"/>
      <c r="C52" s="125"/>
      <c r="D52" s="125"/>
      <c r="E52" s="126"/>
      <c r="F52" s="126"/>
      <c r="G52" s="126"/>
      <c r="H52" s="125"/>
    </row>
    <row r="53">
      <c r="A53" s="125"/>
      <c r="B53" s="125"/>
      <c r="C53" s="125"/>
      <c r="D53" s="125"/>
      <c r="E53" s="126"/>
      <c r="F53" s="126"/>
      <c r="G53" s="126"/>
      <c r="H53" s="125"/>
    </row>
    <row r="54">
      <c r="A54" s="125"/>
      <c r="B54" s="125"/>
      <c r="C54" s="125"/>
      <c r="D54" s="125"/>
      <c r="E54" s="126"/>
      <c r="F54" s="126"/>
      <c r="G54" s="126"/>
      <c r="H54" s="125"/>
    </row>
    <row r="55">
      <c r="A55" s="125"/>
      <c r="B55" s="125"/>
      <c r="C55" s="125"/>
      <c r="D55" s="125"/>
      <c r="E55" s="126"/>
      <c r="F55" s="126"/>
      <c r="G55" s="126"/>
      <c r="H55" s="125"/>
    </row>
    <row r="56">
      <c r="A56" s="125"/>
      <c r="B56" s="125"/>
      <c r="C56" s="125"/>
      <c r="D56" s="125"/>
      <c r="E56" s="126"/>
      <c r="F56" s="126"/>
      <c r="G56" s="126"/>
      <c r="H56" s="125"/>
    </row>
    <row r="57">
      <c r="A57" s="125"/>
      <c r="B57" s="125"/>
      <c r="C57" s="125"/>
      <c r="D57" s="125"/>
      <c r="E57" s="126"/>
      <c r="F57" s="126"/>
      <c r="G57" s="126"/>
      <c r="H57" s="125"/>
    </row>
    <row r="58">
      <c r="A58" s="125"/>
      <c r="B58" s="125"/>
      <c r="C58" s="125"/>
      <c r="D58" s="125"/>
      <c r="E58" s="126"/>
      <c r="F58" s="126"/>
      <c r="G58" s="126"/>
      <c r="H58" s="125"/>
    </row>
    <row r="59">
      <c r="A59" s="125"/>
      <c r="B59" s="125"/>
      <c r="C59" s="125"/>
      <c r="D59" s="125"/>
      <c r="E59" s="126"/>
      <c r="F59" s="126"/>
      <c r="G59" s="126"/>
      <c r="H59" s="125"/>
    </row>
    <row r="60">
      <c r="A60" s="125"/>
      <c r="B60" s="125"/>
      <c r="C60" s="125"/>
      <c r="D60" s="125"/>
      <c r="E60" s="126"/>
      <c r="F60" s="126"/>
      <c r="G60" s="126"/>
      <c r="H60" s="125"/>
    </row>
    <row r="61">
      <c r="A61" s="125"/>
      <c r="B61" s="125"/>
      <c r="C61" s="125"/>
      <c r="D61" s="125"/>
      <c r="E61" s="126"/>
      <c r="F61" s="126"/>
      <c r="G61" s="126"/>
      <c r="H61" s="125"/>
    </row>
    <row r="62">
      <c r="A62" s="125"/>
      <c r="B62" s="125"/>
      <c r="C62" s="125"/>
      <c r="D62" s="125"/>
      <c r="E62" s="126"/>
      <c r="F62" s="126"/>
      <c r="G62" s="126"/>
      <c r="H62" s="125"/>
    </row>
    <row r="63">
      <c r="A63" s="125"/>
      <c r="B63" s="125"/>
      <c r="C63" s="125"/>
      <c r="D63" s="125"/>
      <c r="E63" s="126"/>
      <c r="F63" s="126"/>
      <c r="G63" s="126"/>
      <c r="H63" s="125"/>
    </row>
    <row r="64">
      <c r="A64" s="125"/>
      <c r="B64" s="125"/>
      <c r="C64" s="125"/>
      <c r="D64" s="125"/>
      <c r="E64" s="126"/>
      <c r="F64" s="126"/>
      <c r="G64" s="126"/>
      <c r="H64" s="125"/>
    </row>
    <row r="65">
      <c r="A65" s="125"/>
      <c r="B65" s="125"/>
      <c r="C65" s="125"/>
      <c r="D65" s="125"/>
      <c r="E65" s="126"/>
      <c r="F65" s="126"/>
      <c r="G65" s="126"/>
      <c r="H65" s="125"/>
    </row>
    <row r="66">
      <c r="A66" s="125"/>
      <c r="B66" s="125"/>
      <c r="C66" s="125"/>
      <c r="D66" s="125"/>
      <c r="E66" s="126"/>
      <c r="F66" s="126"/>
      <c r="G66" s="126"/>
      <c r="H66" s="125"/>
    </row>
    <row r="67">
      <c r="A67" s="125"/>
      <c r="B67" s="125"/>
      <c r="C67" s="125"/>
      <c r="D67" s="125"/>
      <c r="E67" s="126"/>
      <c r="F67" s="126"/>
      <c r="G67" s="126"/>
      <c r="H67" s="125"/>
    </row>
    <row r="68">
      <c r="A68" s="125"/>
      <c r="B68" s="125"/>
      <c r="C68" s="125"/>
      <c r="D68" s="125"/>
      <c r="E68" s="126"/>
      <c r="F68" s="126"/>
      <c r="G68" s="126"/>
      <c r="H68" s="125"/>
    </row>
    <row r="69">
      <c r="A69" s="125"/>
      <c r="B69" s="125"/>
      <c r="C69" s="125"/>
      <c r="D69" s="125"/>
      <c r="E69" s="126"/>
      <c r="F69" s="126"/>
      <c r="G69" s="126"/>
      <c r="H69" s="125"/>
    </row>
    <row r="70">
      <c r="A70" s="125"/>
      <c r="B70" s="125"/>
      <c r="C70" s="125"/>
      <c r="D70" s="125"/>
      <c r="E70" s="126"/>
      <c r="F70" s="126"/>
      <c r="G70" s="126"/>
      <c r="H70" s="125"/>
    </row>
    <row r="71">
      <c r="A71" s="125"/>
      <c r="B71" s="125"/>
      <c r="C71" s="125"/>
      <c r="D71" s="125"/>
      <c r="E71" s="126"/>
      <c r="F71" s="126"/>
      <c r="G71" s="126"/>
      <c r="H71" s="125"/>
    </row>
    <row r="72">
      <c r="A72" s="125"/>
      <c r="B72" s="125"/>
      <c r="C72" s="125"/>
      <c r="D72" s="125"/>
      <c r="E72" s="126"/>
      <c r="F72" s="126"/>
      <c r="G72" s="126"/>
      <c r="H72" s="125"/>
    </row>
    <row r="73">
      <c r="A73" s="125"/>
      <c r="B73" s="125"/>
      <c r="C73" s="125"/>
      <c r="D73" s="125"/>
      <c r="E73" s="126"/>
      <c r="F73" s="126"/>
      <c r="G73" s="126"/>
      <c r="H73" s="125"/>
    </row>
    <row r="74">
      <c r="A74" s="125"/>
      <c r="B74" s="125"/>
      <c r="C74" s="125"/>
      <c r="D74" s="125"/>
      <c r="E74" s="126"/>
      <c r="F74" s="126"/>
      <c r="G74" s="126"/>
      <c r="H74" s="125"/>
    </row>
    <row r="75">
      <c r="A75" s="125"/>
      <c r="B75" s="125"/>
      <c r="C75" s="125"/>
      <c r="D75" s="125"/>
      <c r="E75" s="126"/>
      <c r="F75" s="126"/>
      <c r="G75" s="126"/>
      <c r="H75" s="125"/>
    </row>
    <row r="76">
      <c r="A76" s="125"/>
      <c r="B76" s="125"/>
      <c r="C76" s="125"/>
      <c r="D76" s="125"/>
      <c r="E76" s="126"/>
      <c r="F76" s="126"/>
      <c r="G76" s="126"/>
      <c r="H76" s="125"/>
    </row>
    <row r="77">
      <c r="A77" s="125"/>
      <c r="B77" s="125"/>
      <c r="C77" s="125"/>
      <c r="D77" s="125"/>
      <c r="E77" s="126"/>
      <c r="F77" s="126"/>
      <c r="G77" s="126"/>
      <c r="H77" s="125"/>
    </row>
    <row r="78">
      <c r="A78" s="125"/>
      <c r="B78" s="125"/>
      <c r="C78" s="125"/>
      <c r="D78" s="125"/>
      <c r="E78" s="126"/>
      <c r="F78" s="126"/>
      <c r="G78" s="126"/>
      <c r="H78" s="125"/>
    </row>
    <row r="79">
      <c r="A79" s="125"/>
      <c r="B79" s="125"/>
      <c r="C79" s="125"/>
      <c r="D79" s="125"/>
      <c r="E79" s="126"/>
      <c r="F79" s="126"/>
      <c r="G79" s="126"/>
      <c r="H79" s="125"/>
    </row>
    <row r="80">
      <c r="A80" s="125"/>
      <c r="B80" s="125"/>
      <c r="C80" s="125"/>
      <c r="D80" s="125"/>
      <c r="E80" s="126"/>
      <c r="F80" s="126"/>
      <c r="G80" s="126"/>
      <c r="H80" s="125"/>
    </row>
    <row r="81">
      <c r="A81" s="125"/>
      <c r="B81" s="125"/>
      <c r="C81" s="125"/>
      <c r="D81" s="125"/>
      <c r="E81" s="126"/>
      <c r="F81" s="126"/>
      <c r="G81" s="126"/>
      <c r="H81" s="125"/>
    </row>
    <row r="82">
      <c r="A82" s="125"/>
      <c r="B82" s="125"/>
      <c r="C82" s="125"/>
      <c r="D82" s="125"/>
      <c r="E82" s="126"/>
      <c r="F82" s="126"/>
      <c r="G82" s="126"/>
      <c r="H82" s="125"/>
    </row>
    <row r="83">
      <c r="A83" s="125"/>
      <c r="B83" s="125"/>
      <c r="C83" s="125"/>
      <c r="D83" s="125"/>
      <c r="E83" s="126"/>
      <c r="F83" s="126"/>
      <c r="G83" s="126"/>
      <c r="H83" s="125"/>
    </row>
    <row r="84">
      <c r="A84" s="125"/>
      <c r="B84" s="125"/>
      <c r="C84" s="125"/>
      <c r="D84" s="125"/>
      <c r="E84" s="126"/>
      <c r="F84" s="126"/>
      <c r="G84" s="126"/>
      <c r="H84" s="125"/>
    </row>
    <row r="85">
      <c r="A85" s="125"/>
      <c r="B85" s="125"/>
      <c r="C85" s="125"/>
      <c r="D85" s="125"/>
      <c r="E85" s="126"/>
      <c r="F85" s="126"/>
      <c r="G85" s="126"/>
      <c r="H85" s="125"/>
    </row>
    <row r="86">
      <c r="A86" s="125"/>
      <c r="B86" s="125"/>
      <c r="C86" s="125"/>
      <c r="D86" s="125"/>
      <c r="E86" s="126"/>
      <c r="F86" s="126"/>
      <c r="G86" s="126"/>
      <c r="H86" s="125"/>
    </row>
    <row r="87">
      <c r="A87" s="125"/>
      <c r="B87" s="125"/>
      <c r="C87" s="125"/>
      <c r="D87" s="125"/>
      <c r="E87" s="126"/>
      <c r="F87" s="126"/>
      <c r="G87" s="126"/>
      <c r="H87" s="125"/>
    </row>
    <row r="88">
      <c r="A88" s="125"/>
      <c r="B88" s="125"/>
      <c r="C88" s="125"/>
      <c r="D88" s="125"/>
      <c r="E88" s="126"/>
      <c r="F88" s="126"/>
      <c r="G88" s="126"/>
      <c r="H88" s="125"/>
    </row>
    <row r="89">
      <c r="A89" s="125"/>
      <c r="B89" s="125"/>
      <c r="C89" s="125"/>
      <c r="D89" s="125"/>
      <c r="E89" s="126"/>
      <c r="F89" s="126"/>
      <c r="G89" s="126"/>
      <c r="H89" s="125"/>
    </row>
    <row r="90">
      <c r="A90" s="125"/>
      <c r="B90" s="125"/>
      <c r="C90" s="125"/>
      <c r="D90" s="125"/>
      <c r="E90" s="126"/>
      <c r="F90" s="126"/>
      <c r="G90" s="126"/>
      <c r="H90" s="125"/>
    </row>
    <row r="91">
      <c r="A91" s="125"/>
      <c r="B91" s="125"/>
      <c r="C91" s="125"/>
      <c r="D91" s="125"/>
      <c r="E91" s="126"/>
      <c r="F91" s="126"/>
      <c r="G91" s="126"/>
      <c r="H91" s="125"/>
    </row>
    <row r="92">
      <c r="A92" s="125"/>
      <c r="B92" s="125"/>
      <c r="C92" s="125"/>
      <c r="D92" s="125"/>
      <c r="E92" s="126"/>
      <c r="F92" s="126"/>
      <c r="G92" s="126"/>
      <c r="H92" s="125"/>
    </row>
    <row r="93">
      <c r="A93" s="125"/>
      <c r="B93" s="125"/>
      <c r="C93" s="125"/>
      <c r="D93" s="125"/>
      <c r="E93" s="126"/>
      <c r="F93" s="126"/>
      <c r="G93" s="126"/>
      <c r="H93" s="125"/>
    </row>
    <row r="94">
      <c r="A94" s="125"/>
      <c r="B94" s="125"/>
      <c r="C94" s="125"/>
      <c r="D94" s="125"/>
      <c r="E94" s="126"/>
      <c r="F94" s="126"/>
      <c r="G94" s="126"/>
      <c r="H94" s="125"/>
    </row>
    <row r="95">
      <c r="A95" s="125"/>
      <c r="B95" s="125"/>
      <c r="C95" s="125"/>
      <c r="D95" s="125"/>
      <c r="E95" s="126"/>
      <c r="F95" s="126"/>
      <c r="G95" s="126"/>
      <c r="H95" s="125"/>
    </row>
    <row r="96">
      <c r="A96" s="125"/>
      <c r="B96" s="125"/>
      <c r="C96" s="125"/>
      <c r="D96" s="125"/>
      <c r="E96" s="126"/>
      <c r="F96" s="126"/>
      <c r="G96" s="126"/>
      <c r="H96" s="125"/>
    </row>
    <row r="97">
      <c r="A97" s="125"/>
      <c r="B97" s="125"/>
      <c r="C97" s="125"/>
      <c r="D97" s="125"/>
      <c r="E97" s="126"/>
      <c r="F97" s="126"/>
      <c r="G97" s="126"/>
      <c r="H97" s="125"/>
    </row>
    <row r="98">
      <c r="A98" s="125"/>
      <c r="B98" s="125"/>
      <c r="C98" s="125"/>
      <c r="D98" s="125"/>
      <c r="E98" s="126"/>
      <c r="F98" s="126"/>
      <c r="G98" s="126"/>
      <c r="H98" s="125"/>
    </row>
    <row r="99">
      <c r="A99" s="125"/>
      <c r="B99" s="125"/>
      <c r="C99" s="125"/>
      <c r="D99" s="125"/>
      <c r="E99" s="126"/>
      <c r="F99" s="126"/>
      <c r="G99" s="126"/>
      <c r="H99" s="125"/>
    </row>
    <row r="100">
      <c r="A100" s="125"/>
      <c r="B100" s="125"/>
      <c r="C100" s="125"/>
      <c r="D100" s="125"/>
      <c r="E100" s="126"/>
      <c r="F100" s="126"/>
      <c r="G100" s="126"/>
      <c r="H100" s="125"/>
    </row>
    <row r="101">
      <c r="A101" s="125"/>
      <c r="B101" s="125"/>
      <c r="C101" s="125"/>
      <c r="D101" s="125"/>
      <c r="E101" s="126"/>
      <c r="F101" s="126"/>
      <c r="G101" s="126"/>
      <c r="H101" s="125"/>
    </row>
    <row r="102">
      <c r="A102" s="125"/>
      <c r="B102" s="125"/>
      <c r="C102" s="125"/>
      <c r="D102" s="125"/>
      <c r="E102" s="126"/>
      <c r="F102" s="126"/>
      <c r="G102" s="126"/>
      <c r="H102" s="125"/>
    </row>
    <row r="103">
      <c r="A103" s="125"/>
      <c r="B103" s="125"/>
      <c r="C103" s="125"/>
      <c r="D103" s="125"/>
      <c r="E103" s="126"/>
      <c r="F103" s="126"/>
      <c r="G103" s="126"/>
      <c r="H103" s="125"/>
    </row>
    <row r="104">
      <c r="A104" s="125"/>
      <c r="B104" s="125"/>
      <c r="C104" s="125"/>
      <c r="D104" s="125"/>
      <c r="E104" s="126"/>
      <c r="F104" s="126"/>
      <c r="G104" s="126"/>
      <c r="H104" s="125"/>
    </row>
    <row r="105">
      <c r="A105" s="125"/>
      <c r="B105" s="125"/>
      <c r="C105" s="125"/>
      <c r="D105" s="125"/>
      <c r="E105" s="126"/>
      <c r="F105" s="126"/>
      <c r="G105" s="126"/>
      <c r="H105" s="125"/>
    </row>
    <row r="106">
      <c r="A106" s="125"/>
      <c r="B106" s="125"/>
      <c r="C106" s="125"/>
      <c r="D106" s="125"/>
      <c r="E106" s="126"/>
      <c r="F106" s="126"/>
      <c r="G106" s="126"/>
      <c r="H106" s="125"/>
    </row>
    <row r="107">
      <c r="A107" s="125"/>
      <c r="B107" s="125"/>
      <c r="C107" s="125"/>
      <c r="D107" s="125"/>
      <c r="E107" s="126"/>
      <c r="F107" s="126"/>
      <c r="G107" s="126"/>
      <c r="H107" s="125"/>
    </row>
    <row r="108">
      <c r="A108" s="125"/>
      <c r="B108" s="125"/>
      <c r="C108" s="125"/>
      <c r="D108" s="125"/>
      <c r="E108" s="126"/>
      <c r="F108" s="126"/>
      <c r="G108" s="126"/>
      <c r="H108" s="125"/>
    </row>
    <row r="109">
      <c r="A109" s="125"/>
      <c r="B109" s="125"/>
      <c r="C109" s="125"/>
      <c r="D109" s="125"/>
      <c r="E109" s="126"/>
      <c r="F109" s="126"/>
      <c r="G109" s="126"/>
      <c r="H109" s="125"/>
    </row>
    <row r="110">
      <c r="A110" s="125"/>
      <c r="B110" s="125"/>
      <c r="C110" s="125"/>
      <c r="D110" s="125"/>
      <c r="E110" s="126"/>
      <c r="F110" s="126"/>
      <c r="G110" s="126"/>
      <c r="H110" s="125"/>
    </row>
    <row r="111">
      <c r="A111" s="125"/>
      <c r="B111" s="125"/>
      <c r="C111" s="125"/>
      <c r="D111" s="125"/>
      <c r="E111" s="126"/>
      <c r="F111" s="126"/>
      <c r="G111" s="126"/>
      <c r="H111" s="125"/>
    </row>
    <row r="112">
      <c r="A112" s="125"/>
      <c r="B112" s="125"/>
      <c r="C112" s="125"/>
      <c r="D112" s="125"/>
      <c r="E112" s="126"/>
      <c r="F112" s="126"/>
      <c r="G112" s="126"/>
      <c r="H112" s="125"/>
    </row>
    <row r="113">
      <c r="A113" s="125"/>
      <c r="B113" s="125"/>
      <c r="C113" s="125"/>
      <c r="D113" s="125"/>
      <c r="E113" s="126"/>
      <c r="F113" s="126"/>
      <c r="G113" s="126"/>
      <c r="H113" s="125"/>
    </row>
    <row r="114">
      <c r="A114" s="125"/>
      <c r="B114" s="125"/>
      <c r="C114" s="125"/>
      <c r="D114" s="125"/>
      <c r="E114" s="126"/>
      <c r="F114" s="126"/>
      <c r="G114" s="126"/>
      <c r="H114" s="125"/>
    </row>
    <row r="115">
      <c r="A115" s="125"/>
      <c r="B115" s="125"/>
      <c r="C115" s="125"/>
      <c r="D115" s="125"/>
      <c r="E115" s="126"/>
      <c r="F115" s="126"/>
      <c r="G115" s="126"/>
      <c r="H115" s="125"/>
    </row>
    <row r="116">
      <c r="A116" s="125"/>
      <c r="B116" s="125"/>
      <c r="C116" s="125"/>
      <c r="D116" s="125"/>
      <c r="E116" s="126"/>
      <c r="F116" s="126"/>
      <c r="G116" s="126"/>
      <c r="H116" s="125"/>
    </row>
    <row r="117">
      <c r="A117" s="125"/>
      <c r="B117" s="125"/>
      <c r="C117" s="125"/>
      <c r="D117" s="125"/>
      <c r="E117" s="126"/>
      <c r="F117" s="126"/>
      <c r="G117" s="126"/>
      <c r="H117" s="125"/>
    </row>
    <row r="118">
      <c r="A118" s="125"/>
      <c r="B118" s="125"/>
      <c r="C118" s="125"/>
      <c r="D118" s="125"/>
      <c r="E118" s="126"/>
      <c r="F118" s="126"/>
      <c r="G118" s="126"/>
      <c r="H118" s="125"/>
    </row>
    <row r="119">
      <c r="A119" s="125"/>
      <c r="B119" s="125"/>
      <c r="C119" s="125"/>
      <c r="D119" s="125"/>
      <c r="E119" s="126"/>
      <c r="F119" s="126"/>
      <c r="G119" s="126"/>
      <c r="H119" s="125"/>
    </row>
    <row r="120">
      <c r="A120" s="125"/>
      <c r="B120" s="125"/>
      <c r="C120" s="125"/>
      <c r="D120" s="125"/>
      <c r="E120" s="126"/>
      <c r="F120" s="126"/>
      <c r="G120" s="126"/>
      <c r="H120" s="125"/>
    </row>
    <row r="121">
      <c r="A121" s="125"/>
      <c r="B121" s="125"/>
      <c r="C121" s="125"/>
      <c r="D121" s="125"/>
      <c r="E121" s="126"/>
      <c r="F121" s="126"/>
      <c r="G121" s="126"/>
      <c r="H121" s="125"/>
    </row>
    <row r="122">
      <c r="A122" s="125"/>
      <c r="B122" s="125"/>
      <c r="C122" s="125"/>
      <c r="D122" s="125"/>
      <c r="E122" s="126"/>
      <c r="F122" s="126"/>
      <c r="G122" s="126"/>
      <c r="H122" s="125"/>
    </row>
    <row r="123">
      <c r="A123" s="125"/>
      <c r="B123" s="125"/>
      <c r="C123" s="125"/>
      <c r="D123" s="125"/>
      <c r="E123" s="126"/>
      <c r="F123" s="126"/>
      <c r="G123" s="126"/>
      <c r="H123" s="125"/>
    </row>
    <row r="124">
      <c r="A124" s="125"/>
      <c r="B124" s="125"/>
      <c r="C124" s="125"/>
      <c r="D124" s="125"/>
      <c r="E124" s="126"/>
      <c r="F124" s="126"/>
      <c r="G124" s="126"/>
      <c r="H124" s="125"/>
    </row>
    <row r="125">
      <c r="A125" s="125"/>
      <c r="B125" s="125"/>
      <c r="C125" s="125"/>
      <c r="D125" s="125"/>
      <c r="E125" s="126"/>
      <c r="F125" s="126"/>
      <c r="G125" s="126"/>
      <c r="H125" s="125"/>
    </row>
    <row r="126">
      <c r="A126" s="125"/>
      <c r="B126" s="125"/>
      <c r="C126" s="125"/>
      <c r="D126" s="125"/>
      <c r="E126" s="126"/>
      <c r="F126" s="126"/>
      <c r="G126" s="126"/>
      <c r="H126" s="125"/>
    </row>
    <row r="127">
      <c r="A127" s="125"/>
      <c r="B127" s="125"/>
      <c r="C127" s="125"/>
      <c r="D127" s="125"/>
      <c r="E127" s="126"/>
      <c r="F127" s="126"/>
      <c r="G127" s="126"/>
      <c r="H127" s="125"/>
    </row>
    <row r="128">
      <c r="A128" s="125"/>
      <c r="B128" s="125"/>
      <c r="C128" s="125"/>
      <c r="D128" s="125"/>
      <c r="E128" s="126"/>
      <c r="F128" s="126"/>
      <c r="G128" s="126"/>
      <c r="H128" s="125"/>
    </row>
    <row r="129">
      <c r="A129" s="125"/>
      <c r="B129" s="125"/>
      <c r="C129" s="125"/>
      <c r="D129" s="125"/>
      <c r="E129" s="126"/>
      <c r="F129" s="126"/>
      <c r="G129" s="126"/>
      <c r="H129" s="125"/>
    </row>
    <row r="130">
      <c r="A130" s="125"/>
      <c r="B130" s="125"/>
      <c r="C130" s="125"/>
      <c r="D130" s="125"/>
      <c r="E130" s="126"/>
      <c r="F130" s="126"/>
      <c r="G130" s="126"/>
      <c r="H130" s="125"/>
    </row>
    <row r="131">
      <c r="A131" s="125"/>
      <c r="B131" s="125"/>
      <c r="C131" s="125"/>
      <c r="D131" s="125"/>
      <c r="E131" s="126"/>
      <c r="F131" s="126"/>
      <c r="G131" s="126"/>
      <c r="H131" s="125"/>
    </row>
    <row r="132">
      <c r="A132" s="125"/>
      <c r="B132" s="125"/>
      <c r="C132" s="125"/>
      <c r="D132" s="125"/>
      <c r="E132" s="126"/>
      <c r="F132" s="126"/>
      <c r="G132" s="126"/>
      <c r="H132" s="125"/>
    </row>
    <row r="133">
      <c r="A133" s="125"/>
      <c r="B133" s="125"/>
      <c r="C133" s="125"/>
      <c r="D133" s="125"/>
      <c r="E133" s="126"/>
      <c r="F133" s="126"/>
      <c r="G133" s="126"/>
      <c r="H133" s="125"/>
    </row>
    <row r="134">
      <c r="A134" s="125"/>
      <c r="B134" s="125"/>
      <c r="C134" s="125"/>
      <c r="D134" s="125"/>
      <c r="E134" s="126"/>
      <c r="F134" s="126"/>
      <c r="G134" s="126"/>
      <c r="H134" s="125"/>
    </row>
    <row r="135">
      <c r="A135" s="125"/>
      <c r="B135" s="125"/>
      <c r="C135" s="125"/>
      <c r="D135" s="125"/>
      <c r="E135" s="126"/>
      <c r="F135" s="126"/>
      <c r="G135" s="126"/>
      <c r="H135" s="125"/>
    </row>
    <row r="136">
      <c r="A136" s="125"/>
      <c r="B136" s="125"/>
      <c r="C136" s="125"/>
      <c r="D136" s="125"/>
      <c r="E136" s="126"/>
      <c r="F136" s="126"/>
      <c r="G136" s="126"/>
      <c r="H136" s="125"/>
    </row>
    <row r="137">
      <c r="A137" s="125"/>
      <c r="B137" s="125"/>
      <c r="C137" s="125"/>
      <c r="D137" s="125"/>
      <c r="E137" s="126"/>
      <c r="F137" s="126"/>
      <c r="G137" s="126"/>
      <c r="H137" s="125"/>
    </row>
    <row r="138">
      <c r="A138" s="125"/>
      <c r="B138" s="125"/>
      <c r="C138" s="125"/>
      <c r="D138" s="125"/>
      <c r="E138" s="126"/>
      <c r="F138" s="126"/>
      <c r="G138" s="126"/>
      <c r="H138" s="125"/>
    </row>
    <row r="139">
      <c r="A139" s="125"/>
      <c r="B139" s="125"/>
      <c r="C139" s="125"/>
      <c r="D139" s="125"/>
      <c r="E139" s="126"/>
      <c r="F139" s="126"/>
      <c r="G139" s="126"/>
      <c r="H139" s="125"/>
    </row>
    <row r="140">
      <c r="A140" s="125"/>
      <c r="B140" s="125"/>
      <c r="C140" s="125"/>
      <c r="D140" s="125"/>
      <c r="E140" s="126"/>
      <c r="F140" s="126"/>
      <c r="G140" s="126"/>
      <c r="H140" s="125"/>
    </row>
    <row r="141">
      <c r="A141" s="125"/>
      <c r="B141" s="125"/>
      <c r="C141" s="125"/>
      <c r="D141" s="125"/>
      <c r="E141" s="126"/>
      <c r="F141" s="126"/>
      <c r="G141" s="126"/>
      <c r="H141" s="125"/>
    </row>
    <row r="142">
      <c r="A142" s="125"/>
      <c r="B142" s="125"/>
      <c r="C142" s="125"/>
      <c r="D142" s="125"/>
      <c r="E142" s="126"/>
      <c r="F142" s="126"/>
      <c r="G142" s="126"/>
      <c r="H142" s="125"/>
    </row>
    <row r="143">
      <c r="A143" s="125"/>
      <c r="B143" s="125"/>
      <c r="C143" s="125"/>
      <c r="D143" s="125"/>
      <c r="E143" s="126"/>
      <c r="F143" s="126"/>
      <c r="G143" s="126"/>
      <c r="H143" s="125"/>
    </row>
    <row r="144">
      <c r="A144" s="125"/>
      <c r="B144" s="125"/>
      <c r="C144" s="125"/>
      <c r="D144" s="125"/>
      <c r="E144" s="126"/>
      <c r="F144" s="126"/>
      <c r="G144" s="126"/>
      <c r="H144" s="125"/>
    </row>
    <row r="145">
      <c r="A145" s="125"/>
      <c r="B145" s="125"/>
      <c r="C145" s="125"/>
      <c r="D145" s="125"/>
      <c r="E145" s="126"/>
      <c r="F145" s="126"/>
      <c r="G145" s="126"/>
      <c r="H145" s="125"/>
    </row>
    <row r="146">
      <c r="A146" s="125"/>
      <c r="B146" s="125"/>
      <c r="C146" s="125"/>
      <c r="D146" s="125"/>
      <c r="E146" s="126"/>
      <c r="F146" s="126"/>
      <c r="G146" s="126"/>
      <c r="H146" s="125"/>
    </row>
    <row r="147">
      <c r="A147" s="125"/>
      <c r="B147" s="125"/>
      <c r="C147" s="125"/>
      <c r="D147" s="125"/>
      <c r="E147" s="126"/>
      <c r="F147" s="126"/>
      <c r="G147" s="126"/>
      <c r="H147" s="125"/>
    </row>
    <row r="148">
      <c r="A148" s="125"/>
      <c r="B148" s="125"/>
      <c r="C148" s="125"/>
      <c r="D148" s="125"/>
      <c r="E148" s="126"/>
      <c r="F148" s="126"/>
      <c r="G148" s="126"/>
      <c r="H148" s="125"/>
    </row>
    <row r="149">
      <c r="A149" s="125"/>
      <c r="B149" s="125"/>
      <c r="C149" s="125"/>
      <c r="D149" s="125"/>
      <c r="E149" s="126"/>
      <c r="F149" s="126"/>
      <c r="G149" s="126"/>
      <c r="H149" s="125"/>
    </row>
    <row r="150">
      <c r="A150" s="125"/>
      <c r="B150" s="125"/>
      <c r="C150" s="125"/>
      <c r="D150" s="125"/>
      <c r="E150" s="126"/>
      <c r="F150" s="126"/>
      <c r="G150" s="126"/>
      <c r="H150" s="125"/>
    </row>
    <row r="151">
      <c r="A151" s="125"/>
      <c r="B151" s="125"/>
      <c r="C151" s="125"/>
      <c r="D151" s="125"/>
      <c r="E151" s="126"/>
      <c r="F151" s="126"/>
      <c r="G151" s="126"/>
      <c r="H151" s="125"/>
    </row>
    <row r="152">
      <c r="A152" s="125"/>
      <c r="B152" s="125"/>
      <c r="C152" s="125"/>
      <c r="D152" s="125"/>
      <c r="E152" s="126"/>
      <c r="F152" s="126"/>
      <c r="G152" s="126"/>
      <c r="H152" s="125"/>
    </row>
    <row r="153">
      <c r="A153" s="125"/>
      <c r="B153" s="125"/>
      <c r="C153" s="125"/>
      <c r="D153" s="125"/>
      <c r="E153" s="126"/>
      <c r="F153" s="126"/>
      <c r="G153" s="126"/>
      <c r="H153" s="125"/>
    </row>
    <row r="154">
      <c r="A154" s="125"/>
      <c r="B154" s="125"/>
      <c r="C154" s="125"/>
      <c r="D154" s="125"/>
      <c r="E154" s="126"/>
      <c r="F154" s="126"/>
      <c r="G154" s="126"/>
      <c r="H154" s="125"/>
    </row>
    <row r="155">
      <c r="A155" s="125"/>
      <c r="B155" s="125"/>
      <c r="C155" s="125"/>
      <c r="D155" s="125"/>
      <c r="E155" s="126"/>
      <c r="F155" s="126"/>
      <c r="G155" s="126"/>
      <c r="H155" s="125"/>
    </row>
    <row r="156">
      <c r="A156" s="125"/>
      <c r="B156" s="125"/>
      <c r="C156" s="125"/>
      <c r="D156" s="125"/>
      <c r="E156" s="126"/>
      <c r="F156" s="126"/>
      <c r="G156" s="126"/>
      <c r="H156" s="125"/>
    </row>
    <row r="157">
      <c r="A157" s="125"/>
      <c r="B157" s="125"/>
      <c r="C157" s="125"/>
      <c r="D157" s="125"/>
      <c r="E157" s="126"/>
      <c r="F157" s="126"/>
      <c r="G157" s="126"/>
      <c r="H157" s="125"/>
    </row>
    <row r="158">
      <c r="A158" s="125"/>
      <c r="B158" s="125"/>
      <c r="C158" s="125"/>
      <c r="D158" s="125"/>
      <c r="E158" s="126"/>
      <c r="F158" s="126"/>
      <c r="G158" s="126"/>
      <c r="H158" s="125"/>
    </row>
    <row r="159">
      <c r="A159" s="125"/>
      <c r="B159" s="125"/>
      <c r="C159" s="125"/>
      <c r="D159" s="125"/>
      <c r="E159" s="126"/>
      <c r="F159" s="126"/>
      <c r="G159" s="126"/>
      <c r="H159" s="125"/>
    </row>
    <row r="160">
      <c r="A160" s="125"/>
      <c r="B160" s="125"/>
      <c r="C160" s="125"/>
      <c r="D160" s="125"/>
      <c r="E160" s="126"/>
      <c r="F160" s="126"/>
      <c r="G160" s="126"/>
      <c r="H160" s="125"/>
    </row>
    <row r="161">
      <c r="A161" s="125"/>
      <c r="B161" s="125"/>
      <c r="C161" s="125"/>
      <c r="D161" s="125"/>
      <c r="E161" s="126"/>
      <c r="F161" s="126"/>
      <c r="G161" s="126"/>
      <c r="H161" s="125"/>
    </row>
    <row r="162">
      <c r="A162" s="125"/>
      <c r="B162" s="125"/>
      <c r="C162" s="125"/>
      <c r="D162" s="125"/>
      <c r="E162" s="126"/>
      <c r="F162" s="126"/>
      <c r="G162" s="126"/>
      <c r="H162" s="125"/>
    </row>
    <row r="163">
      <c r="A163" s="125"/>
      <c r="B163" s="125"/>
      <c r="C163" s="125"/>
      <c r="D163" s="125"/>
      <c r="E163" s="126"/>
      <c r="F163" s="126"/>
      <c r="G163" s="126"/>
      <c r="H163" s="125"/>
    </row>
    <row r="164">
      <c r="A164" s="125"/>
      <c r="B164" s="125"/>
      <c r="C164" s="125"/>
      <c r="D164" s="125"/>
      <c r="E164" s="126"/>
      <c r="F164" s="126"/>
      <c r="G164" s="126"/>
      <c r="H164" s="125"/>
    </row>
    <row r="165">
      <c r="A165" s="125"/>
      <c r="B165" s="125"/>
      <c r="C165" s="125"/>
      <c r="D165" s="125"/>
      <c r="E165" s="126"/>
      <c r="F165" s="126"/>
      <c r="G165" s="126"/>
      <c r="H165" s="125"/>
    </row>
    <row r="166">
      <c r="A166" s="125"/>
      <c r="B166" s="125"/>
      <c r="C166" s="125"/>
      <c r="D166" s="125"/>
      <c r="E166" s="126"/>
      <c r="F166" s="126"/>
      <c r="G166" s="126"/>
      <c r="H166" s="125"/>
    </row>
    <row r="167">
      <c r="A167" s="125"/>
      <c r="B167" s="125"/>
      <c r="C167" s="125"/>
      <c r="D167" s="125"/>
      <c r="E167" s="126"/>
      <c r="F167" s="126"/>
      <c r="G167" s="126"/>
      <c r="H167" s="125"/>
    </row>
    <row r="168">
      <c r="A168" s="125"/>
      <c r="B168" s="125"/>
      <c r="C168" s="125"/>
      <c r="D168" s="125"/>
      <c r="E168" s="126"/>
      <c r="F168" s="126"/>
      <c r="G168" s="126"/>
      <c r="H168" s="125"/>
    </row>
    <row r="169">
      <c r="A169" s="125"/>
      <c r="B169" s="125"/>
      <c r="C169" s="125"/>
      <c r="D169" s="125"/>
      <c r="E169" s="126"/>
      <c r="F169" s="126"/>
      <c r="G169" s="126"/>
      <c r="H169" s="125"/>
    </row>
    <row r="170">
      <c r="A170" s="125"/>
      <c r="B170" s="125"/>
      <c r="C170" s="125"/>
      <c r="D170" s="125"/>
      <c r="E170" s="126"/>
      <c r="F170" s="126"/>
      <c r="G170" s="126"/>
      <c r="H170" s="125"/>
    </row>
    <row r="171">
      <c r="A171" s="125"/>
      <c r="B171" s="125"/>
      <c r="C171" s="125"/>
      <c r="D171" s="125"/>
      <c r="E171" s="126"/>
      <c r="F171" s="126"/>
      <c r="G171" s="126"/>
      <c r="H171" s="125"/>
    </row>
    <row r="172">
      <c r="A172" s="125"/>
      <c r="B172" s="125"/>
      <c r="C172" s="125"/>
      <c r="D172" s="125"/>
      <c r="E172" s="126"/>
      <c r="F172" s="126"/>
      <c r="G172" s="126"/>
      <c r="H172" s="125"/>
    </row>
    <row r="173">
      <c r="A173" s="125"/>
      <c r="B173" s="125"/>
      <c r="C173" s="125"/>
      <c r="D173" s="125"/>
      <c r="E173" s="126"/>
      <c r="F173" s="126"/>
      <c r="G173" s="126"/>
      <c r="H173" s="125"/>
    </row>
    <row r="174">
      <c r="A174" s="125"/>
      <c r="B174" s="125"/>
      <c r="C174" s="125"/>
      <c r="D174" s="125"/>
      <c r="E174" s="126"/>
      <c r="F174" s="126"/>
      <c r="G174" s="126"/>
      <c r="H174" s="125"/>
    </row>
    <row r="175">
      <c r="A175" s="125"/>
      <c r="B175" s="125"/>
      <c r="C175" s="125"/>
      <c r="D175" s="125"/>
      <c r="E175" s="126"/>
      <c r="F175" s="126"/>
      <c r="G175" s="126"/>
      <c r="H175" s="125"/>
    </row>
    <row r="176">
      <c r="A176" s="125"/>
      <c r="B176" s="125"/>
      <c r="C176" s="125"/>
      <c r="D176" s="125"/>
      <c r="E176" s="126"/>
      <c r="F176" s="126"/>
      <c r="G176" s="126"/>
      <c r="H176" s="125"/>
    </row>
    <row r="177">
      <c r="A177" s="125"/>
      <c r="B177" s="125"/>
      <c r="C177" s="125"/>
      <c r="D177" s="125"/>
      <c r="E177" s="126"/>
      <c r="F177" s="126"/>
      <c r="G177" s="126"/>
      <c r="H177" s="125"/>
    </row>
    <row r="178">
      <c r="A178" s="125"/>
      <c r="B178" s="125"/>
      <c r="C178" s="125"/>
      <c r="D178" s="125"/>
      <c r="E178" s="126"/>
      <c r="F178" s="126"/>
      <c r="G178" s="126"/>
      <c r="H178" s="125"/>
    </row>
    <row r="179">
      <c r="A179" s="125"/>
      <c r="B179" s="125"/>
      <c r="C179" s="125"/>
      <c r="D179" s="125"/>
      <c r="E179" s="126"/>
      <c r="F179" s="126"/>
      <c r="G179" s="126"/>
      <c r="H179" s="125"/>
    </row>
    <row r="180">
      <c r="A180" s="125"/>
      <c r="B180" s="125"/>
      <c r="C180" s="125"/>
      <c r="D180" s="125"/>
      <c r="E180" s="126"/>
      <c r="F180" s="126"/>
      <c r="G180" s="126"/>
      <c r="H180" s="125"/>
    </row>
    <row r="181">
      <c r="A181" s="125"/>
      <c r="B181" s="125"/>
      <c r="C181" s="125"/>
      <c r="D181" s="125"/>
      <c r="E181" s="126"/>
      <c r="F181" s="126"/>
      <c r="G181" s="126"/>
      <c r="H181" s="125"/>
    </row>
    <row r="182">
      <c r="A182" s="125"/>
      <c r="B182" s="125"/>
      <c r="C182" s="125"/>
      <c r="D182" s="125"/>
      <c r="E182" s="126"/>
      <c r="F182" s="126"/>
      <c r="G182" s="126"/>
      <c r="H182" s="125"/>
    </row>
    <row r="183">
      <c r="A183" s="125"/>
      <c r="B183" s="125"/>
      <c r="C183" s="125"/>
      <c r="D183" s="125"/>
      <c r="E183" s="126"/>
      <c r="F183" s="126"/>
      <c r="G183" s="126"/>
      <c r="H183" s="125"/>
    </row>
    <row r="184">
      <c r="A184" s="125"/>
      <c r="B184" s="125"/>
      <c r="C184" s="125"/>
      <c r="D184" s="125"/>
      <c r="E184" s="126"/>
      <c r="F184" s="126"/>
      <c r="G184" s="126"/>
      <c r="H184" s="125"/>
    </row>
    <row r="185">
      <c r="A185" s="125"/>
      <c r="B185" s="125"/>
      <c r="C185" s="125"/>
      <c r="D185" s="125"/>
      <c r="E185" s="126"/>
      <c r="F185" s="126"/>
      <c r="G185" s="126"/>
      <c r="H185" s="125"/>
    </row>
    <row r="186">
      <c r="A186" s="125"/>
      <c r="B186" s="125"/>
      <c r="C186" s="125"/>
      <c r="D186" s="125"/>
      <c r="E186" s="126"/>
      <c r="F186" s="126"/>
      <c r="G186" s="126"/>
      <c r="H186" s="125"/>
    </row>
    <row r="187">
      <c r="A187" s="125"/>
      <c r="B187" s="125"/>
      <c r="C187" s="125"/>
      <c r="D187" s="125"/>
      <c r="E187" s="126"/>
      <c r="F187" s="126"/>
      <c r="G187" s="126"/>
      <c r="H187" s="125"/>
    </row>
    <row r="188">
      <c r="A188" s="125"/>
      <c r="B188" s="125"/>
      <c r="C188" s="125"/>
      <c r="D188" s="125"/>
      <c r="E188" s="126"/>
      <c r="F188" s="126"/>
      <c r="G188" s="126"/>
      <c r="H188" s="125"/>
    </row>
    <row r="189">
      <c r="A189" s="125"/>
      <c r="B189" s="125"/>
      <c r="C189" s="125"/>
      <c r="D189" s="125"/>
      <c r="E189" s="126"/>
      <c r="F189" s="126"/>
      <c r="G189" s="126"/>
      <c r="H189" s="125"/>
    </row>
    <row r="190">
      <c r="A190" s="125"/>
      <c r="B190" s="125"/>
      <c r="C190" s="125"/>
      <c r="D190" s="125"/>
      <c r="E190" s="126"/>
      <c r="F190" s="126"/>
      <c r="G190" s="126"/>
      <c r="H190" s="125"/>
    </row>
    <row r="191">
      <c r="A191" s="125"/>
      <c r="B191" s="125"/>
      <c r="C191" s="125"/>
      <c r="D191" s="125"/>
      <c r="E191" s="126"/>
      <c r="F191" s="126"/>
      <c r="G191" s="126"/>
      <c r="H191" s="125"/>
    </row>
    <row r="192">
      <c r="A192" s="125"/>
      <c r="B192" s="125"/>
      <c r="C192" s="125"/>
      <c r="D192" s="125"/>
      <c r="E192" s="126"/>
      <c r="F192" s="126"/>
      <c r="G192" s="126"/>
      <c r="H192" s="125"/>
    </row>
    <row r="193">
      <c r="A193" s="125"/>
      <c r="B193" s="125"/>
      <c r="C193" s="125"/>
      <c r="D193" s="125"/>
      <c r="E193" s="126"/>
      <c r="F193" s="126"/>
      <c r="G193" s="126"/>
      <c r="H193" s="125"/>
    </row>
    <row r="194">
      <c r="A194" s="125"/>
      <c r="B194" s="125"/>
      <c r="C194" s="125"/>
      <c r="D194" s="125"/>
      <c r="E194" s="126"/>
      <c r="F194" s="126"/>
      <c r="G194" s="126"/>
      <c r="H194" s="125"/>
    </row>
    <row r="195">
      <c r="A195" s="125"/>
      <c r="B195" s="125"/>
      <c r="C195" s="125"/>
      <c r="D195" s="125"/>
      <c r="E195" s="126"/>
      <c r="F195" s="126"/>
      <c r="G195" s="126"/>
      <c r="H195" s="125"/>
    </row>
    <row r="196">
      <c r="A196" s="125"/>
      <c r="B196" s="125"/>
      <c r="C196" s="125"/>
      <c r="D196" s="125"/>
      <c r="E196" s="126"/>
      <c r="F196" s="126"/>
      <c r="G196" s="126"/>
      <c r="H196" s="125"/>
    </row>
    <row r="197">
      <c r="A197" s="125"/>
      <c r="B197" s="125"/>
      <c r="C197" s="125"/>
      <c r="D197" s="125"/>
      <c r="E197" s="126"/>
      <c r="F197" s="126"/>
      <c r="G197" s="126"/>
      <c r="H197" s="125"/>
    </row>
    <row r="198">
      <c r="A198" s="125"/>
      <c r="B198" s="125"/>
      <c r="C198" s="125"/>
      <c r="D198" s="125"/>
      <c r="E198" s="126"/>
      <c r="F198" s="126"/>
      <c r="G198" s="126"/>
      <c r="H198" s="125"/>
    </row>
    <row r="199">
      <c r="A199" s="125"/>
      <c r="B199" s="125"/>
      <c r="C199" s="125"/>
      <c r="D199" s="125"/>
      <c r="E199" s="126"/>
      <c r="F199" s="126"/>
      <c r="G199" s="126"/>
      <c r="H199" s="125"/>
    </row>
    <row r="200">
      <c r="A200" s="125"/>
      <c r="B200" s="125"/>
      <c r="C200" s="125"/>
      <c r="D200" s="125"/>
      <c r="E200" s="126"/>
      <c r="F200" s="126"/>
      <c r="G200" s="126"/>
      <c r="H200" s="125"/>
    </row>
    <row r="201">
      <c r="A201" s="125"/>
      <c r="B201" s="125"/>
      <c r="C201" s="125"/>
      <c r="D201" s="125"/>
      <c r="E201" s="126"/>
      <c r="F201" s="126"/>
      <c r="G201" s="126"/>
      <c r="H201" s="125"/>
    </row>
    <row r="202">
      <c r="A202" s="125"/>
      <c r="B202" s="125"/>
      <c r="C202" s="125"/>
      <c r="D202" s="125"/>
      <c r="E202" s="126"/>
      <c r="F202" s="126"/>
      <c r="G202" s="126"/>
      <c r="H202" s="125"/>
    </row>
    <row r="203">
      <c r="A203" s="125"/>
      <c r="B203" s="125"/>
      <c r="C203" s="125"/>
      <c r="D203" s="125"/>
      <c r="E203" s="126"/>
      <c r="F203" s="126"/>
      <c r="G203" s="126"/>
      <c r="H203" s="125"/>
    </row>
    <row r="204">
      <c r="A204" s="125"/>
      <c r="B204" s="125"/>
      <c r="C204" s="125"/>
      <c r="D204" s="125"/>
      <c r="E204" s="126"/>
      <c r="F204" s="126"/>
      <c r="G204" s="126"/>
      <c r="H204" s="125"/>
    </row>
    <row r="205">
      <c r="A205" s="125"/>
      <c r="B205" s="125"/>
      <c r="C205" s="125"/>
      <c r="D205" s="125"/>
      <c r="E205" s="126"/>
      <c r="F205" s="126"/>
      <c r="G205" s="126"/>
      <c r="H205" s="125"/>
    </row>
    <row r="206">
      <c r="A206" s="125"/>
      <c r="B206" s="125"/>
      <c r="C206" s="125"/>
      <c r="D206" s="125"/>
      <c r="E206" s="126"/>
      <c r="F206" s="126"/>
      <c r="G206" s="126"/>
      <c r="H206" s="125"/>
    </row>
    <row r="207">
      <c r="A207" s="125"/>
      <c r="B207" s="125"/>
      <c r="C207" s="125"/>
      <c r="D207" s="125"/>
      <c r="E207" s="126"/>
      <c r="F207" s="126"/>
      <c r="G207" s="126"/>
      <c r="H207" s="125"/>
    </row>
    <row r="208">
      <c r="A208" s="125"/>
      <c r="B208" s="125"/>
      <c r="C208" s="125"/>
      <c r="D208" s="125"/>
      <c r="E208" s="126"/>
      <c r="F208" s="126"/>
      <c r="G208" s="126"/>
      <c r="H208" s="125"/>
    </row>
    <row r="209">
      <c r="A209" s="125"/>
      <c r="B209" s="125"/>
      <c r="C209" s="125"/>
      <c r="D209" s="125"/>
      <c r="E209" s="126"/>
      <c r="F209" s="126"/>
      <c r="G209" s="126"/>
      <c r="H209" s="125"/>
    </row>
    <row r="210">
      <c r="A210" s="125"/>
      <c r="B210" s="125"/>
      <c r="C210" s="125"/>
      <c r="D210" s="125"/>
      <c r="E210" s="126"/>
      <c r="F210" s="126"/>
      <c r="G210" s="126"/>
      <c r="H210" s="125"/>
    </row>
    <row r="211">
      <c r="A211" s="125"/>
      <c r="B211" s="125"/>
      <c r="C211" s="125"/>
      <c r="D211" s="125"/>
      <c r="E211" s="126"/>
      <c r="F211" s="126"/>
      <c r="G211" s="126"/>
      <c r="H211" s="125"/>
    </row>
    <row r="212">
      <c r="A212" s="125"/>
      <c r="B212" s="125"/>
      <c r="C212" s="125"/>
      <c r="D212" s="125"/>
      <c r="E212" s="126"/>
      <c r="F212" s="126"/>
      <c r="G212" s="126"/>
      <c r="H212" s="125"/>
    </row>
    <row r="213">
      <c r="A213" s="125"/>
      <c r="B213" s="125"/>
      <c r="C213" s="125"/>
      <c r="D213" s="125"/>
      <c r="E213" s="126"/>
      <c r="F213" s="126"/>
      <c r="G213" s="126"/>
      <c r="H213" s="125"/>
    </row>
    <row r="214">
      <c r="A214" s="125"/>
      <c r="B214" s="125"/>
      <c r="C214" s="125"/>
      <c r="D214" s="125"/>
      <c r="E214" s="126"/>
      <c r="F214" s="126"/>
      <c r="G214" s="126"/>
      <c r="H214" s="125"/>
    </row>
    <row r="215">
      <c r="A215" s="125"/>
      <c r="B215" s="125"/>
      <c r="C215" s="125"/>
      <c r="D215" s="125"/>
      <c r="E215" s="126"/>
      <c r="F215" s="126"/>
      <c r="G215" s="126"/>
      <c r="H215" s="125"/>
    </row>
    <row r="216">
      <c r="A216" s="125"/>
      <c r="B216" s="125"/>
      <c r="C216" s="125"/>
      <c r="D216" s="125"/>
      <c r="E216" s="126"/>
      <c r="F216" s="126"/>
      <c r="G216" s="126"/>
      <c r="H216" s="125"/>
    </row>
    <row r="217">
      <c r="A217" s="125"/>
      <c r="B217" s="125"/>
      <c r="C217" s="125"/>
      <c r="D217" s="125"/>
      <c r="E217" s="126"/>
      <c r="F217" s="126"/>
      <c r="G217" s="126"/>
      <c r="H217" s="125"/>
    </row>
    <row r="218">
      <c r="A218" s="125"/>
      <c r="B218" s="125"/>
      <c r="C218" s="125"/>
      <c r="D218" s="125"/>
      <c r="E218" s="126"/>
      <c r="F218" s="126"/>
      <c r="G218" s="126"/>
      <c r="H218" s="125"/>
    </row>
    <row r="219">
      <c r="A219" s="125"/>
      <c r="B219" s="125"/>
      <c r="C219" s="125"/>
      <c r="D219" s="125"/>
      <c r="E219" s="126"/>
      <c r="F219" s="126"/>
      <c r="G219" s="126"/>
      <c r="H219" s="125"/>
    </row>
    <row r="220">
      <c r="A220" s="125"/>
      <c r="B220" s="125"/>
      <c r="C220" s="125"/>
      <c r="D220" s="125"/>
      <c r="E220" s="126"/>
      <c r="F220" s="126"/>
      <c r="G220" s="126"/>
      <c r="H220" s="125"/>
    </row>
    <row r="221">
      <c r="A221" s="125"/>
      <c r="B221" s="125"/>
      <c r="C221" s="125"/>
      <c r="D221" s="125"/>
      <c r="E221" s="126"/>
      <c r="F221" s="126"/>
      <c r="G221" s="126"/>
      <c r="H221" s="125"/>
    </row>
    <row r="222">
      <c r="A222" s="125"/>
      <c r="B222" s="125"/>
      <c r="C222" s="125"/>
      <c r="D222" s="125"/>
      <c r="E222" s="126"/>
      <c r="F222" s="126"/>
      <c r="G222" s="126"/>
      <c r="H222" s="125"/>
    </row>
    <row r="223">
      <c r="A223" s="125"/>
      <c r="B223" s="125"/>
      <c r="C223" s="125"/>
      <c r="D223" s="125"/>
      <c r="E223" s="126"/>
      <c r="F223" s="126"/>
      <c r="G223" s="126"/>
      <c r="H223" s="125"/>
    </row>
    <row r="224">
      <c r="A224" s="125"/>
      <c r="B224" s="125"/>
      <c r="C224" s="125"/>
      <c r="D224" s="125"/>
      <c r="E224" s="126"/>
      <c r="F224" s="126"/>
      <c r="G224" s="126"/>
      <c r="H224" s="125"/>
    </row>
    <row r="225">
      <c r="A225" s="125"/>
      <c r="B225" s="125"/>
      <c r="C225" s="125"/>
      <c r="D225" s="125"/>
      <c r="E225" s="126"/>
      <c r="F225" s="126"/>
      <c r="G225" s="126"/>
      <c r="H225" s="125"/>
    </row>
    <row r="226">
      <c r="A226" s="125"/>
      <c r="B226" s="125"/>
      <c r="C226" s="125"/>
      <c r="D226" s="125"/>
      <c r="E226" s="126"/>
      <c r="F226" s="126"/>
      <c r="G226" s="126"/>
      <c r="H226" s="125"/>
    </row>
    <row r="227">
      <c r="A227" s="125"/>
      <c r="B227" s="125"/>
      <c r="C227" s="125"/>
      <c r="D227" s="125"/>
      <c r="E227" s="126"/>
      <c r="F227" s="126"/>
      <c r="G227" s="126"/>
      <c r="H227" s="125"/>
    </row>
    <row r="228">
      <c r="A228" s="125"/>
      <c r="B228" s="125"/>
      <c r="C228" s="125"/>
      <c r="D228" s="125"/>
      <c r="E228" s="126"/>
      <c r="F228" s="126"/>
      <c r="G228" s="126"/>
      <c r="H228" s="125"/>
    </row>
    <row r="229">
      <c r="A229" s="125"/>
      <c r="B229" s="125"/>
      <c r="C229" s="125"/>
      <c r="D229" s="125"/>
      <c r="E229" s="126"/>
      <c r="F229" s="126"/>
      <c r="G229" s="126"/>
      <c r="H229" s="125"/>
    </row>
    <row r="230">
      <c r="A230" s="125"/>
      <c r="B230" s="125"/>
      <c r="C230" s="125"/>
      <c r="D230" s="125"/>
      <c r="E230" s="126"/>
      <c r="F230" s="126"/>
      <c r="G230" s="126"/>
      <c r="H230" s="125"/>
    </row>
    <row r="231">
      <c r="A231" s="125"/>
      <c r="B231" s="125"/>
      <c r="C231" s="125"/>
      <c r="D231" s="125"/>
      <c r="E231" s="126"/>
      <c r="F231" s="126"/>
      <c r="G231" s="126"/>
      <c r="H231" s="125"/>
    </row>
    <row r="232">
      <c r="A232" s="125"/>
      <c r="B232" s="125"/>
      <c r="C232" s="125"/>
      <c r="D232" s="125"/>
      <c r="E232" s="126"/>
      <c r="F232" s="126"/>
      <c r="G232" s="126"/>
      <c r="H232" s="125"/>
    </row>
    <row r="233">
      <c r="A233" s="125"/>
      <c r="B233" s="125"/>
      <c r="C233" s="125"/>
      <c r="D233" s="125"/>
      <c r="E233" s="126"/>
      <c r="F233" s="126"/>
      <c r="G233" s="126"/>
      <c r="H233" s="125"/>
    </row>
    <row r="234">
      <c r="A234" s="125"/>
      <c r="B234" s="125"/>
      <c r="C234" s="125"/>
      <c r="D234" s="125"/>
      <c r="E234" s="126"/>
      <c r="F234" s="126"/>
      <c r="G234" s="126"/>
      <c r="H234" s="125"/>
    </row>
    <row r="235">
      <c r="A235" s="125"/>
      <c r="B235" s="125"/>
      <c r="C235" s="125"/>
      <c r="D235" s="125"/>
      <c r="E235" s="126"/>
      <c r="F235" s="126"/>
      <c r="G235" s="126"/>
      <c r="H235" s="125"/>
    </row>
    <row r="236">
      <c r="A236" s="125"/>
      <c r="B236" s="125"/>
      <c r="C236" s="125"/>
      <c r="D236" s="125"/>
      <c r="E236" s="126"/>
      <c r="F236" s="126"/>
      <c r="G236" s="126"/>
      <c r="H236" s="125"/>
    </row>
    <row r="237">
      <c r="A237" s="125"/>
      <c r="B237" s="125"/>
      <c r="C237" s="125"/>
      <c r="D237" s="125"/>
      <c r="E237" s="126"/>
      <c r="F237" s="126"/>
      <c r="G237" s="126"/>
      <c r="H237" s="125"/>
    </row>
    <row r="238">
      <c r="A238" s="125"/>
      <c r="B238" s="125"/>
      <c r="C238" s="125"/>
      <c r="D238" s="125"/>
      <c r="E238" s="126"/>
      <c r="F238" s="126"/>
      <c r="G238" s="126"/>
      <c r="H238" s="125"/>
    </row>
    <row r="239">
      <c r="A239" s="125"/>
      <c r="B239" s="125"/>
      <c r="C239" s="125"/>
      <c r="D239" s="125"/>
      <c r="E239" s="126"/>
      <c r="F239" s="126"/>
      <c r="G239" s="126"/>
      <c r="H239" s="125"/>
    </row>
    <row r="240">
      <c r="A240" s="125"/>
      <c r="B240" s="125"/>
      <c r="C240" s="125"/>
      <c r="D240" s="125"/>
      <c r="E240" s="126"/>
      <c r="F240" s="126"/>
      <c r="G240" s="126"/>
      <c r="H240" s="125"/>
    </row>
    <row r="241">
      <c r="A241" s="125"/>
      <c r="B241" s="125"/>
      <c r="C241" s="125"/>
      <c r="D241" s="125"/>
      <c r="E241" s="126"/>
      <c r="F241" s="126"/>
      <c r="G241" s="126"/>
      <c r="H241" s="125"/>
    </row>
    <row r="242">
      <c r="A242" s="125"/>
      <c r="B242" s="125"/>
      <c r="C242" s="125"/>
      <c r="D242" s="125"/>
      <c r="E242" s="126"/>
      <c r="F242" s="126"/>
      <c r="G242" s="126"/>
      <c r="H242" s="125"/>
    </row>
    <row r="243">
      <c r="A243" s="125"/>
      <c r="B243" s="125"/>
      <c r="C243" s="125"/>
      <c r="D243" s="125"/>
      <c r="E243" s="126"/>
      <c r="F243" s="126"/>
      <c r="G243" s="126"/>
      <c r="H243" s="125"/>
    </row>
    <row r="244">
      <c r="A244" s="125"/>
      <c r="B244" s="125"/>
      <c r="C244" s="125"/>
      <c r="D244" s="125"/>
      <c r="E244" s="126"/>
      <c r="F244" s="126"/>
      <c r="G244" s="126"/>
      <c r="H244" s="125"/>
    </row>
    <row r="245">
      <c r="A245" s="125"/>
      <c r="B245" s="125"/>
      <c r="C245" s="125"/>
      <c r="D245" s="125"/>
      <c r="E245" s="126"/>
      <c r="F245" s="126"/>
      <c r="G245" s="126"/>
      <c r="H245" s="125"/>
    </row>
    <row r="246">
      <c r="A246" s="125"/>
      <c r="B246" s="125"/>
      <c r="C246" s="125"/>
      <c r="D246" s="125"/>
      <c r="E246" s="126"/>
      <c r="F246" s="126"/>
      <c r="G246" s="126"/>
      <c r="H246" s="125"/>
    </row>
    <row r="247">
      <c r="A247" s="125"/>
      <c r="B247" s="125"/>
      <c r="C247" s="125"/>
      <c r="D247" s="125"/>
      <c r="E247" s="126"/>
      <c r="F247" s="126"/>
      <c r="G247" s="126"/>
      <c r="H247" s="125"/>
    </row>
    <row r="248">
      <c r="A248" s="125"/>
      <c r="B248" s="125"/>
      <c r="C248" s="125"/>
      <c r="D248" s="125"/>
      <c r="E248" s="126"/>
      <c r="F248" s="126"/>
      <c r="G248" s="126"/>
      <c r="H248" s="125"/>
    </row>
    <row r="249">
      <c r="A249" s="125"/>
      <c r="B249" s="125"/>
      <c r="C249" s="125"/>
      <c r="D249" s="125"/>
      <c r="E249" s="126"/>
      <c r="F249" s="126"/>
      <c r="G249" s="126"/>
      <c r="H249" s="125"/>
    </row>
    <row r="250">
      <c r="A250" s="125"/>
      <c r="B250" s="125"/>
      <c r="C250" s="125"/>
      <c r="D250" s="125"/>
      <c r="E250" s="126"/>
      <c r="F250" s="126"/>
      <c r="G250" s="126"/>
      <c r="H250" s="125"/>
    </row>
    <row r="251">
      <c r="A251" s="125"/>
      <c r="B251" s="125"/>
      <c r="C251" s="125"/>
      <c r="D251" s="125"/>
      <c r="E251" s="126"/>
      <c r="F251" s="126"/>
      <c r="G251" s="126"/>
      <c r="H251" s="125"/>
    </row>
    <row r="252">
      <c r="A252" s="125"/>
      <c r="B252" s="125"/>
      <c r="C252" s="125"/>
      <c r="D252" s="125"/>
      <c r="E252" s="126"/>
      <c r="F252" s="126"/>
      <c r="G252" s="126"/>
      <c r="H252" s="125"/>
    </row>
    <row r="253">
      <c r="A253" s="125"/>
      <c r="B253" s="125"/>
      <c r="C253" s="125"/>
      <c r="D253" s="125"/>
      <c r="E253" s="126"/>
      <c r="F253" s="126"/>
      <c r="G253" s="126"/>
      <c r="H253" s="125"/>
    </row>
    <row r="254">
      <c r="A254" s="125"/>
      <c r="B254" s="125"/>
      <c r="C254" s="125"/>
      <c r="D254" s="125"/>
      <c r="E254" s="126"/>
      <c r="F254" s="126"/>
      <c r="G254" s="126"/>
      <c r="H254" s="125"/>
    </row>
    <row r="255">
      <c r="A255" s="125"/>
      <c r="B255" s="125"/>
      <c r="C255" s="125"/>
      <c r="D255" s="125"/>
      <c r="E255" s="126"/>
      <c r="F255" s="126"/>
      <c r="G255" s="126"/>
      <c r="H255" s="125"/>
    </row>
    <row r="256">
      <c r="A256" s="125"/>
      <c r="B256" s="125"/>
      <c r="C256" s="125"/>
      <c r="D256" s="125"/>
      <c r="E256" s="126"/>
      <c r="F256" s="126"/>
      <c r="G256" s="126"/>
      <c r="H256" s="125"/>
    </row>
    <row r="257">
      <c r="A257" s="125"/>
      <c r="B257" s="125"/>
      <c r="C257" s="125"/>
      <c r="D257" s="125"/>
      <c r="E257" s="126"/>
      <c r="F257" s="126"/>
      <c r="G257" s="126"/>
      <c r="H257" s="125"/>
    </row>
    <row r="258">
      <c r="A258" s="125"/>
      <c r="B258" s="125"/>
      <c r="C258" s="125"/>
      <c r="D258" s="125"/>
      <c r="E258" s="126"/>
      <c r="F258" s="126"/>
      <c r="G258" s="126"/>
      <c r="H258" s="125"/>
    </row>
    <row r="259">
      <c r="A259" s="125"/>
      <c r="B259" s="125"/>
      <c r="C259" s="125"/>
      <c r="D259" s="125"/>
      <c r="E259" s="126"/>
      <c r="F259" s="126"/>
      <c r="G259" s="126"/>
      <c r="H259" s="125"/>
    </row>
    <row r="260">
      <c r="A260" s="125"/>
      <c r="B260" s="125"/>
      <c r="C260" s="125"/>
      <c r="D260" s="125"/>
      <c r="E260" s="126"/>
      <c r="F260" s="126"/>
      <c r="G260" s="126"/>
      <c r="H260" s="125"/>
    </row>
    <row r="261">
      <c r="A261" s="125"/>
      <c r="B261" s="125"/>
      <c r="C261" s="125"/>
      <c r="D261" s="125"/>
      <c r="E261" s="126"/>
      <c r="F261" s="126"/>
      <c r="G261" s="126"/>
      <c r="H261" s="125"/>
    </row>
    <row r="262">
      <c r="A262" s="125"/>
      <c r="B262" s="125"/>
      <c r="C262" s="125"/>
      <c r="D262" s="125"/>
      <c r="E262" s="126"/>
      <c r="F262" s="126"/>
      <c r="G262" s="126"/>
      <c r="H262" s="125"/>
    </row>
    <row r="263">
      <c r="A263" s="125"/>
      <c r="B263" s="125"/>
      <c r="C263" s="125"/>
      <c r="D263" s="125"/>
      <c r="E263" s="126"/>
      <c r="F263" s="126"/>
      <c r="G263" s="126"/>
      <c r="H263" s="125"/>
    </row>
    <row r="264">
      <c r="A264" s="125"/>
      <c r="B264" s="125"/>
      <c r="C264" s="125"/>
      <c r="D264" s="125"/>
      <c r="E264" s="126"/>
      <c r="F264" s="126"/>
      <c r="G264" s="126"/>
      <c r="H264" s="125"/>
    </row>
    <row r="265">
      <c r="A265" s="125"/>
      <c r="B265" s="125"/>
      <c r="C265" s="125"/>
      <c r="D265" s="125"/>
      <c r="E265" s="126"/>
      <c r="F265" s="126"/>
      <c r="G265" s="126"/>
      <c r="H265" s="125"/>
    </row>
    <row r="266">
      <c r="A266" s="125"/>
      <c r="B266" s="125"/>
      <c r="C266" s="125"/>
      <c r="D266" s="125"/>
      <c r="E266" s="126"/>
      <c r="F266" s="126"/>
      <c r="G266" s="126"/>
      <c r="H266" s="125"/>
    </row>
    <row r="267">
      <c r="A267" s="125"/>
      <c r="B267" s="125"/>
      <c r="C267" s="125"/>
      <c r="D267" s="125"/>
      <c r="E267" s="126"/>
      <c r="F267" s="126"/>
      <c r="G267" s="126"/>
      <c r="H267" s="125"/>
    </row>
    <row r="268">
      <c r="A268" s="125"/>
      <c r="B268" s="125"/>
      <c r="C268" s="125"/>
      <c r="D268" s="125"/>
      <c r="E268" s="126"/>
      <c r="F268" s="126"/>
      <c r="G268" s="126"/>
      <c r="H268" s="125"/>
    </row>
    <row r="269">
      <c r="A269" s="125"/>
      <c r="B269" s="125"/>
      <c r="C269" s="125"/>
      <c r="D269" s="125"/>
      <c r="E269" s="126"/>
      <c r="F269" s="126"/>
      <c r="G269" s="126"/>
      <c r="H269" s="125"/>
    </row>
    <row r="270">
      <c r="A270" s="125"/>
      <c r="B270" s="125"/>
      <c r="C270" s="125"/>
      <c r="D270" s="125"/>
      <c r="E270" s="126"/>
      <c r="F270" s="126"/>
      <c r="G270" s="126"/>
      <c r="H270" s="125"/>
    </row>
    <row r="271">
      <c r="A271" s="125"/>
      <c r="B271" s="125"/>
      <c r="C271" s="125"/>
      <c r="D271" s="125"/>
      <c r="E271" s="126"/>
      <c r="F271" s="126"/>
      <c r="G271" s="126"/>
      <c r="H271" s="125"/>
    </row>
    <row r="272">
      <c r="A272" s="125"/>
      <c r="B272" s="125"/>
      <c r="C272" s="125"/>
      <c r="D272" s="125"/>
      <c r="E272" s="126"/>
      <c r="F272" s="126"/>
      <c r="G272" s="126"/>
      <c r="H272" s="125"/>
    </row>
    <row r="273">
      <c r="A273" s="125"/>
      <c r="B273" s="125"/>
      <c r="C273" s="125"/>
      <c r="D273" s="125"/>
      <c r="E273" s="126"/>
      <c r="F273" s="126"/>
      <c r="G273" s="126"/>
      <c r="H273" s="125"/>
    </row>
    <row r="274">
      <c r="A274" s="125"/>
      <c r="B274" s="125"/>
      <c r="C274" s="125"/>
      <c r="D274" s="125"/>
      <c r="E274" s="126"/>
      <c r="F274" s="126"/>
      <c r="G274" s="126"/>
      <c r="H274" s="125"/>
    </row>
    <row r="275">
      <c r="A275" s="125"/>
      <c r="B275" s="125"/>
      <c r="C275" s="125"/>
      <c r="D275" s="125"/>
      <c r="E275" s="126"/>
      <c r="F275" s="126"/>
      <c r="G275" s="126"/>
      <c r="H275" s="125"/>
    </row>
    <row r="276">
      <c r="A276" s="125"/>
      <c r="B276" s="125"/>
      <c r="C276" s="125"/>
      <c r="D276" s="125"/>
      <c r="E276" s="126"/>
      <c r="F276" s="126"/>
      <c r="G276" s="126"/>
      <c r="H276" s="125"/>
    </row>
    <row r="277">
      <c r="A277" s="125"/>
      <c r="B277" s="125"/>
      <c r="C277" s="125"/>
      <c r="D277" s="125"/>
      <c r="E277" s="126"/>
      <c r="F277" s="126"/>
      <c r="G277" s="126"/>
      <c r="H277" s="125"/>
    </row>
    <row r="278">
      <c r="A278" s="125"/>
      <c r="B278" s="125"/>
      <c r="C278" s="125"/>
      <c r="D278" s="125"/>
      <c r="E278" s="126"/>
      <c r="F278" s="126"/>
      <c r="G278" s="126"/>
      <c r="H278" s="125"/>
    </row>
    <row r="279">
      <c r="A279" s="125"/>
      <c r="B279" s="125"/>
      <c r="C279" s="125"/>
      <c r="D279" s="125"/>
      <c r="E279" s="126"/>
      <c r="F279" s="126"/>
      <c r="G279" s="126"/>
      <c r="H279" s="125"/>
    </row>
    <row r="280">
      <c r="A280" s="125"/>
      <c r="B280" s="125"/>
      <c r="C280" s="125"/>
      <c r="D280" s="125"/>
      <c r="E280" s="126"/>
      <c r="F280" s="126"/>
      <c r="G280" s="126"/>
      <c r="H280" s="125"/>
    </row>
    <row r="281">
      <c r="A281" s="125"/>
      <c r="B281" s="125"/>
      <c r="C281" s="125"/>
      <c r="D281" s="125"/>
      <c r="E281" s="126"/>
      <c r="F281" s="126"/>
      <c r="G281" s="126"/>
      <c r="H281" s="125"/>
    </row>
    <row r="282">
      <c r="A282" s="125"/>
      <c r="B282" s="125"/>
      <c r="C282" s="125"/>
      <c r="D282" s="125"/>
      <c r="E282" s="126"/>
      <c r="F282" s="126"/>
      <c r="G282" s="126"/>
      <c r="H282" s="125"/>
    </row>
    <row r="283">
      <c r="A283" s="125"/>
      <c r="B283" s="125"/>
      <c r="C283" s="125"/>
      <c r="D283" s="125"/>
      <c r="E283" s="126"/>
      <c r="F283" s="126"/>
      <c r="G283" s="126"/>
      <c r="H283" s="125"/>
    </row>
    <row r="284">
      <c r="A284" s="125"/>
      <c r="B284" s="125"/>
      <c r="C284" s="125"/>
      <c r="D284" s="125"/>
      <c r="E284" s="126"/>
      <c r="F284" s="126"/>
      <c r="G284" s="126"/>
      <c r="H284" s="125"/>
    </row>
    <row r="285">
      <c r="A285" s="125"/>
      <c r="B285" s="125"/>
      <c r="C285" s="125"/>
      <c r="D285" s="125"/>
      <c r="E285" s="126"/>
      <c r="F285" s="126"/>
      <c r="G285" s="126"/>
      <c r="H285" s="125"/>
    </row>
    <row r="286">
      <c r="A286" s="125"/>
      <c r="B286" s="125"/>
      <c r="C286" s="125"/>
      <c r="D286" s="125"/>
      <c r="E286" s="126"/>
      <c r="F286" s="126"/>
      <c r="G286" s="126"/>
      <c r="H286" s="125"/>
    </row>
    <row r="287">
      <c r="A287" s="125"/>
      <c r="B287" s="125"/>
      <c r="C287" s="125"/>
      <c r="D287" s="125"/>
      <c r="E287" s="126"/>
      <c r="F287" s="126"/>
      <c r="G287" s="126"/>
      <c r="H287" s="125"/>
    </row>
    <row r="288">
      <c r="A288" s="125"/>
      <c r="B288" s="125"/>
      <c r="C288" s="125"/>
      <c r="D288" s="125"/>
      <c r="E288" s="126"/>
      <c r="F288" s="126"/>
      <c r="G288" s="126"/>
      <c r="H288" s="125"/>
    </row>
    <row r="289">
      <c r="A289" s="125"/>
      <c r="B289" s="125"/>
      <c r="C289" s="125"/>
      <c r="D289" s="125"/>
      <c r="E289" s="126"/>
      <c r="F289" s="126"/>
      <c r="G289" s="126"/>
      <c r="H289" s="125"/>
    </row>
    <row r="290">
      <c r="A290" s="125"/>
      <c r="B290" s="125"/>
      <c r="C290" s="125"/>
      <c r="D290" s="125"/>
      <c r="E290" s="126"/>
      <c r="F290" s="126"/>
      <c r="G290" s="126"/>
      <c r="H290" s="125"/>
    </row>
    <row r="291">
      <c r="A291" s="125"/>
      <c r="B291" s="125"/>
      <c r="C291" s="125"/>
      <c r="D291" s="125"/>
      <c r="E291" s="126"/>
      <c r="F291" s="126"/>
      <c r="G291" s="126"/>
      <c r="H291" s="125"/>
    </row>
    <row r="292">
      <c r="A292" s="125"/>
      <c r="B292" s="125"/>
      <c r="C292" s="125"/>
      <c r="D292" s="125"/>
      <c r="E292" s="126"/>
      <c r="F292" s="126"/>
      <c r="G292" s="126"/>
      <c r="H292" s="125"/>
    </row>
    <row r="293">
      <c r="A293" s="125"/>
      <c r="B293" s="125"/>
      <c r="C293" s="125"/>
      <c r="D293" s="125"/>
      <c r="E293" s="126"/>
      <c r="F293" s="126"/>
      <c r="G293" s="126"/>
      <c r="H293" s="125"/>
    </row>
    <row r="294">
      <c r="A294" s="125"/>
      <c r="B294" s="125"/>
      <c r="C294" s="125"/>
      <c r="D294" s="125"/>
      <c r="E294" s="126"/>
      <c r="F294" s="126"/>
      <c r="G294" s="126"/>
      <c r="H294" s="125"/>
    </row>
    <row r="295">
      <c r="A295" s="125"/>
      <c r="B295" s="125"/>
      <c r="C295" s="125"/>
      <c r="D295" s="125"/>
      <c r="E295" s="126"/>
      <c r="F295" s="126"/>
      <c r="G295" s="126"/>
      <c r="H295" s="125"/>
    </row>
    <row r="296">
      <c r="A296" s="125"/>
      <c r="B296" s="125"/>
      <c r="C296" s="125"/>
      <c r="D296" s="125"/>
      <c r="E296" s="126"/>
      <c r="F296" s="126"/>
      <c r="G296" s="126"/>
      <c r="H296" s="125"/>
    </row>
    <row r="297">
      <c r="A297" s="125"/>
      <c r="B297" s="125"/>
      <c r="C297" s="125"/>
      <c r="D297" s="125"/>
      <c r="E297" s="126"/>
      <c r="F297" s="126"/>
      <c r="G297" s="126"/>
      <c r="H297" s="125"/>
    </row>
    <row r="298">
      <c r="A298" s="125"/>
      <c r="B298" s="125"/>
      <c r="C298" s="125"/>
      <c r="D298" s="125"/>
      <c r="E298" s="126"/>
      <c r="F298" s="126"/>
      <c r="G298" s="126"/>
      <c r="H298" s="125"/>
    </row>
    <row r="299">
      <c r="A299" s="125"/>
      <c r="B299" s="125"/>
      <c r="C299" s="125"/>
      <c r="D299" s="125"/>
      <c r="E299" s="126"/>
      <c r="F299" s="126"/>
      <c r="G299" s="126"/>
      <c r="H299" s="125"/>
    </row>
    <row r="300">
      <c r="A300" s="125"/>
      <c r="B300" s="125"/>
      <c r="C300" s="125"/>
      <c r="D300" s="125"/>
      <c r="E300" s="126"/>
      <c r="F300" s="126"/>
      <c r="G300" s="126"/>
      <c r="H300" s="125"/>
    </row>
    <row r="301">
      <c r="A301" s="125"/>
      <c r="B301" s="125"/>
      <c r="C301" s="125"/>
      <c r="D301" s="125"/>
      <c r="E301" s="126"/>
      <c r="F301" s="126"/>
      <c r="G301" s="126"/>
      <c r="H301" s="125"/>
    </row>
    <row r="302">
      <c r="A302" s="125"/>
      <c r="B302" s="125"/>
      <c r="C302" s="125"/>
      <c r="D302" s="125"/>
      <c r="E302" s="126"/>
      <c r="F302" s="126"/>
      <c r="G302" s="126"/>
      <c r="H302" s="125"/>
    </row>
    <row r="303">
      <c r="A303" s="125"/>
      <c r="B303" s="125"/>
      <c r="C303" s="125"/>
      <c r="D303" s="125"/>
      <c r="E303" s="126"/>
      <c r="F303" s="126"/>
      <c r="G303" s="126"/>
      <c r="H303" s="125"/>
    </row>
    <row r="304">
      <c r="A304" s="125"/>
      <c r="B304" s="125"/>
      <c r="C304" s="125"/>
      <c r="D304" s="125"/>
      <c r="E304" s="126"/>
      <c r="F304" s="126"/>
      <c r="G304" s="126"/>
      <c r="H304" s="125"/>
    </row>
    <row r="305">
      <c r="A305" s="125"/>
      <c r="B305" s="125"/>
      <c r="C305" s="125"/>
      <c r="D305" s="125"/>
      <c r="E305" s="126"/>
      <c r="F305" s="126"/>
      <c r="G305" s="126"/>
      <c r="H305" s="125"/>
    </row>
    <row r="306">
      <c r="A306" s="125"/>
      <c r="B306" s="125"/>
      <c r="C306" s="125"/>
      <c r="D306" s="125"/>
      <c r="E306" s="126"/>
      <c r="F306" s="126"/>
      <c r="G306" s="126"/>
      <c r="H306" s="125"/>
    </row>
    <row r="307">
      <c r="A307" s="125"/>
      <c r="B307" s="125"/>
      <c r="C307" s="125"/>
      <c r="D307" s="125"/>
      <c r="E307" s="126"/>
      <c r="F307" s="126"/>
      <c r="G307" s="126"/>
      <c r="H307" s="125"/>
    </row>
    <row r="308">
      <c r="A308" s="125"/>
      <c r="B308" s="125"/>
      <c r="C308" s="125"/>
      <c r="D308" s="125"/>
      <c r="E308" s="126"/>
      <c r="F308" s="126"/>
      <c r="G308" s="126"/>
      <c r="H308" s="125"/>
    </row>
    <row r="309">
      <c r="A309" s="125"/>
      <c r="B309" s="125"/>
      <c r="C309" s="125"/>
      <c r="D309" s="125"/>
      <c r="E309" s="126"/>
      <c r="F309" s="126"/>
      <c r="G309" s="126"/>
      <c r="H309" s="125"/>
    </row>
    <row r="310">
      <c r="A310" s="125"/>
      <c r="B310" s="125"/>
      <c r="C310" s="125"/>
      <c r="D310" s="125"/>
      <c r="E310" s="126"/>
      <c r="F310" s="126"/>
      <c r="G310" s="126"/>
      <c r="H310" s="125"/>
    </row>
    <row r="311">
      <c r="A311" s="125"/>
      <c r="B311" s="125"/>
      <c r="C311" s="125"/>
      <c r="D311" s="125"/>
      <c r="E311" s="126"/>
      <c r="F311" s="126"/>
      <c r="G311" s="126"/>
      <c r="H311" s="125"/>
    </row>
    <row r="312">
      <c r="A312" s="125"/>
      <c r="B312" s="125"/>
      <c r="C312" s="125"/>
      <c r="D312" s="125"/>
      <c r="E312" s="126"/>
      <c r="F312" s="126"/>
      <c r="G312" s="126"/>
      <c r="H312" s="125"/>
    </row>
    <row r="313">
      <c r="A313" s="125"/>
      <c r="B313" s="125"/>
      <c r="C313" s="125"/>
      <c r="D313" s="125"/>
      <c r="E313" s="126"/>
      <c r="F313" s="126"/>
      <c r="G313" s="126"/>
      <c r="H313" s="125"/>
    </row>
    <row r="314">
      <c r="A314" s="125"/>
      <c r="B314" s="125"/>
      <c r="C314" s="125"/>
      <c r="D314" s="125"/>
      <c r="E314" s="126"/>
      <c r="F314" s="126"/>
      <c r="G314" s="126"/>
      <c r="H314" s="125"/>
    </row>
    <row r="315">
      <c r="A315" s="125"/>
      <c r="B315" s="125"/>
      <c r="C315" s="125"/>
      <c r="D315" s="125"/>
      <c r="E315" s="126"/>
      <c r="F315" s="126"/>
      <c r="G315" s="126"/>
      <c r="H315" s="125"/>
    </row>
    <row r="316">
      <c r="A316" s="125"/>
      <c r="B316" s="125"/>
      <c r="C316" s="125"/>
      <c r="D316" s="125"/>
      <c r="E316" s="126"/>
      <c r="F316" s="126"/>
      <c r="G316" s="126"/>
      <c r="H316" s="125"/>
    </row>
    <row r="317">
      <c r="A317" s="125"/>
      <c r="B317" s="125"/>
      <c r="C317" s="125"/>
      <c r="D317" s="125"/>
      <c r="E317" s="126"/>
      <c r="F317" s="126"/>
      <c r="G317" s="126"/>
      <c r="H317" s="125"/>
    </row>
    <row r="318">
      <c r="A318" s="125"/>
      <c r="B318" s="125"/>
      <c r="C318" s="125"/>
      <c r="D318" s="125"/>
      <c r="E318" s="126"/>
      <c r="F318" s="126"/>
      <c r="G318" s="126"/>
      <c r="H318" s="125"/>
    </row>
    <row r="319">
      <c r="A319" s="125"/>
      <c r="B319" s="125"/>
      <c r="C319" s="125"/>
      <c r="D319" s="125"/>
      <c r="E319" s="126"/>
      <c r="F319" s="126"/>
      <c r="G319" s="126"/>
      <c r="H319" s="125"/>
    </row>
    <row r="320">
      <c r="A320" s="125"/>
      <c r="B320" s="125"/>
      <c r="C320" s="125"/>
      <c r="D320" s="125"/>
      <c r="E320" s="126"/>
      <c r="F320" s="126"/>
      <c r="G320" s="126"/>
      <c r="H320" s="125"/>
    </row>
    <row r="321">
      <c r="A321" s="125"/>
      <c r="B321" s="125"/>
      <c r="C321" s="125"/>
      <c r="D321" s="125"/>
      <c r="E321" s="126"/>
      <c r="F321" s="126"/>
      <c r="G321" s="126"/>
      <c r="H321" s="125"/>
    </row>
    <row r="322">
      <c r="A322" s="125"/>
      <c r="B322" s="125"/>
      <c r="C322" s="125"/>
      <c r="D322" s="125"/>
      <c r="E322" s="126"/>
      <c r="F322" s="126"/>
      <c r="G322" s="126"/>
      <c r="H322" s="125"/>
    </row>
    <row r="323">
      <c r="A323" s="125"/>
      <c r="B323" s="125"/>
      <c r="C323" s="125"/>
      <c r="D323" s="125"/>
      <c r="E323" s="126"/>
      <c r="F323" s="126"/>
      <c r="G323" s="126"/>
      <c r="H323" s="125"/>
    </row>
    <row r="324">
      <c r="A324" s="125"/>
      <c r="B324" s="125"/>
      <c r="C324" s="125"/>
      <c r="D324" s="125"/>
      <c r="E324" s="126"/>
      <c r="F324" s="126"/>
      <c r="G324" s="126"/>
      <c r="H324" s="125"/>
    </row>
    <row r="325">
      <c r="A325" s="125"/>
      <c r="B325" s="125"/>
      <c r="C325" s="125"/>
      <c r="D325" s="125"/>
      <c r="E325" s="126"/>
      <c r="F325" s="126"/>
      <c r="G325" s="126"/>
      <c r="H325" s="125"/>
    </row>
    <row r="326">
      <c r="A326" s="125"/>
      <c r="B326" s="125"/>
      <c r="C326" s="125"/>
      <c r="D326" s="125"/>
      <c r="E326" s="126"/>
      <c r="F326" s="126"/>
      <c r="G326" s="126"/>
      <c r="H326" s="125"/>
    </row>
    <row r="327">
      <c r="A327" s="125"/>
      <c r="B327" s="125"/>
      <c r="C327" s="125"/>
      <c r="D327" s="125"/>
      <c r="E327" s="126"/>
      <c r="F327" s="126"/>
      <c r="G327" s="126"/>
      <c r="H327" s="125"/>
    </row>
    <row r="328">
      <c r="A328" s="125"/>
      <c r="B328" s="125"/>
      <c r="C328" s="125"/>
      <c r="D328" s="125"/>
      <c r="E328" s="126"/>
      <c r="F328" s="126"/>
      <c r="G328" s="126"/>
      <c r="H328" s="125"/>
    </row>
    <row r="329">
      <c r="A329" s="125"/>
      <c r="B329" s="125"/>
      <c r="C329" s="125"/>
      <c r="D329" s="125"/>
      <c r="E329" s="126"/>
      <c r="F329" s="126"/>
      <c r="G329" s="126"/>
      <c r="H329" s="125"/>
    </row>
    <row r="330">
      <c r="A330" s="125"/>
      <c r="B330" s="125"/>
      <c r="C330" s="125"/>
      <c r="D330" s="125"/>
      <c r="E330" s="126"/>
      <c r="F330" s="126"/>
      <c r="G330" s="126"/>
      <c r="H330" s="125"/>
    </row>
    <row r="331">
      <c r="A331" s="125"/>
      <c r="B331" s="125"/>
      <c r="C331" s="125"/>
      <c r="D331" s="125"/>
      <c r="E331" s="126"/>
      <c r="F331" s="126"/>
      <c r="G331" s="126"/>
      <c r="H331" s="125"/>
    </row>
    <row r="332">
      <c r="A332" s="125"/>
      <c r="B332" s="125"/>
      <c r="C332" s="125"/>
      <c r="D332" s="125"/>
      <c r="E332" s="126"/>
      <c r="F332" s="126"/>
      <c r="G332" s="126"/>
      <c r="H332" s="125"/>
    </row>
    <row r="333">
      <c r="A333" s="125"/>
      <c r="B333" s="125"/>
      <c r="C333" s="125"/>
      <c r="D333" s="125"/>
      <c r="E333" s="126"/>
      <c r="F333" s="126"/>
      <c r="G333" s="126"/>
      <c r="H333" s="125"/>
    </row>
    <row r="334">
      <c r="A334" s="125"/>
      <c r="B334" s="125"/>
      <c r="C334" s="125"/>
      <c r="D334" s="125"/>
      <c r="E334" s="126"/>
      <c r="F334" s="126"/>
      <c r="G334" s="126"/>
      <c r="H334" s="125"/>
    </row>
    <row r="335">
      <c r="A335" s="125"/>
      <c r="B335" s="125"/>
      <c r="C335" s="125"/>
      <c r="D335" s="125"/>
      <c r="E335" s="126"/>
      <c r="F335" s="126"/>
      <c r="G335" s="126"/>
      <c r="H335" s="125"/>
    </row>
    <row r="336">
      <c r="A336" s="125"/>
      <c r="B336" s="125"/>
      <c r="C336" s="125"/>
      <c r="D336" s="125"/>
      <c r="E336" s="126"/>
      <c r="F336" s="126"/>
      <c r="G336" s="126"/>
      <c r="H336" s="125"/>
    </row>
    <row r="337">
      <c r="A337" s="125"/>
      <c r="B337" s="125"/>
      <c r="C337" s="125"/>
      <c r="D337" s="125"/>
      <c r="E337" s="126"/>
      <c r="F337" s="126"/>
      <c r="G337" s="126"/>
      <c r="H337" s="125"/>
    </row>
    <row r="338">
      <c r="A338" s="125"/>
      <c r="B338" s="125"/>
      <c r="C338" s="125"/>
      <c r="D338" s="125"/>
      <c r="E338" s="126"/>
      <c r="F338" s="126"/>
      <c r="G338" s="126"/>
      <c r="H338" s="125"/>
    </row>
    <row r="339">
      <c r="A339" s="125"/>
      <c r="B339" s="125"/>
      <c r="C339" s="125"/>
      <c r="D339" s="125"/>
      <c r="E339" s="126"/>
      <c r="F339" s="126"/>
      <c r="G339" s="126"/>
      <c r="H339" s="125"/>
    </row>
    <row r="340">
      <c r="A340" s="125"/>
      <c r="B340" s="125"/>
      <c r="C340" s="125"/>
      <c r="D340" s="125"/>
      <c r="E340" s="126"/>
      <c r="F340" s="126"/>
      <c r="G340" s="126"/>
      <c r="H340" s="125"/>
    </row>
    <row r="341">
      <c r="A341" s="125"/>
      <c r="B341" s="125"/>
      <c r="C341" s="125"/>
      <c r="D341" s="125"/>
      <c r="E341" s="126"/>
      <c r="F341" s="126"/>
      <c r="G341" s="126"/>
      <c r="H341" s="125"/>
    </row>
    <row r="342">
      <c r="A342" s="125"/>
      <c r="B342" s="125"/>
      <c r="C342" s="125"/>
      <c r="D342" s="125"/>
      <c r="E342" s="126"/>
      <c r="F342" s="126"/>
      <c r="G342" s="126"/>
      <c r="H342" s="125"/>
    </row>
    <row r="343">
      <c r="A343" s="125"/>
      <c r="B343" s="125"/>
      <c r="C343" s="125"/>
      <c r="D343" s="125"/>
      <c r="E343" s="126"/>
      <c r="F343" s="126"/>
      <c r="G343" s="126"/>
      <c r="H343" s="125"/>
    </row>
    <row r="344">
      <c r="A344" s="125"/>
      <c r="B344" s="125"/>
      <c r="C344" s="125"/>
      <c r="D344" s="125"/>
      <c r="E344" s="126"/>
      <c r="F344" s="126"/>
      <c r="G344" s="126"/>
      <c r="H344" s="125"/>
    </row>
    <row r="345">
      <c r="A345" s="125"/>
      <c r="B345" s="125"/>
      <c r="C345" s="125"/>
      <c r="D345" s="125"/>
      <c r="E345" s="126"/>
      <c r="F345" s="126"/>
      <c r="G345" s="126"/>
      <c r="H345" s="125"/>
    </row>
    <row r="346">
      <c r="A346" s="125"/>
      <c r="B346" s="125"/>
      <c r="C346" s="125"/>
      <c r="D346" s="125"/>
      <c r="E346" s="126"/>
      <c r="F346" s="126"/>
      <c r="G346" s="126"/>
      <c r="H346" s="125"/>
    </row>
    <row r="347">
      <c r="A347" s="125"/>
      <c r="B347" s="125"/>
      <c r="C347" s="125"/>
      <c r="D347" s="125"/>
      <c r="E347" s="126"/>
      <c r="F347" s="126"/>
      <c r="G347" s="126"/>
      <c r="H347" s="125"/>
    </row>
    <row r="348">
      <c r="A348" s="125"/>
      <c r="B348" s="125"/>
      <c r="C348" s="125"/>
      <c r="D348" s="125"/>
      <c r="E348" s="126"/>
      <c r="F348" s="126"/>
      <c r="G348" s="126"/>
      <c r="H348" s="125"/>
    </row>
    <row r="349">
      <c r="A349" s="125"/>
      <c r="B349" s="125"/>
      <c r="C349" s="125"/>
      <c r="D349" s="125"/>
      <c r="E349" s="126"/>
      <c r="F349" s="126"/>
      <c r="G349" s="126"/>
      <c r="H349" s="125"/>
    </row>
    <row r="350">
      <c r="A350" s="125"/>
      <c r="B350" s="125"/>
      <c r="C350" s="125"/>
      <c r="D350" s="125"/>
      <c r="E350" s="126"/>
      <c r="F350" s="126"/>
      <c r="G350" s="126"/>
      <c r="H350" s="125"/>
    </row>
    <row r="351">
      <c r="A351" s="125"/>
      <c r="B351" s="125"/>
      <c r="C351" s="125"/>
      <c r="D351" s="125"/>
      <c r="E351" s="126"/>
      <c r="F351" s="126"/>
      <c r="G351" s="126"/>
      <c r="H351" s="125"/>
    </row>
    <row r="352">
      <c r="A352" s="125"/>
      <c r="B352" s="125"/>
      <c r="C352" s="125"/>
      <c r="D352" s="125"/>
      <c r="E352" s="126"/>
      <c r="F352" s="126"/>
      <c r="G352" s="126"/>
      <c r="H352" s="125"/>
    </row>
    <row r="353">
      <c r="A353" s="125"/>
      <c r="B353" s="125"/>
      <c r="C353" s="125"/>
      <c r="D353" s="125"/>
      <c r="E353" s="126"/>
      <c r="F353" s="126"/>
      <c r="G353" s="126"/>
      <c r="H353" s="125"/>
    </row>
    <row r="354">
      <c r="A354" s="125"/>
      <c r="B354" s="125"/>
      <c r="C354" s="125"/>
      <c r="D354" s="125"/>
      <c r="E354" s="126"/>
      <c r="F354" s="126"/>
      <c r="G354" s="126"/>
      <c r="H354" s="125"/>
    </row>
    <row r="355">
      <c r="A355" s="125"/>
      <c r="B355" s="125"/>
      <c r="C355" s="125"/>
      <c r="D355" s="125"/>
      <c r="E355" s="126"/>
      <c r="F355" s="126"/>
      <c r="G355" s="126"/>
      <c r="H355" s="125"/>
    </row>
    <row r="356">
      <c r="A356" s="125"/>
      <c r="B356" s="125"/>
      <c r="C356" s="125"/>
      <c r="D356" s="125"/>
      <c r="E356" s="126"/>
      <c r="F356" s="126"/>
      <c r="G356" s="126"/>
      <c r="H356" s="125"/>
    </row>
    <row r="357">
      <c r="A357" s="125"/>
      <c r="B357" s="125"/>
      <c r="C357" s="125"/>
      <c r="D357" s="125"/>
      <c r="E357" s="126"/>
      <c r="F357" s="126"/>
      <c r="G357" s="126"/>
      <c r="H357" s="125"/>
    </row>
    <row r="358">
      <c r="A358" s="125"/>
      <c r="B358" s="125"/>
      <c r="C358" s="125"/>
      <c r="D358" s="125"/>
      <c r="E358" s="126"/>
      <c r="F358" s="126"/>
      <c r="G358" s="126"/>
      <c r="H358" s="125"/>
    </row>
    <row r="359">
      <c r="A359" s="125"/>
      <c r="B359" s="125"/>
      <c r="C359" s="125"/>
      <c r="D359" s="125"/>
      <c r="E359" s="126"/>
      <c r="F359" s="126"/>
      <c r="G359" s="126"/>
      <c r="H359" s="125"/>
    </row>
    <row r="360">
      <c r="A360" s="125"/>
      <c r="B360" s="125"/>
      <c r="C360" s="125"/>
      <c r="D360" s="125"/>
      <c r="E360" s="126"/>
      <c r="F360" s="126"/>
      <c r="G360" s="126"/>
      <c r="H360" s="125"/>
    </row>
    <row r="361">
      <c r="A361" s="125"/>
      <c r="B361" s="125"/>
      <c r="C361" s="125"/>
      <c r="D361" s="125"/>
      <c r="E361" s="126"/>
      <c r="F361" s="126"/>
      <c r="G361" s="126"/>
      <c r="H361" s="125"/>
    </row>
    <row r="362">
      <c r="A362" s="125"/>
      <c r="B362" s="125"/>
      <c r="C362" s="125"/>
      <c r="D362" s="125"/>
      <c r="E362" s="126"/>
      <c r="F362" s="126"/>
      <c r="G362" s="126"/>
      <c r="H362" s="125"/>
    </row>
    <row r="363">
      <c r="A363" s="125"/>
      <c r="B363" s="125"/>
      <c r="C363" s="125"/>
      <c r="D363" s="125"/>
      <c r="E363" s="126"/>
      <c r="F363" s="126"/>
      <c r="G363" s="126"/>
      <c r="H363" s="125"/>
    </row>
    <row r="364">
      <c r="A364" s="125"/>
      <c r="B364" s="125"/>
      <c r="C364" s="125"/>
      <c r="D364" s="125"/>
      <c r="E364" s="126"/>
      <c r="F364" s="126"/>
      <c r="G364" s="126"/>
      <c r="H364" s="125"/>
    </row>
    <row r="365">
      <c r="A365" s="125"/>
      <c r="B365" s="125"/>
      <c r="C365" s="125"/>
      <c r="D365" s="125"/>
      <c r="E365" s="126"/>
      <c r="F365" s="126"/>
      <c r="G365" s="126"/>
      <c r="H365" s="125"/>
    </row>
    <row r="366">
      <c r="A366" s="125"/>
      <c r="B366" s="125"/>
      <c r="C366" s="125"/>
      <c r="D366" s="125"/>
      <c r="E366" s="126"/>
      <c r="F366" s="126"/>
      <c r="G366" s="126"/>
      <c r="H366" s="125"/>
    </row>
    <row r="367">
      <c r="A367" s="125"/>
      <c r="B367" s="125"/>
      <c r="C367" s="125"/>
      <c r="D367" s="125"/>
      <c r="E367" s="126"/>
      <c r="F367" s="126"/>
      <c r="G367" s="126"/>
      <c r="H367" s="125"/>
    </row>
    <row r="368">
      <c r="A368" s="125"/>
      <c r="B368" s="125"/>
      <c r="C368" s="125"/>
      <c r="D368" s="125"/>
      <c r="E368" s="126"/>
      <c r="F368" s="126"/>
      <c r="G368" s="126"/>
      <c r="H368" s="125"/>
    </row>
    <row r="369">
      <c r="A369" s="125"/>
      <c r="B369" s="125"/>
      <c r="C369" s="125"/>
      <c r="D369" s="125"/>
      <c r="E369" s="126"/>
      <c r="F369" s="126"/>
      <c r="G369" s="126"/>
      <c r="H369" s="125"/>
    </row>
    <row r="370">
      <c r="A370" s="125"/>
      <c r="B370" s="125"/>
      <c r="C370" s="125"/>
      <c r="D370" s="125"/>
      <c r="E370" s="126"/>
      <c r="F370" s="126"/>
      <c r="G370" s="126"/>
      <c r="H370" s="125"/>
    </row>
    <row r="371">
      <c r="A371" s="125"/>
      <c r="B371" s="125"/>
      <c r="C371" s="125"/>
      <c r="D371" s="125"/>
      <c r="E371" s="126"/>
      <c r="F371" s="126"/>
      <c r="G371" s="126"/>
      <c r="H371" s="125"/>
    </row>
    <row r="372">
      <c r="A372" s="125"/>
      <c r="B372" s="125"/>
      <c r="C372" s="125"/>
      <c r="D372" s="125"/>
      <c r="E372" s="126"/>
      <c r="F372" s="126"/>
      <c r="G372" s="126"/>
      <c r="H372" s="125"/>
    </row>
    <row r="373">
      <c r="A373" s="125"/>
      <c r="B373" s="125"/>
      <c r="C373" s="125"/>
      <c r="D373" s="125"/>
      <c r="E373" s="126"/>
      <c r="F373" s="126"/>
      <c r="G373" s="126"/>
      <c r="H373" s="125"/>
    </row>
    <row r="374">
      <c r="A374" s="125"/>
      <c r="B374" s="125"/>
      <c r="C374" s="125"/>
      <c r="D374" s="125"/>
      <c r="E374" s="126"/>
      <c r="F374" s="126"/>
      <c r="G374" s="126"/>
      <c r="H374" s="125"/>
    </row>
    <row r="375">
      <c r="A375" s="125"/>
      <c r="B375" s="125"/>
      <c r="C375" s="125"/>
      <c r="D375" s="125"/>
      <c r="E375" s="126"/>
      <c r="F375" s="126"/>
      <c r="G375" s="126"/>
      <c r="H375" s="125"/>
    </row>
    <row r="376">
      <c r="A376" s="125"/>
      <c r="B376" s="125"/>
      <c r="C376" s="125"/>
      <c r="D376" s="125"/>
      <c r="E376" s="126"/>
      <c r="F376" s="126"/>
      <c r="G376" s="126"/>
      <c r="H376" s="125"/>
    </row>
    <row r="377">
      <c r="A377" s="125"/>
      <c r="B377" s="125"/>
      <c r="C377" s="125"/>
      <c r="D377" s="125"/>
      <c r="E377" s="126"/>
      <c r="F377" s="126"/>
      <c r="G377" s="126"/>
      <c r="H377" s="125"/>
    </row>
    <row r="378">
      <c r="A378" s="125"/>
      <c r="B378" s="125"/>
      <c r="C378" s="125"/>
      <c r="D378" s="125"/>
      <c r="E378" s="126"/>
      <c r="F378" s="126"/>
      <c r="G378" s="126"/>
      <c r="H378" s="125"/>
    </row>
    <row r="379">
      <c r="A379" s="125"/>
      <c r="B379" s="125"/>
      <c r="C379" s="125"/>
      <c r="D379" s="125"/>
      <c r="E379" s="126"/>
      <c r="F379" s="126"/>
      <c r="G379" s="126"/>
      <c r="H379" s="125"/>
    </row>
    <row r="380">
      <c r="A380" s="125"/>
      <c r="B380" s="125"/>
      <c r="C380" s="125"/>
      <c r="D380" s="125"/>
      <c r="E380" s="126"/>
      <c r="F380" s="126"/>
      <c r="G380" s="126"/>
      <c r="H380" s="125"/>
    </row>
    <row r="381">
      <c r="A381" s="125"/>
      <c r="B381" s="125"/>
      <c r="C381" s="125"/>
      <c r="D381" s="125"/>
      <c r="E381" s="126"/>
      <c r="F381" s="126"/>
      <c r="G381" s="126"/>
      <c r="H381" s="125"/>
    </row>
    <row r="382">
      <c r="A382" s="125"/>
      <c r="B382" s="125"/>
      <c r="C382" s="125"/>
      <c r="D382" s="125"/>
      <c r="E382" s="126"/>
      <c r="F382" s="126"/>
      <c r="G382" s="126"/>
      <c r="H382" s="125"/>
    </row>
    <row r="383">
      <c r="A383" s="125"/>
      <c r="B383" s="125"/>
      <c r="C383" s="125"/>
      <c r="D383" s="125"/>
      <c r="E383" s="126"/>
      <c r="F383" s="126"/>
      <c r="G383" s="126"/>
      <c r="H383" s="125"/>
    </row>
    <row r="384">
      <c r="A384" s="125"/>
      <c r="B384" s="125"/>
      <c r="C384" s="125"/>
      <c r="D384" s="125"/>
      <c r="E384" s="126"/>
      <c r="F384" s="126"/>
      <c r="G384" s="126"/>
      <c r="H384" s="125"/>
    </row>
    <row r="385">
      <c r="A385" s="125"/>
      <c r="B385" s="125"/>
      <c r="C385" s="125"/>
      <c r="D385" s="125"/>
      <c r="E385" s="126"/>
      <c r="F385" s="126"/>
      <c r="G385" s="126"/>
      <c r="H385" s="125"/>
    </row>
    <row r="386">
      <c r="A386" s="125"/>
      <c r="B386" s="125"/>
      <c r="C386" s="125"/>
      <c r="D386" s="125"/>
      <c r="E386" s="126"/>
      <c r="F386" s="126"/>
      <c r="G386" s="126"/>
      <c r="H386" s="125"/>
    </row>
    <row r="387">
      <c r="A387" s="125"/>
      <c r="B387" s="125"/>
      <c r="C387" s="125"/>
      <c r="D387" s="125"/>
      <c r="E387" s="126"/>
      <c r="F387" s="126"/>
      <c r="G387" s="126"/>
      <c r="H387" s="125"/>
    </row>
    <row r="388">
      <c r="A388" s="125"/>
      <c r="B388" s="125"/>
      <c r="C388" s="125"/>
      <c r="D388" s="125"/>
      <c r="E388" s="126"/>
      <c r="F388" s="126"/>
      <c r="G388" s="126"/>
      <c r="H388" s="125"/>
    </row>
    <row r="389">
      <c r="A389" s="125"/>
      <c r="B389" s="125"/>
      <c r="C389" s="125"/>
      <c r="D389" s="125"/>
      <c r="E389" s="126"/>
      <c r="F389" s="126"/>
      <c r="G389" s="126"/>
      <c r="H389" s="125"/>
    </row>
    <row r="390">
      <c r="A390" s="125"/>
      <c r="B390" s="125"/>
      <c r="C390" s="125"/>
      <c r="D390" s="125"/>
      <c r="E390" s="126"/>
      <c r="F390" s="126"/>
      <c r="G390" s="126"/>
      <c r="H390" s="125"/>
    </row>
    <row r="391">
      <c r="A391" s="125"/>
      <c r="B391" s="125"/>
      <c r="C391" s="125"/>
      <c r="D391" s="125"/>
      <c r="E391" s="126"/>
      <c r="F391" s="126"/>
      <c r="G391" s="126"/>
      <c r="H391" s="125"/>
    </row>
    <row r="392">
      <c r="A392" s="125"/>
      <c r="B392" s="125"/>
      <c r="C392" s="125"/>
      <c r="D392" s="125"/>
      <c r="E392" s="126"/>
      <c r="F392" s="126"/>
      <c r="G392" s="126"/>
      <c r="H392" s="125"/>
    </row>
    <row r="393">
      <c r="A393" s="125"/>
      <c r="B393" s="125"/>
      <c r="C393" s="125"/>
      <c r="D393" s="125"/>
      <c r="E393" s="126"/>
      <c r="F393" s="126"/>
      <c r="G393" s="126"/>
      <c r="H393" s="125"/>
    </row>
    <row r="394">
      <c r="A394" s="125"/>
      <c r="B394" s="125"/>
      <c r="C394" s="125"/>
      <c r="D394" s="125"/>
      <c r="E394" s="126"/>
      <c r="F394" s="126"/>
      <c r="G394" s="126"/>
      <c r="H394" s="125"/>
    </row>
    <row r="395">
      <c r="A395" s="125"/>
      <c r="B395" s="125"/>
      <c r="C395" s="125"/>
      <c r="D395" s="125"/>
      <c r="E395" s="126"/>
      <c r="F395" s="126"/>
      <c r="G395" s="126"/>
      <c r="H395" s="125"/>
    </row>
    <row r="396">
      <c r="A396" s="125"/>
      <c r="B396" s="125"/>
      <c r="C396" s="125"/>
      <c r="D396" s="125"/>
      <c r="E396" s="126"/>
      <c r="F396" s="126"/>
      <c r="G396" s="126"/>
      <c r="H396" s="125"/>
    </row>
    <row r="397">
      <c r="A397" s="125"/>
      <c r="B397" s="125"/>
      <c r="C397" s="125"/>
      <c r="D397" s="125"/>
      <c r="E397" s="126"/>
      <c r="F397" s="126"/>
      <c r="G397" s="126"/>
      <c r="H397" s="125"/>
    </row>
    <row r="398">
      <c r="A398" s="125"/>
      <c r="B398" s="125"/>
      <c r="C398" s="125"/>
      <c r="D398" s="125"/>
      <c r="E398" s="126"/>
      <c r="F398" s="126"/>
      <c r="G398" s="126"/>
      <c r="H398" s="125"/>
    </row>
    <row r="399">
      <c r="A399" s="125"/>
      <c r="B399" s="125"/>
      <c r="C399" s="125"/>
      <c r="D399" s="125"/>
      <c r="E399" s="126"/>
      <c r="F399" s="126"/>
      <c r="G399" s="126"/>
      <c r="H399" s="125"/>
    </row>
    <row r="400">
      <c r="A400" s="125"/>
      <c r="B400" s="125"/>
      <c r="C400" s="125"/>
      <c r="D400" s="125"/>
      <c r="E400" s="126"/>
      <c r="F400" s="126"/>
      <c r="G400" s="126"/>
      <c r="H400" s="125"/>
    </row>
    <row r="401">
      <c r="A401" s="125"/>
      <c r="B401" s="125"/>
      <c r="C401" s="125"/>
      <c r="D401" s="125"/>
      <c r="E401" s="126"/>
      <c r="F401" s="126"/>
      <c r="G401" s="126"/>
      <c r="H401" s="125"/>
    </row>
    <row r="402">
      <c r="A402" s="125"/>
      <c r="B402" s="125"/>
      <c r="C402" s="125"/>
      <c r="D402" s="125"/>
      <c r="E402" s="126"/>
      <c r="F402" s="126"/>
      <c r="G402" s="126"/>
      <c r="H402" s="125"/>
    </row>
    <row r="403">
      <c r="A403" s="125"/>
      <c r="B403" s="125"/>
      <c r="C403" s="125"/>
      <c r="D403" s="125"/>
      <c r="E403" s="126"/>
      <c r="F403" s="126"/>
      <c r="G403" s="126"/>
      <c r="H403" s="125"/>
    </row>
    <row r="404">
      <c r="A404" s="125"/>
      <c r="B404" s="125"/>
      <c r="C404" s="125"/>
      <c r="D404" s="125"/>
      <c r="E404" s="126"/>
      <c r="F404" s="126"/>
      <c r="G404" s="126"/>
      <c r="H404" s="125"/>
    </row>
    <row r="405">
      <c r="A405" s="125"/>
      <c r="B405" s="125"/>
      <c r="C405" s="125"/>
      <c r="D405" s="125"/>
      <c r="E405" s="126"/>
      <c r="F405" s="126"/>
      <c r="G405" s="126"/>
      <c r="H405" s="125"/>
    </row>
    <row r="406">
      <c r="A406" s="125"/>
      <c r="B406" s="125"/>
      <c r="C406" s="125"/>
      <c r="D406" s="125"/>
      <c r="E406" s="126"/>
      <c r="F406" s="126"/>
      <c r="G406" s="126"/>
      <c r="H406" s="125"/>
    </row>
    <row r="407">
      <c r="A407" s="125"/>
      <c r="B407" s="125"/>
      <c r="C407" s="125"/>
      <c r="D407" s="125"/>
      <c r="E407" s="126"/>
      <c r="F407" s="126"/>
      <c r="G407" s="126"/>
      <c r="H407" s="125"/>
    </row>
    <row r="408">
      <c r="A408" s="125"/>
      <c r="B408" s="125"/>
      <c r="C408" s="125"/>
      <c r="D408" s="125"/>
      <c r="E408" s="126"/>
      <c r="F408" s="126"/>
      <c r="G408" s="126"/>
      <c r="H408" s="125"/>
    </row>
    <row r="409">
      <c r="A409" s="125"/>
      <c r="B409" s="125"/>
      <c r="C409" s="125"/>
      <c r="D409" s="125"/>
      <c r="E409" s="126"/>
      <c r="F409" s="126"/>
      <c r="G409" s="126"/>
      <c r="H409" s="125"/>
    </row>
    <row r="410">
      <c r="A410" s="125"/>
      <c r="B410" s="125"/>
      <c r="C410" s="125"/>
      <c r="D410" s="125"/>
      <c r="E410" s="126"/>
      <c r="F410" s="126"/>
      <c r="G410" s="126"/>
      <c r="H410" s="125"/>
    </row>
    <row r="411">
      <c r="A411" s="125"/>
      <c r="B411" s="125"/>
      <c r="C411" s="125"/>
      <c r="D411" s="125"/>
      <c r="E411" s="126"/>
      <c r="F411" s="126"/>
      <c r="G411" s="126"/>
      <c r="H411" s="125"/>
    </row>
    <row r="412">
      <c r="A412" s="125"/>
      <c r="B412" s="125"/>
      <c r="C412" s="125"/>
      <c r="D412" s="125"/>
      <c r="E412" s="126"/>
      <c r="F412" s="126"/>
      <c r="G412" s="126"/>
      <c r="H412" s="125"/>
    </row>
    <row r="413">
      <c r="A413" s="125"/>
      <c r="B413" s="125"/>
      <c r="C413" s="125"/>
      <c r="D413" s="125"/>
      <c r="E413" s="126"/>
      <c r="F413" s="126"/>
      <c r="G413" s="126"/>
      <c r="H413" s="125"/>
    </row>
    <row r="414">
      <c r="A414" s="125"/>
      <c r="B414" s="125"/>
      <c r="C414" s="125"/>
      <c r="D414" s="125"/>
      <c r="E414" s="126"/>
      <c r="F414" s="126"/>
      <c r="G414" s="126"/>
      <c r="H414" s="125"/>
    </row>
    <row r="415">
      <c r="A415" s="125"/>
      <c r="B415" s="125"/>
      <c r="C415" s="125"/>
      <c r="D415" s="125"/>
      <c r="E415" s="126"/>
      <c r="F415" s="126"/>
      <c r="G415" s="126"/>
      <c r="H415" s="125"/>
    </row>
    <row r="416">
      <c r="A416" s="125"/>
      <c r="B416" s="125"/>
      <c r="C416" s="125"/>
      <c r="D416" s="125"/>
      <c r="E416" s="126"/>
      <c r="F416" s="126"/>
      <c r="G416" s="126"/>
      <c r="H416" s="125"/>
    </row>
    <row r="417">
      <c r="A417" s="125"/>
      <c r="B417" s="125"/>
      <c r="C417" s="125"/>
      <c r="D417" s="125"/>
      <c r="E417" s="126"/>
      <c r="F417" s="126"/>
      <c r="G417" s="126"/>
      <c r="H417" s="125"/>
    </row>
    <row r="418">
      <c r="A418" s="125"/>
      <c r="B418" s="125"/>
      <c r="C418" s="125"/>
      <c r="D418" s="125"/>
      <c r="E418" s="126"/>
      <c r="F418" s="126"/>
      <c r="G418" s="126"/>
      <c r="H418" s="125"/>
    </row>
    <row r="419">
      <c r="A419" s="125"/>
      <c r="B419" s="125"/>
      <c r="C419" s="125"/>
      <c r="D419" s="125"/>
      <c r="E419" s="126"/>
      <c r="F419" s="126"/>
      <c r="G419" s="126"/>
      <c r="H419" s="125"/>
    </row>
    <row r="420">
      <c r="A420" s="125"/>
      <c r="B420" s="125"/>
      <c r="C420" s="125"/>
      <c r="D420" s="125"/>
      <c r="E420" s="126"/>
      <c r="F420" s="126"/>
      <c r="G420" s="126"/>
      <c r="H420" s="125"/>
    </row>
    <row r="421">
      <c r="A421" s="125"/>
      <c r="B421" s="125"/>
      <c r="C421" s="125"/>
      <c r="D421" s="125"/>
      <c r="E421" s="126"/>
      <c r="F421" s="126"/>
      <c r="G421" s="126"/>
      <c r="H421" s="125"/>
    </row>
    <row r="422">
      <c r="A422" s="125"/>
      <c r="B422" s="125"/>
      <c r="C422" s="125"/>
      <c r="D422" s="125"/>
      <c r="E422" s="126"/>
      <c r="F422" s="126"/>
      <c r="G422" s="126"/>
      <c r="H422" s="125"/>
    </row>
    <row r="423">
      <c r="A423" s="125"/>
      <c r="B423" s="125"/>
      <c r="C423" s="125"/>
      <c r="D423" s="125"/>
      <c r="E423" s="126"/>
      <c r="F423" s="126"/>
      <c r="G423" s="126"/>
      <c r="H423" s="125"/>
    </row>
    <row r="424">
      <c r="A424" s="125"/>
      <c r="B424" s="125"/>
      <c r="C424" s="125"/>
      <c r="D424" s="125"/>
      <c r="E424" s="126"/>
      <c r="F424" s="126"/>
      <c r="G424" s="126"/>
      <c r="H424" s="125"/>
    </row>
    <row r="425">
      <c r="A425" s="125"/>
      <c r="B425" s="125"/>
      <c r="C425" s="125"/>
      <c r="D425" s="125"/>
      <c r="E425" s="126"/>
      <c r="F425" s="126"/>
      <c r="G425" s="126"/>
      <c r="H425" s="125"/>
    </row>
    <row r="426">
      <c r="A426" s="125"/>
      <c r="B426" s="125"/>
      <c r="C426" s="125"/>
      <c r="D426" s="125"/>
      <c r="E426" s="126"/>
      <c r="F426" s="126"/>
      <c r="G426" s="126"/>
      <c r="H426" s="125"/>
    </row>
    <row r="427">
      <c r="A427" s="125"/>
      <c r="B427" s="125"/>
      <c r="C427" s="125"/>
      <c r="D427" s="125"/>
      <c r="E427" s="126"/>
      <c r="F427" s="126"/>
      <c r="G427" s="126"/>
      <c r="H427" s="125"/>
    </row>
    <row r="428">
      <c r="A428" s="125"/>
      <c r="B428" s="125"/>
      <c r="C428" s="125"/>
      <c r="D428" s="125"/>
      <c r="E428" s="126"/>
      <c r="F428" s="126"/>
      <c r="G428" s="126"/>
      <c r="H428" s="125"/>
    </row>
    <row r="429">
      <c r="A429" s="125"/>
      <c r="B429" s="125"/>
      <c r="C429" s="125"/>
      <c r="D429" s="125"/>
      <c r="E429" s="126"/>
      <c r="F429" s="126"/>
      <c r="G429" s="126"/>
      <c r="H429" s="125"/>
    </row>
    <row r="430">
      <c r="A430" s="125"/>
      <c r="B430" s="125"/>
      <c r="C430" s="125"/>
      <c r="D430" s="125"/>
      <c r="E430" s="126"/>
      <c r="F430" s="126"/>
      <c r="G430" s="126"/>
      <c r="H430" s="125"/>
    </row>
    <row r="431">
      <c r="A431" s="125"/>
      <c r="B431" s="125"/>
      <c r="C431" s="125"/>
      <c r="D431" s="125"/>
      <c r="E431" s="126"/>
      <c r="F431" s="126"/>
      <c r="G431" s="126"/>
      <c r="H431" s="125"/>
    </row>
    <row r="432">
      <c r="A432" s="125"/>
      <c r="B432" s="125"/>
      <c r="C432" s="125"/>
      <c r="D432" s="125"/>
      <c r="E432" s="126"/>
      <c r="F432" s="126"/>
      <c r="G432" s="126"/>
      <c r="H432" s="125"/>
    </row>
    <row r="433">
      <c r="A433" s="125"/>
      <c r="B433" s="125"/>
      <c r="C433" s="125"/>
      <c r="D433" s="125"/>
      <c r="E433" s="126"/>
      <c r="F433" s="126"/>
      <c r="G433" s="126"/>
      <c r="H433" s="125"/>
    </row>
    <row r="434">
      <c r="A434" s="125"/>
      <c r="B434" s="125"/>
      <c r="C434" s="125"/>
      <c r="D434" s="125"/>
      <c r="E434" s="126"/>
      <c r="F434" s="126"/>
      <c r="G434" s="126"/>
      <c r="H434" s="125"/>
    </row>
    <row r="435">
      <c r="A435" s="125"/>
      <c r="B435" s="125"/>
      <c r="C435" s="125"/>
      <c r="D435" s="125"/>
      <c r="E435" s="126"/>
      <c r="F435" s="126"/>
      <c r="G435" s="126"/>
      <c r="H435" s="125"/>
    </row>
    <row r="436">
      <c r="A436" s="125"/>
      <c r="B436" s="125"/>
      <c r="C436" s="125"/>
      <c r="D436" s="125"/>
      <c r="E436" s="126"/>
      <c r="F436" s="126"/>
      <c r="G436" s="126"/>
      <c r="H436" s="125"/>
    </row>
    <row r="437">
      <c r="A437" s="125"/>
      <c r="B437" s="125"/>
      <c r="C437" s="125"/>
      <c r="D437" s="125"/>
      <c r="E437" s="126"/>
      <c r="F437" s="126"/>
      <c r="G437" s="126"/>
      <c r="H437" s="125"/>
    </row>
    <row r="438">
      <c r="A438" s="125"/>
      <c r="B438" s="125"/>
      <c r="C438" s="125"/>
      <c r="D438" s="125"/>
      <c r="E438" s="126"/>
      <c r="F438" s="126"/>
      <c r="G438" s="126"/>
      <c r="H438" s="125"/>
    </row>
    <row r="439">
      <c r="A439" s="125"/>
      <c r="B439" s="125"/>
      <c r="C439" s="125"/>
      <c r="D439" s="125"/>
      <c r="E439" s="126"/>
      <c r="F439" s="126"/>
      <c r="G439" s="126"/>
      <c r="H439" s="125"/>
    </row>
    <row r="440">
      <c r="A440" s="125"/>
      <c r="B440" s="125"/>
      <c r="C440" s="125"/>
      <c r="D440" s="125"/>
      <c r="E440" s="126"/>
      <c r="F440" s="126"/>
      <c r="G440" s="126"/>
      <c r="H440" s="125"/>
    </row>
    <row r="441">
      <c r="A441" s="125"/>
      <c r="B441" s="125"/>
      <c r="C441" s="125"/>
      <c r="D441" s="125"/>
      <c r="E441" s="126"/>
      <c r="F441" s="126"/>
      <c r="G441" s="126"/>
      <c r="H441" s="125"/>
    </row>
    <row r="442">
      <c r="A442" s="125"/>
      <c r="B442" s="125"/>
      <c r="C442" s="125"/>
      <c r="D442" s="125"/>
      <c r="E442" s="126"/>
      <c r="F442" s="126"/>
      <c r="G442" s="126"/>
      <c r="H442" s="125"/>
    </row>
    <row r="443">
      <c r="A443" s="125"/>
      <c r="B443" s="125"/>
      <c r="C443" s="125"/>
      <c r="D443" s="125"/>
      <c r="E443" s="126"/>
      <c r="F443" s="126"/>
      <c r="G443" s="126"/>
      <c r="H443" s="125"/>
    </row>
    <row r="444">
      <c r="A444" s="125"/>
      <c r="B444" s="125"/>
      <c r="C444" s="125"/>
      <c r="D444" s="125"/>
      <c r="E444" s="126"/>
      <c r="F444" s="126"/>
      <c r="G444" s="126"/>
      <c r="H444" s="125"/>
    </row>
    <row r="445">
      <c r="A445" s="125"/>
      <c r="B445" s="125"/>
      <c r="C445" s="125"/>
      <c r="D445" s="125"/>
      <c r="E445" s="126"/>
      <c r="F445" s="126"/>
      <c r="G445" s="126"/>
      <c r="H445" s="125"/>
    </row>
    <row r="446">
      <c r="A446" s="125"/>
      <c r="B446" s="125"/>
      <c r="C446" s="125"/>
      <c r="D446" s="125"/>
      <c r="E446" s="126"/>
      <c r="F446" s="126"/>
      <c r="G446" s="126"/>
      <c r="H446" s="125"/>
    </row>
    <row r="447">
      <c r="A447" s="125"/>
      <c r="B447" s="125"/>
      <c r="C447" s="125"/>
      <c r="D447" s="125"/>
      <c r="E447" s="126"/>
      <c r="F447" s="126"/>
      <c r="G447" s="126"/>
      <c r="H447" s="125"/>
    </row>
    <row r="448">
      <c r="A448" s="125"/>
      <c r="B448" s="125"/>
      <c r="C448" s="125"/>
      <c r="D448" s="125"/>
      <c r="E448" s="126"/>
      <c r="F448" s="126"/>
      <c r="G448" s="126"/>
      <c r="H448" s="125"/>
    </row>
    <row r="449">
      <c r="A449" s="125"/>
      <c r="B449" s="125"/>
      <c r="C449" s="125"/>
      <c r="D449" s="125"/>
      <c r="E449" s="126"/>
      <c r="F449" s="126"/>
      <c r="G449" s="126"/>
      <c r="H449" s="125"/>
    </row>
    <row r="450">
      <c r="A450" s="125"/>
      <c r="B450" s="125"/>
      <c r="C450" s="125"/>
      <c r="D450" s="125"/>
      <c r="E450" s="126"/>
      <c r="F450" s="126"/>
      <c r="G450" s="126"/>
      <c r="H450" s="125"/>
    </row>
    <row r="451">
      <c r="A451" s="125"/>
      <c r="B451" s="125"/>
      <c r="C451" s="125"/>
      <c r="D451" s="125"/>
      <c r="E451" s="126"/>
      <c r="F451" s="126"/>
      <c r="G451" s="126"/>
      <c r="H451" s="125"/>
    </row>
    <row r="452">
      <c r="A452" s="125"/>
      <c r="B452" s="125"/>
      <c r="C452" s="125"/>
      <c r="D452" s="125"/>
      <c r="E452" s="126"/>
      <c r="F452" s="126"/>
      <c r="G452" s="126"/>
      <c r="H452" s="125"/>
    </row>
    <row r="453">
      <c r="A453" s="125"/>
      <c r="B453" s="125"/>
      <c r="C453" s="125"/>
      <c r="D453" s="125"/>
      <c r="E453" s="126"/>
      <c r="F453" s="126"/>
      <c r="G453" s="126"/>
      <c r="H453" s="125"/>
    </row>
    <row r="454">
      <c r="A454" s="125"/>
      <c r="B454" s="125"/>
      <c r="C454" s="125"/>
      <c r="D454" s="125"/>
      <c r="E454" s="126"/>
      <c r="F454" s="126"/>
      <c r="G454" s="126"/>
      <c r="H454" s="125"/>
    </row>
    <row r="455">
      <c r="A455" s="125"/>
      <c r="B455" s="125"/>
      <c r="C455" s="125"/>
      <c r="D455" s="125"/>
      <c r="E455" s="126"/>
      <c r="F455" s="126"/>
      <c r="G455" s="126"/>
      <c r="H455" s="125"/>
    </row>
    <row r="456">
      <c r="A456" s="125"/>
      <c r="B456" s="125"/>
      <c r="C456" s="125"/>
      <c r="D456" s="125"/>
      <c r="E456" s="126"/>
      <c r="F456" s="126"/>
      <c r="G456" s="126"/>
      <c r="H456" s="125"/>
    </row>
    <row r="457">
      <c r="A457" s="125"/>
      <c r="B457" s="125"/>
      <c r="C457" s="125"/>
      <c r="D457" s="125"/>
      <c r="E457" s="126"/>
      <c r="F457" s="126"/>
      <c r="G457" s="126"/>
      <c r="H457" s="125"/>
    </row>
    <row r="458">
      <c r="A458" s="125"/>
      <c r="B458" s="125"/>
      <c r="C458" s="125"/>
      <c r="D458" s="125"/>
      <c r="E458" s="126"/>
      <c r="F458" s="126"/>
      <c r="G458" s="126"/>
      <c r="H458" s="125"/>
    </row>
    <row r="459">
      <c r="A459" s="125"/>
      <c r="B459" s="125"/>
      <c r="C459" s="125"/>
      <c r="D459" s="125"/>
      <c r="E459" s="126"/>
      <c r="F459" s="126"/>
      <c r="G459" s="126"/>
      <c r="H459" s="125"/>
    </row>
    <row r="460">
      <c r="A460" s="125"/>
      <c r="B460" s="125"/>
      <c r="C460" s="125"/>
      <c r="D460" s="125"/>
      <c r="E460" s="126"/>
      <c r="F460" s="126"/>
      <c r="G460" s="126"/>
      <c r="H460" s="125"/>
    </row>
    <row r="461">
      <c r="A461" s="125"/>
      <c r="B461" s="125"/>
      <c r="C461" s="125"/>
      <c r="D461" s="125"/>
      <c r="E461" s="126"/>
      <c r="F461" s="126"/>
      <c r="G461" s="126"/>
      <c r="H461" s="125"/>
    </row>
    <row r="462">
      <c r="A462" s="125"/>
      <c r="B462" s="125"/>
      <c r="C462" s="125"/>
      <c r="D462" s="125"/>
      <c r="E462" s="126"/>
      <c r="F462" s="126"/>
      <c r="G462" s="126"/>
      <c r="H462" s="125"/>
    </row>
    <row r="463">
      <c r="A463" s="125"/>
      <c r="B463" s="125"/>
      <c r="C463" s="125"/>
      <c r="D463" s="125"/>
      <c r="E463" s="126"/>
      <c r="F463" s="126"/>
      <c r="G463" s="126"/>
      <c r="H463" s="125"/>
    </row>
    <row r="464">
      <c r="A464" s="125"/>
      <c r="B464" s="125"/>
      <c r="C464" s="125"/>
      <c r="D464" s="125"/>
      <c r="E464" s="126"/>
      <c r="F464" s="126"/>
      <c r="G464" s="126"/>
      <c r="H464" s="125"/>
    </row>
    <row r="465">
      <c r="A465" s="125"/>
      <c r="B465" s="125"/>
      <c r="C465" s="125"/>
      <c r="D465" s="125"/>
      <c r="E465" s="126"/>
      <c r="F465" s="126"/>
      <c r="G465" s="126"/>
      <c r="H465" s="125"/>
    </row>
    <row r="466">
      <c r="A466" s="125"/>
      <c r="B466" s="125"/>
      <c r="C466" s="125"/>
      <c r="D466" s="125"/>
      <c r="E466" s="126"/>
      <c r="F466" s="126"/>
      <c r="G466" s="126"/>
      <c r="H466" s="125"/>
    </row>
    <row r="467">
      <c r="A467" s="125"/>
      <c r="B467" s="125"/>
      <c r="C467" s="125"/>
      <c r="D467" s="125"/>
      <c r="E467" s="126"/>
      <c r="F467" s="126"/>
      <c r="G467" s="126"/>
      <c r="H467" s="125"/>
    </row>
    <row r="468">
      <c r="A468" s="125"/>
      <c r="B468" s="125"/>
      <c r="C468" s="125"/>
      <c r="D468" s="125"/>
      <c r="E468" s="126"/>
      <c r="F468" s="126"/>
      <c r="G468" s="126"/>
      <c r="H468" s="125"/>
    </row>
    <row r="469">
      <c r="A469" s="125"/>
      <c r="B469" s="125"/>
      <c r="C469" s="125"/>
      <c r="D469" s="125"/>
      <c r="E469" s="126"/>
      <c r="F469" s="126"/>
      <c r="G469" s="126"/>
      <c r="H469" s="125"/>
    </row>
    <row r="470">
      <c r="A470" s="125"/>
      <c r="B470" s="125"/>
      <c r="C470" s="125"/>
      <c r="D470" s="125"/>
      <c r="E470" s="126"/>
      <c r="F470" s="126"/>
      <c r="G470" s="126"/>
      <c r="H470" s="125"/>
    </row>
    <row r="471">
      <c r="A471" s="125"/>
      <c r="B471" s="125"/>
      <c r="C471" s="125"/>
      <c r="D471" s="125"/>
      <c r="E471" s="126"/>
      <c r="F471" s="126"/>
      <c r="G471" s="126"/>
      <c r="H471" s="125"/>
    </row>
    <row r="472">
      <c r="A472" s="125"/>
      <c r="B472" s="125"/>
      <c r="C472" s="125"/>
      <c r="D472" s="125"/>
      <c r="E472" s="126"/>
      <c r="F472" s="126"/>
      <c r="G472" s="126"/>
      <c r="H472" s="125"/>
    </row>
    <row r="473">
      <c r="A473" s="125"/>
      <c r="B473" s="125"/>
      <c r="C473" s="125"/>
      <c r="D473" s="125"/>
      <c r="E473" s="126"/>
      <c r="F473" s="126"/>
      <c r="G473" s="126"/>
      <c r="H473" s="125"/>
    </row>
    <row r="474">
      <c r="A474" s="125"/>
      <c r="B474" s="125"/>
      <c r="C474" s="125"/>
      <c r="D474" s="125"/>
      <c r="E474" s="126"/>
      <c r="F474" s="126"/>
      <c r="G474" s="126"/>
      <c r="H474" s="125"/>
    </row>
    <row r="475">
      <c r="A475" s="125"/>
      <c r="B475" s="125"/>
      <c r="C475" s="125"/>
      <c r="D475" s="125"/>
      <c r="E475" s="126"/>
      <c r="F475" s="126"/>
      <c r="G475" s="126"/>
      <c r="H475" s="125"/>
    </row>
    <row r="476">
      <c r="A476" s="125"/>
      <c r="B476" s="125"/>
      <c r="C476" s="125"/>
      <c r="D476" s="125"/>
      <c r="E476" s="126"/>
      <c r="F476" s="126"/>
      <c r="G476" s="126"/>
      <c r="H476" s="125"/>
    </row>
    <row r="477">
      <c r="A477" s="125"/>
      <c r="B477" s="125"/>
      <c r="C477" s="125"/>
      <c r="D477" s="125"/>
      <c r="E477" s="126"/>
      <c r="F477" s="126"/>
      <c r="G477" s="126"/>
      <c r="H477" s="125"/>
    </row>
    <row r="478">
      <c r="A478" s="125"/>
      <c r="B478" s="125"/>
      <c r="C478" s="125"/>
      <c r="D478" s="125"/>
      <c r="E478" s="126"/>
      <c r="F478" s="126"/>
      <c r="G478" s="126"/>
      <c r="H478" s="125"/>
    </row>
    <row r="479">
      <c r="A479" s="125"/>
      <c r="B479" s="125"/>
      <c r="C479" s="125"/>
      <c r="D479" s="125"/>
      <c r="E479" s="126"/>
      <c r="F479" s="126"/>
      <c r="G479" s="126"/>
      <c r="H479" s="125"/>
    </row>
    <row r="480">
      <c r="A480" s="125"/>
      <c r="B480" s="125"/>
      <c r="C480" s="125"/>
      <c r="D480" s="125"/>
      <c r="E480" s="126"/>
      <c r="F480" s="126"/>
      <c r="G480" s="126"/>
      <c r="H480" s="125"/>
    </row>
    <row r="481">
      <c r="A481" s="125"/>
      <c r="B481" s="125"/>
      <c r="C481" s="125"/>
      <c r="D481" s="125"/>
      <c r="E481" s="126"/>
      <c r="F481" s="126"/>
      <c r="G481" s="126"/>
      <c r="H481" s="125"/>
    </row>
    <row r="482">
      <c r="A482" s="125"/>
      <c r="B482" s="125"/>
      <c r="C482" s="125"/>
      <c r="D482" s="125"/>
      <c r="E482" s="126"/>
      <c r="F482" s="126"/>
      <c r="G482" s="126"/>
      <c r="H482" s="125"/>
    </row>
    <row r="483">
      <c r="A483" s="125"/>
      <c r="B483" s="125"/>
      <c r="C483" s="125"/>
      <c r="D483" s="125"/>
      <c r="E483" s="126"/>
      <c r="F483" s="126"/>
      <c r="G483" s="126"/>
      <c r="H483" s="125"/>
    </row>
    <row r="484">
      <c r="A484" s="125"/>
      <c r="B484" s="125"/>
      <c r="C484" s="125"/>
      <c r="D484" s="125"/>
      <c r="E484" s="126"/>
      <c r="F484" s="126"/>
      <c r="G484" s="126"/>
      <c r="H484" s="125"/>
    </row>
    <row r="485">
      <c r="A485" s="125"/>
      <c r="B485" s="125"/>
      <c r="C485" s="125"/>
      <c r="D485" s="125"/>
      <c r="E485" s="126"/>
      <c r="F485" s="126"/>
      <c r="G485" s="126"/>
      <c r="H485" s="125"/>
    </row>
    <row r="486">
      <c r="A486" s="125"/>
      <c r="B486" s="125"/>
      <c r="C486" s="125"/>
      <c r="D486" s="125"/>
      <c r="E486" s="126"/>
      <c r="F486" s="126"/>
      <c r="G486" s="126"/>
      <c r="H486" s="125"/>
    </row>
    <row r="487">
      <c r="A487" s="125"/>
      <c r="B487" s="125"/>
      <c r="C487" s="125"/>
      <c r="D487" s="125"/>
      <c r="E487" s="126"/>
      <c r="F487" s="126"/>
      <c r="G487" s="126"/>
      <c r="H487" s="125"/>
    </row>
    <row r="488">
      <c r="A488" s="125"/>
      <c r="B488" s="125"/>
      <c r="C488" s="125"/>
      <c r="D488" s="125"/>
      <c r="E488" s="126"/>
      <c r="F488" s="126"/>
      <c r="G488" s="126"/>
      <c r="H488" s="125"/>
    </row>
    <row r="489">
      <c r="A489" s="125"/>
      <c r="B489" s="125"/>
      <c r="C489" s="125"/>
      <c r="D489" s="125"/>
      <c r="E489" s="126"/>
      <c r="F489" s="126"/>
      <c r="G489" s="126"/>
      <c r="H489" s="125"/>
    </row>
    <row r="490">
      <c r="A490" s="125"/>
      <c r="B490" s="125"/>
      <c r="C490" s="125"/>
      <c r="D490" s="125"/>
      <c r="E490" s="126"/>
      <c r="F490" s="126"/>
      <c r="G490" s="126"/>
      <c r="H490" s="125"/>
    </row>
    <row r="491">
      <c r="A491" s="125"/>
      <c r="B491" s="125"/>
      <c r="C491" s="125"/>
      <c r="D491" s="125"/>
      <c r="E491" s="126"/>
      <c r="F491" s="126"/>
      <c r="G491" s="126"/>
      <c r="H491" s="125"/>
    </row>
    <row r="492">
      <c r="A492" s="125"/>
      <c r="B492" s="125"/>
      <c r="C492" s="125"/>
      <c r="D492" s="125"/>
      <c r="E492" s="126"/>
      <c r="F492" s="126"/>
      <c r="G492" s="126"/>
      <c r="H492" s="125"/>
    </row>
    <row r="493">
      <c r="A493" s="125"/>
      <c r="B493" s="125"/>
      <c r="C493" s="125"/>
      <c r="D493" s="125"/>
      <c r="E493" s="126"/>
      <c r="F493" s="126"/>
      <c r="G493" s="126"/>
      <c r="H493" s="125"/>
    </row>
    <row r="494">
      <c r="A494" s="125"/>
      <c r="B494" s="125"/>
      <c r="C494" s="125"/>
      <c r="D494" s="125"/>
      <c r="E494" s="126"/>
      <c r="F494" s="126"/>
      <c r="G494" s="126"/>
      <c r="H494" s="125"/>
    </row>
    <row r="495">
      <c r="A495" s="125"/>
      <c r="B495" s="125"/>
      <c r="C495" s="125"/>
      <c r="D495" s="125"/>
      <c r="E495" s="126"/>
      <c r="F495" s="126"/>
      <c r="G495" s="126"/>
      <c r="H495" s="125"/>
    </row>
    <row r="496">
      <c r="A496" s="125"/>
      <c r="B496" s="125"/>
      <c r="C496" s="125"/>
      <c r="D496" s="125"/>
      <c r="E496" s="126"/>
      <c r="F496" s="126"/>
      <c r="G496" s="126"/>
      <c r="H496" s="125"/>
    </row>
    <row r="497">
      <c r="A497" s="125"/>
      <c r="B497" s="125"/>
      <c r="C497" s="125"/>
      <c r="D497" s="125"/>
      <c r="E497" s="126"/>
      <c r="F497" s="126"/>
      <c r="G497" s="126"/>
      <c r="H497" s="125"/>
    </row>
    <row r="498">
      <c r="A498" s="125"/>
      <c r="B498" s="125"/>
      <c r="C498" s="125"/>
      <c r="D498" s="125"/>
      <c r="E498" s="126"/>
      <c r="F498" s="126"/>
      <c r="G498" s="126"/>
      <c r="H498" s="125"/>
    </row>
    <row r="499">
      <c r="A499" s="125"/>
      <c r="B499" s="125"/>
      <c r="C499" s="125"/>
      <c r="D499" s="125"/>
      <c r="E499" s="126"/>
      <c r="F499" s="126"/>
      <c r="G499" s="126"/>
      <c r="H499" s="125"/>
    </row>
    <row r="500">
      <c r="A500" s="125"/>
      <c r="B500" s="125"/>
      <c r="C500" s="125"/>
      <c r="D500" s="125"/>
      <c r="E500" s="126"/>
      <c r="F500" s="126"/>
      <c r="G500" s="126"/>
      <c r="H500" s="125"/>
    </row>
    <row r="501">
      <c r="A501" s="125"/>
      <c r="B501" s="125"/>
      <c r="C501" s="125"/>
      <c r="D501" s="125"/>
      <c r="E501" s="126"/>
      <c r="F501" s="126"/>
      <c r="G501" s="126"/>
      <c r="H501" s="125"/>
    </row>
    <row r="502">
      <c r="A502" s="125"/>
      <c r="B502" s="125"/>
      <c r="C502" s="125"/>
      <c r="D502" s="125"/>
      <c r="E502" s="126"/>
      <c r="F502" s="126"/>
      <c r="G502" s="126"/>
      <c r="H502" s="125"/>
    </row>
    <row r="503">
      <c r="A503" s="125"/>
      <c r="B503" s="125"/>
      <c r="C503" s="125"/>
      <c r="D503" s="125"/>
      <c r="E503" s="126"/>
      <c r="F503" s="126"/>
      <c r="G503" s="126"/>
      <c r="H503" s="125"/>
    </row>
    <row r="504">
      <c r="A504" s="125"/>
      <c r="B504" s="125"/>
      <c r="C504" s="125"/>
      <c r="D504" s="125"/>
      <c r="E504" s="126"/>
      <c r="F504" s="126"/>
      <c r="G504" s="126"/>
      <c r="H504" s="125"/>
    </row>
    <row r="505">
      <c r="A505" s="125"/>
      <c r="B505" s="125"/>
      <c r="C505" s="125"/>
      <c r="D505" s="125"/>
      <c r="E505" s="126"/>
      <c r="F505" s="126"/>
      <c r="G505" s="126"/>
      <c r="H505" s="125"/>
    </row>
    <row r="506">
      <c r="A506" s="125"/>
      <c r="B506" s="125"/>
      <c r="C506" s="125"/>
      <c r="D506" s="125"/>
      <c r="E506" s="126"/>
      <c r="F506" s="126"/>
      <c r="G506" s="126"/>
      <c r="H506" s="125"/>
    </row>
    <row r="507">
      <c r="A507" s="125"/>
      <c r="B507" s="125"/>
      <c r="C507" s="125"/>
      <c r="D507" s="125"/>
      <c r="E507" s="126"/>
      <c r="F507" s="126"/>
      <c r="G507" s="126"/>
      <c r="H507" s="125"/>
    </row>
    <row r="508">
      <c r="A508" s="125"/>
      <c r="B508" s="125"/>
      <c r="C508" s="125"/>
      <c r="D508" s="125"/>
      <c r="E508" s="126"/>
      <c r="F508" s="126"/>
      <c r="G508" s="126"/>
      <c r="H508" s="125"/>
    </row>
    <row r="509">
      <c r="A509" s="125"/>
      <c r="B509" s="125"/>
      <c r="C509" s="125"/>
      <c r="D509" s="125"/>
      <c r="E509" s="126"/>
      <c r="F509" s="126"/>
      <c r="G509" s="126"/>
      <c r="H509" s="125"/>
    </row>
    <row r="510">
      <c r="A510" s="125"/>
      <c r="B510" s="125"/>
      <c r="C510" s="125"/>
      <c r="D510" s="125"/>
      <c r="E510" s="126"/>
      <c r="F510" s="126"/>
      <c r="G510" s="126"/>
      <c r="H510" s="125"/>
    </row>
    <row r="511">
      <c r="A511" s="125"/>
      <c r="B511" s="125"/>
      <c r="C511" s="125"/>
      <c r="D511" s="125"/>
      <c r="E511" s="126"/>
      <c r="F511" s="126"/>
      <c r="G511" s="126"/>
      <c r="H511" s="125"/>
    </row>
    <row r="512">
      <c r="A512" s="125"/>
      <c r="B512" s="125"/>
      <c r="C512" s="125"/>
      <c r="D512" s="125"/>
      <c r="E512" s="126"/>
      <c r="F512" s="126"/>
      <c r="G512" s="126"/>
      <c r="H512" s="125"/>
    </row>
    <row r="513">
      <c r="A513" s="125"/>
      <c r="B513" s="125"/>
      <c r="C513" s="125"/>
      <c r="D513" s="125"/>
      <c r="E513" s="126"/>
      <c r="F513" s="126"/>
      <c r="G513" s="126"/>
      <c r="H513" s="125"/>
    </row>
    <row r="514">
      <c r="A514" s="125"/>
      <c r="B514" s="125"/>
      <c r="C514" s="125"/>
      <c r="D514" s="125"/>
      <c r="E514" s="126"/>
      <c r="F514" s="126"/>
      <c r="G514" s="126"/>
      <c r="H514" s="125"/>
    </row>
    <row r="515">
      <c r="A515" s="125"/>
      <c r="B515" s="125"/>
      <c r="C515" s="125"/>
      <c r="D515" s="125"/>
      <c r="E515" s="126"/>
      <c r="F515" s="126"/>
      <c r="G515" s="126"/>
      <c r="H515" s="125"/>
    </row>
    <row r="516">
      <c r="A516" s="125"/>
      <c r="B516" s="125"/>
      <c r="C516" s="125"/>
      <c r="D516" s="125"/>
      <c r="E516" s="126"/>
      <c r="F516" s="126"/>
      <c r="G516" s="126"/>
      <c r="H516" s="125"/>
    </row>
    <row r="517">
      <c r="A517" s="125"/>
      <c r="B517" s="125"/>
      <c r="C517" s="125"/>
      <c r="D517" s="125"/>
      <c r="E517" s="126"/>
      <c r="F517" s="126"/>
      <c r="G517" s="126"/>
      <c r="H517" s="125"/>
    </row>
    <row r="518">
      <c r="A518" s="125"/>
      <c r="B518" s="125"/>
      <c r="C518" s="125"/>
      <c r="D518" s="125"/>
      <c r="E518" s="126"/>
      <c r="F518" s="126"/>
      <c r="G518" s="126"/>
      <c r="H518" s="125"/>
    </row>
    <row r="519">
      <c r="A519" s="125"/>
      <c r="B519" s="125"/>
      <c r="C519" s="125"/>
      <c r="D519" s="125"/>
      <c r="E519" s="126"/>
      <c r="F519" s="126"/>
      <c r="G519" s="126"/>
      <c r="H519" s="125"/>
    </row>
    <row r="520">
      <c r="A520" s="125"/>
      <c r="B520" s="125"/>
      <c r="C520" s="125"/>
      <c r="D520" s="125"/>
      <c r="E520" s="126"/>
      <c r="F520" s="126"/>
      <c r="G520" s="126"/>
      <c r="H520" s="125"/>
    </row>
    <row r="521">
      <c r="A521" s="125"/>
      <c r="B521" s="125"/>
      <c r="C521" s="125"/>
      <c r="D521" s="125"/>
      <c r="E521" s="126"/>
      <c r="F521" s="126"/>
      <c r="G521" s="126"/>
      <c r="H521" s="125"/>
    </row>
    <row r="522">
      <c r="A522" s="125"/>
      <c r="B522" s="125"/>
      <c r="C522" s="125"/>
      <c r="D522" s="125"/>
      <c r="E522" s="126"/>
      <c r="F522" s="126"/>
      <c r="G522" s="126"/>
      <c r="H522" s="125"/>
    </row>
    <row r="523">
      <c r="A523" s="125"/>
      <c r="B523" s="125"/>
      <c r="C523" s="125"/>
      <c r="D523" s="125"/>
      <c r="E523" s="126"/>
      <c r="F523" s="126"/>
      <c r="G523" s="126"/>
      <c r="H523" s="125"/>
    </row>
    <row r="524">
      <c r="A524" s="125"/>
      <c r="B524" s="125"/>
      <c r="C524" s="125"/>
      <c r="D524" s="125"/>
      <c r="E524" s="126"/>
      <c r="F524" s="126"/>
      <c r="G524" s="126"/>
      <c r="H524" s="125"/>
    </row>
    <row r="525">
      <c r="A525" s="125"/>
      <c r="B525" s="125"/>
      <c r="C525" s="125"/>
      <c r="D525" s="125"/>
      <c r="E525" s="126"/>
      <c r="F525" s="126"/>
      <c r="G525" s="126"/>
      <c r="H525" s="125"/>
    </row>
    <row r="526">
      <c r="A526" s="125"/>
      <c r="B526" s="125"/>
      <c r="C526" s="125"/>
      <c r="D526" s="125"/>
      <c r="E526" s="126"/>
      <c r="F526" s="126"/>
      <c r="G526" s="126"/>
      <c r="H526" s="125"/>
    </row>
    <row r="527">
      <c r="A527" s="125"/>
      <c r="B527" s="125"/>
      <c r="C527" s="125"/>
      <c r="D527" s="125"/>
      <c r="E527" s="126"/>
      <c r="F527" s="126"/>
      <c r="G527" s="126"/>
      <c r="H527" s="125"/>
    </row>
    <row r="528">
      <c r="A528" s="125"/>
      <c r="B528" s="125"/>
      <c r="C528" s="125"/>
      <c r="D528" s="125"/>
      <c r="E528" s="126"/>
      <c r="F528" s="126"/>
      <c r="G528" s="126"/>
      <c r="H528" s="125"/>
    </row>
    <row r="529">
      <c r="A529" s="125"/>
      <c r="B529" s="125"/>
      <c r="C529" s="125"/>
      <c r="D529" s="125"/>
      <c r="E529" s="126"/>
      <c r="F529" s="126"/>
      <c r="G529" s="126"/>
      <c r="H529" s="125"/>
    </row>
    <row r="530">
      <c r="A530" s="125"/>
      <c r="B530" s="125"/>
      <c r="C530" s="125"/>
      <c r="D530" s="125"/>
      <c r="E530" s="126"/>
      <c r="F530" s="126"/>
      <c r="G530" s="126"/>
      <c r="H530" s="125"/>
    </row>
    <row r="531">
      <c r="A531" s="125"/>
      <c r="B531" s="125"/>
      <c r="C531" s="125"/>
      <c r="D531" s="125"/>
      <c r="E531" s="126"/>
      <c r="F531" s="126"/>
      <c r="G531" s="126"/>
      <c r="H531" s="125"/>
    </row>
    <row r="532">
      <c r="A532" s="125"/>
      <c r="B532" s="125"/>
      <c r="C532" s="125"/>
      <c r="D532" s="125"/>
      <c r="E532" s="126"/>
      <c r="F532" s="126"/>
      <c r="G532" s="126"/>
      <c r="H532" s="125"/>
    </row>
    <row r="533">
      <c r="A533" s="125"/>
      <c r="B533" s="125"/>
      <c r="C533" s="125"/>
      <c r="D533" s="125"/>
      <c r="E533" s="126"/>
      <c r="F533" s="126"/>
      <c r="G533" s="126"/>
      <c r="H533" s="125"/>
    </row>
    <row r="534">
      <c r="A534" s="125"/>
      <c r="B534" s="125"/>
      <c r="C534" s="125"/>
      <c r="D534" s="125"/>
      <c r="E534" s="126"/>
      <c r="F534" s="126"/>
      <c r="G534" s="126"/>
      <c r="H534" s="125"/>
    </row>
    <row r="535">
      <c r="A535" s="125"/>
      <c r="B535" s="125"/>
      <c r="C535" s="125"/>
      <c r="D535" s="125"/>
      <c r="E535" s="126"/>
      <c r="F535" s="126"/>
      <c r="G535" s="126"/>
      <c r="H535" s="125"/>
    </row>
    <row r="536">
      <c r="A536" s="125"/>
      <c r="B536" s="125"/>
      <c r="C536" s="125"/>
      <c r="D536" s="125"/>
      <c r="E536" s="126"/>
      <c r="F536" s="126"/>
      <c r="G536" s="126"/>
      <c r="H536" s="125"/>
    </row>
    <row r="537">
      <c r="A537" s="125"/>
      <c r="B537" s="125"/>
      <c r="C537" s="125"/>
      <c r="D537" s="125"/>
      <c r="E537" s="126"/>
      <c r="F537" s="126"/>
      <c r="G537" s="126"/>
      <c r="H537" s="125"/>
    </row>
    <row r="538">
      <c r="A538" s="125"/>
      <c r="B538" s="125"/>
      <c r="C538" s="125"/>
      <c r="D538" s="125"/>
      <c r="E538" s="126"/>
      <c r="F538" s="126"/>
      <c r="G538" s="126"/>
      <c r="H538" s="125"/>
    </row>
    <row r="539">
      <c r="A539" s="125"/>
      <c r="B539" s="125"/>
      <c r="C539" s="125"/>
      <c r="D539" s="125"/>
      <c r="E539" s="126"/>
      <c r="F539" s="126"/>
      <c r="G539" s="126"/>
      <c r="H539" s="125"/>
    </row>
    <row r="540">
      <c r="A540" s="125"/>
      <c r="B540" s="125"/>
      <c r="C540" s="125"/>
      <c r="D540" s="125"/>
      <c r="E540" s="126"/>
      <c r="F540" s="126"/>
      <c r="G540" s="126"/>
      <c r="H540" s="125"/>
    </row>
    <row r="541">
      <c r="A541" s="125"/>
      <c r="B541" s="125"/>
      <c r="C541" s="125"/>
      <c r="D541" s="125"/>
      <c r="E541" s="126"/>
      <c r="F541" s="126"/>
      <c r="G541" s="126"/>
      <c r="H541" s="125"/>
    </row>
    <row r="542">
      <c r="A542" s="125"/>
      <c r="B542" s="125"/>
      <c r="C542" s="125"/>
      <c r="D542" s="125"/>
      <c r="E542" s="126"/>
      <c r="F542" s="126"/>
      <c r="G542" s="126"/>
      <c r="H542" s="125"/>
    </row>
    <row r="543">
      <c r="A543" s="125"/>
      <c r="B543" s="125"/>
      <c r="C543" s="125"/>
      <c r="D543" s="125"/>
      <c r="E543" s="126"/>
      <c r="F543" s="126"/>
      <c r="G543" s="126"/>
      <c r="H543" s="125"/>
    </row>
    <row r="544">
      <c r="A544" s="125"/>
      <c r="B544" s="125"/>
      <c r="C544" s="125"/>
      <c r="D544" s="125"/>
      <c r="E544" s="126"/>
      <c r="F544" s="126"/>
      <c r="G544" s="126"/>
      <c r="H544" s="125"/>
    </row>
    <row r="545">
      <c r="A545" s="125"/>
      <c r="B545" s="125"/>
      <c r="C545" s="125"/>
      <c r="D545" s="125"/>
      <c r="E545" s="126"/>
      <c r="F545" s="126"/>
      <c r="G545" s="126"/>
      <c r="H545" s="125"/>
    </row>
    <row r="546">
      <c r="A546" s="125"/>
      <c r="B546" s="125"/>
      <c r="C546" s="125"/>
      <c r="D546" s="125"/>
      <c r="E546" s="126"/>
      <c r="F546" s="126"/>
      <c r="G546" s="126"/>
      <c r="H546" s="125"/>
    </row>
    <row r="547">
      <c r="A547" s="125"/>
      <c r="B547" s="125"/>
      <c r="C547" s="125"/>
      <c r="D547" s="125"/>
      <c r="E547" s="126"/>
      <c r="F547" s="126"/>
      <c r="G547" s="126"/>
      <c r="H547" s="125"/>
    </row>
    <row r="548">
      <c r="A548" s="125"/>
      <c r="B548" s="125"/>
      <c r="C548" s="125"/>
      <c r="D548" s="125"/>
      <c r="E548" s="126"/>
      <c r="F548" s="126"/>
      <c r="G548" s="126"/>
      <c r="H548" s="125"/>
    </row>
    <row r="549">
      <c r="A549" s="125"/>
      <c r="B549" s="125"/>
      <c r="C549" s="125"/>
      <c r="D549" s="125"/>
      <c r="E549" s="126"/>
      <c r="F549" s="126"/>
      <c r="G549" s="126"/>
      <c r="H549" s="125"/>
    </row>
    <row r="550">
      <c r="A550" s="125"/>
      <c r="B550" s="125"/>
      <c r="C550" s="125"/>
      <c r="D550" s="125"/>
      <c r="E550" s="126"/>
      <c r="F550" s="126"/>
      <c r="G550" s="126"/>
      <c r="H550" s="125"/>
    </row>
    <row r="551">
      <c r="A551" s="125"/>
      <c r="B551" s="125"/>
      <c r="C551" s="125"/>
      <c r="D551" s="125"/>
      <c r="E551" s="126"/>
      <c r="F551" s="126"/>
      <c r="G551" s="126"/>
      <c r="H551" s="125"/>
    </row>
    <row r="552">
      <c r="A552" s="125"/>
      <c r="B552" s="125"/>
      <c r="C552" s="125"/>
      <c r="D552" s="125"/>
      <c r="E552" s="126"/>
      <c r="F552" s="126"/>
      <c r="G552" s="126"/>
      <c r="H552" s="125"/>
    </row>
    <row r="553">
      <c r="A553" s="125"/>
      <c r="B553" s="125"/>
      <c r="C553" s="125"/>
      <c r="D553" s="125"/>
      <c r="E553" s="126"/>
      <c r="F553" s="126"/>
      <c r="G553" s="126"/>
      <c r="H553" s="125"/>
    </row>
    <row r="554">
      <c r="A554" s="125"/>
      <c r="B554" s="125"/>
      <c r="C554" s="125"/>
      <c r="D554" s="125"/>
      <c r="E554" s="126"/>
      <c r="F554" s="126"/>
      <c r="G554" s="126"/>
      <c r="H554" s="125"/>
    </row>
    <row r="555">
      <c r="A555" s="125"/>
      <c r="B555" s="125"/>
      <c r="C555" s="125"/>
      <c r="D555" s="125"/>
      <c r="E555" s="126"/>
      <c r="F555" s="126"/>
      <c r="G555" s="126"/>
      <c r="H555" s="125"/>
    </row>
    <row r="556">
      <c r="A556" s="125"/>
      <c r="B556" s="125"/>
      <c r="C556" s="125"/>
      <c r="D556" s="125"/>
      <c r="E556" s="126"/>
      <c r="F556" s="126"/>
      <c r="G556" s="126"/>
      <c r="H556" s="125"/>
    </row>
    <row r="557">
      <c r="A557" s="125"/>
      <c r="B557" s="125"/>
      <c r="C557" s="125"/>
      <c r="D557" s="125"/>
      <c r="E557" s="126"/>
      <c r="F557" s="126"/>
      <c r="G557" s="126"/>
      <c r="H557" s="125"/>
    </row>
    <row r="558">
      <c r="A558" s="125"/>
      <c r="B558" s="125"/>
      <c r="C558" s="125"/>
      <c r="D558" s="125"/>
      <c r="E558" s="126"/>
      <c r="F558" s="126"/>
      <c r="G558" s="126"/>
      <c r="H558" s="125"/>
    </row>
    <row r="559">
      <c r="A559" s="125"/>
      <c r="B559" s="125"/>
      <c r="C559" s="125"/>
      <c r="D559" s="125"/>
      <c r="E559" s="126"/>
      <c r="F559" s="126"/>
      <c r="G559" s="126"/>
      <c r="H559" s="125"/>
    </row>
    <row r="560">
      <c r="A560" s="125"/>
      <c r="B560" s="125"/>
      <c r="C560" s="125"/>
      <c r="D560" s="125"/>
      <c r="E560" s="126"/>
      <c r="F560" s="126"/>
      <c r="G560" s="126"/>
      <c r="H560" s="125"/>
    </row>
    <row r="561">
      <c r="A561" s="125"/>
      <c r="B561" s="125"/>
      <c r="C561" s="125"/>
      <c r="D561" s="125"/>
      <c r="E561" s="126"/>
      <c r="F561" s="126"/>
      <c r="G561" s="126"/>
      <c r="H561" s="125"/>
    </row>
    <row r="562">
      <c r="A562" s="125"/>
      <c r="B562" s="125"/>
      <c r="C562" s="125"/>
      <c r="D562" s="125"/>
      <c r="E562" s="126"/>
      <c r="F562" s="126"/>
      <c r="G562" s="126"/>
      <c r="H562" s="125"/>
    </row>
    <row r="563">
      <c r="A563" s="125"/>
      <c r="B563" s="125"/>
      <c r="C563" s="125"/>
      <c r="D563" s="125"/>
      <c r="E563" s="126"/>
      <c r="F563" s="126"/>
      <c r="G563" s="126"/>
      <c r="H563" s="125"/>
    </row>
    <row r="564">
      <c r="A564" s="125"/>
      <c r="B564" s="125"/>
      <c r="C564" s="125"/>
      <c r="D564" s="125"/>
      <c r="E564" s="126"/>
      <c r="F564" s="126"/>
      <c r="G564" s="126"/>
      <c r="H564" s="125"/>
    </row>
    <row r="565">
      <c r="A565" s="125"/>
      <c r="B565" s="125"/>
      <c r="C565" s="125"/>
      <c r="D565" s="125"/>
      <c r="E565" s="126"/>
      <c r="F565" s="126"/>
      <c r="G565" s="126"/>
      <c r="H565" s="125"/>
    </row>
    <row r="566">
      <c r="A566" s="125"/>
      <c r="B566" s="125"/>
      <c r="C566" s="125"/>
      <c r="D566" s="125"/>
      <c r="E566" s="126"/>
      <c r="F566" s="126"/>
      <c r="G566" s="126"/>
      <c r="H566" s="125"/>
    </row>
    <row r="567">
      <c r="A567" s="125"/>
      <c r="B567" s="125"/>
      <c r="C567" s="125"/>
      <c r="D567" s="125"/>
      <c r="E567" s="126"/>
      <c r="F567" s="126"/>
      <c r="G567" s="126"/>
      <c r="H567" s="125"/>
    </row>
    <row r="568">
      <c r="A568" s="125"/>
      <c r="B568" s="125"/>
      <c r="C568" s="125"/>
      <c r="D568" s="125"/>
      <c r="E568" s="126"/>
      <c r="F568" s="126"/>
      <c r="G568" s="126"/>
      <c r="H568" s="125"/>
    </row>
    <row r="569">
      <c r="A569" s="125"/>
      <c r="B569" s="125"/>
      <c r="C569" s="125"/>
      <c r="D569" s="125"/>
      <c r="E569" s="126"/>
      <c r="F569" s="126"/>
      <c r="G569" s="126"/>
      <c r="H569" s="125"/>
    </row>
    <row r="570">
      <c r="A570" s="125"/>
      <c r="B570" s="125"/>
      <c r="C570" s="125"/>
      <c r="D570" s="125"/>
      <c r="E570" s="126"/>
      <c r="F570" s="126"/>
      <c r="G570" s="126"/>
      <c r="H570" s="125"/>
    </row>
    <row r="571">
      <c r="A571" s="125"/>
      <c r="B571" s="125"/>
      <c r="C571" s="125"/>
      <c r="D571" s="125"/>
      <c r="E571" s="126"/>
      <c r="F571" s="126"/>
      <c r="G571" s="126"/>
      <c r="H571" s="125"/>
    </row>
    <row r="572">
      <c r="A572" s="125"/>
      <c r="B572" s="125"/>
      <c r="C572" s="125"/>
      <c r="D572" s="125"/>
      <c r="E572" s="126"/>
      <c r="F572" s="126"/>
      <c r="G572" s="126"/>
      <c r="H572" s="125"/>
    </row>
    <row r="573">
      <c r="A573" s="125"/>
      <c r="B573" s="125"/>
      <c r="C573" s="125"/>
      <c r="D573" s="125"/>
      <c r="E573" s="126"/>
      <c r="F573" s="126"/>
      <c r="G573" s="126"/>
      <c r="H573" s="125"/>
    </row>
    <row r="574">
      <c r="A574" s="125"/>
      <c r="B574" s="125"/>
      <c r="C574" s="125"/>
      <c r="D574" s="125"/>
      <c r="E574" s="126"/>
      <c r="F574" s="126"/>
      <c r="G574" s="126"/>
      <c r="H574" s="125"/>
    </row>
    <row r="575">
      <c r="A575" s="125"/>
      <c r="B575" s="125"/>
      <c r="C575" s="125"/>
      <c r="D575" s="125"/>
      <c r="E575" s="126"/>
      <c r="F575" s="126"/>
      <c r="G575" s="126"/>
      <c r="H575" s="125"/>
    </row>
    <row r="576">
      <c r="A576" s="125"/>
      <c r="B576" s="125"/>
      <c r="C576" s="125"/>
      <c r="D576" s="125"/>
      <c r="E576" s="126"/>
      <c r="F576" s="126"/>
      <c r="G576" s="126"/>
      <c r="H576" s="125"/>
    </row>
    <row r="577">
      <c r="A577" s="125"/>
      <c r="B577" s="125"/>
      <c r="C577" s="125"/>
      <c r="D577" s="125"/>
      <c r="E577" s="126"/>
      <c r="F577" s="126"/>
      <c r="G577" s="126"/>
      <c r="H577" s="125"/>
    </row>
    <row r="578">
      <c r="A578" s="125"/>
      <c r="B578" s="125"/>
      <c r="C578" s="125"/>
      <c r="D578" s="125"/>
      <c r="E578" s="126"/>
      <c r="F578" s="126"/>
      <c r="G578" s="126"/>
      <c r="H578" s="125"/>
    </row>
    <row r="579">
      <c r="A579" s="125"/>
      <c r="B579" s="125"/>
      <c r="C579" s="125"/>
      <c r="D579" s="125"/>
      <c r="E579" s="126"/>
      <c r="F579" s="126"/>
      <c r="G579" s="126"/>
      <c r="H579" s="125"/>
    </row>
    <row r="580">
      <c r="A580" s="125"/>
      <c r="B580" s="125"/>
      <c r="C580" s="125"/>
      <c r="D580" s="125"/>
      <c r="E580" s="126"/>
      <c r="F580" s="126"/>
      <c r="G580" s="126"/>
      <c r="H580" s="125"/>
    </row>
    <row r="581">
      <c r="A581" s="125"/>
      <c r="B581" s="125"/>
      <c r="C581" s="125"/>
      <c r="D581" s="125"/>
      <c r="E581" s="126"/>
      <c r="F581" s="126"/>
      <c r="G581" s="126"/>
      <c r="H581" s="125"/>
    </row>
    <row r="582">
      <c r="A582" s="125"/>
      <c r="B582" s="125"/>
      <c r="C582" s="125"/>
      <c r="D582" s="125"/>
      <c r="E582" s="126"/>
      <c r="F582" s="126"/>
      <c r="G582" s="126"/>
      <c r="H582" s="125"/>
    </row>
    <row r="583">
      <c r="A583" s="125"/>
      <c r="B583" s="125"/>
      <c r="C583" s="125"/>
      <c r="D583" s="125"/>
      <c r="E583" s="126"/>
      <c r="F583" s="126"/>
      <c r="G583" s="126"/>
      <c r="H583" s="125"/>
    </row>
    <row r="584">
      <c r="A584" s="125"/>
      <c r="B584" s="125"/>
      <c r="C584" s="125"/>
      <c r="D584" s="125"/>
      <c r="E584" s="126"/>
      <c r="F584" s="126"/>
      <c r="G584" s="126"/>
      <c r="H584" s="125"/>
    </row>
    <row r="585">
      <c r="A585" s="125"/>
      <c r="B585" s="125"/>
      <c r="C585" s="125"/>
      <c r="D585" s="125"/>
      <c r="E585" s="126"/>
      <c r="F585" s="126"/>
      <c r="G585" s="126"/>
      <c r="H585" s="125"/>
    </row>
    <row r="586">
      <c r="A586" s="125"/>
      <c r="B586" s="125"/>
      <c r="C586" s="125"/>
      <c r="D586" s="125"/>
      <c r="E586" s="126"/>
      <c r="F586" s="126"/>
      <c r="G586" s="126"/>
      <c r="H586" s="125"/>
    </row>
    <row r="587">
      <c r="A587" s="125"/>
      <c r="B587" s="125"/>
      <c r="C587" s="125"/>
      <c r="D587" s="125"/>
      <c r="E587" s="126"/>
      <c r="F587" s="126"/>
      <c r="G587" s="126"/>
      <c r="H587" s="125"/>
    </row>
    <row r="588">
      <c r="A588" s="125"/>
      <c r="B588" s="125"/>
      <c r="C588" s="125"/>
      <c r="D588" s="125"/>
      <c r="E588" s="126"/>
      <c r="F588" s="126"/>
      <c r="G588" s="126"/>
      <c r="H588" s="125"/>
    </row>
    <row r="589">
      <c r="A589" s="125"/>
      <c r="B589" s="125"/>
      <c r="C589" s="125"/>
      <c r="D589" s="125"/>
      <c r="E589" s="126"/>
      <c r="F589" s="126"/>
      <c r="G589" s="126"/>
      <c r="H589" s="125"/>
    </row>
    <row r="590">
      <c r="A590" s="125"/>
      <c r="B590" s="125"/>
      <c r="C590" s="125"/>
      <c r="D590" s="125"/>
      <c r="E590" s="126"/>
      <c r="F590" s="126"/>
      <c r="G590" s="126"/>
      <c r="H590" s="125"/>
    </row>
    <row r="591">
      <c r="A591" s="125"/>
      <c r="B591" s="125"/>
      <c r="C591" s="125"/>
      <c r="D591" s="125"/>
      <c r="E591" s="126"/>
      <c r="F591" s="126"/>
      <c r="G591" s="126"/>
      <c r="H591" s="125"/>
    </row>
    <row r="592">
      <c r="A592" s="125"/>
      <c r="B592" s="125"/>
      <c r="C592" s="125"/>
      <c r="D592" s="125"/>
      <c r="E592" s="126"/>
      <c r="F592" s="126"/>
      <c r="G592" s="126"/>
      <c r="H592" s="125"/>
    </row>
    <row r="593">
      <c r="A593" s="125"/>
      <c r="B593" s="125"/>
      <c r="C593" s="125"/>
      <c r="D593" s="125"/>
      <c r="E593" s="126"/>
      <c r="F593" s="126"/>
      <c r="G593" s="126"/>
      <c r="H593" s="125"/>
    </row>
    <row r="594">
      <c r="A594" s="125"/>
      <c r="B594" s="125"/>
      <c r="C594" s="125"/>
      <c r="D594" s="125"/>
      <c r="E594" s="126"/>
      <c r="F594" s="126"/>
      <c r="G594" s="126"/>
      <c r="H594" s="125"/>
    </row>
    <row r="595">
      <c r="A595" s="125"/>
      <c r="B595" s="125"/>
      <c r="C595" s="125"/>
      <c r="D595" s="125"/>
      <c r="E595" s="126"/>
      <c r="F595" s="126"/>
      <c r="G595" s="126"/>
      <c r="H595" s="125"/>
    </row>
    <row r="596">
      <c r="A596" s="125"/>
      <c r="B596" s="125"/>
      <c r="C596" s="125"/>
      <c r="D596" s="125"/>
      <c r="E596" s="126"/>
      <c r="F596" s="126"/>
      <c r="G596" s="126"/>
      <c r="H596" s="125"/>
    </row>
    <row r="597">
      <c r="A597" s="125"/>
      <c r="B597" s="125"/>
      <c r="C597" s="125"/>
      <c r="D597" s="125"/>
      <c r="E597" s="126"/>
      <c r="F597" s="126"/>
      <c r="G597" s="126"/>
      <c r="H597" s="125"/>
    </row>
    <row r="598">
      <c r="A598" s="125"/>
      <c r="B598" s="125"/>
      <c r="C598" s="125"/>
      <c r="D598" s="125"/>
      <c r="E598" s="126"/>
      <c r="F598" s="126"/>
      <c r="G598" s="126"/>
      <c r="H598" s="125"/>
    </row>
    <row r="599">
      <c r="A599" s="125"/>
      <c r="B599" s="125"/>
      <c r="C599" s="125"/>
      <c r="D599" s="125"/>
      <c r="E599" s="126"/>
      <c r="F599" s="126"/>
      <c r="G599" s="126"/>
      <c r="H599" s="125"/>
    </row>
    <row r="600">
      <c r="A600" s="125"/>
      <c r="B600" s="125"/>
      <c r="C600" s="125"/>
      <c r="D600" s="125"/>
      <c r="E600" s="126"/>
      <c r="F600" s="126"/>
      <c r="G600" s="126"/>
      <c r="H600" s="125"/>
    </row>
    <row r="601">
      <c r="A601" s="125"/>
      <c r="B601" s="125"/>
      <c r="C601" s="125"/>
      <c r="D601" s="125"/>
      <c r="E601" s="126"/>
      <c r="F601" s="126"/>
      <c r="G601" s="126"/>
      <c r="H601" s="125"/>
    </row>
    <row r="602">
      <c r="A602" s="125"/>
      <c r="B602" s="125"/>
      <c r="C602" s="125"/>
      <c r="D602" s="125"/>
      <c r="E602" s="126"/>
      <c r="F602" s="126"/>
      <c r="G602" s="126"/>
      <c r="H602" s="125"/>
    </row>
    <row r="603">
      <c r="A603" s="125"/>
      <c r="B603" s="125"/>
      <c r="C603" s="125"/>
      <c r="D603" s="125"/>
      <c r="E603" s="126"/>
      <c r="F603" s="126"/>
      <c r="G603" s="126"/>
      <c r="H603" s="125"/>
    </row>
    <row r="604">
      <c r="A604" s="125"/>
      <c r="B604" s="125"/>
      <c r="C604" s="125"/>
      <c r="D604" s="125"/>
      <c r="E604" s="126"/>
      <c r="F604" s="126"/>
      <c r="G604" s="126"/>
      <c r="H604" s="125"/>
    </row>
    <row r="605">
      <c r="A605" s="125"/>
      <c r="B605" s="125"/>
      <c r="C605" s="125"/>
      <c r="D605" s="125"/>
      <c r="E605" s="126"/>
      <c r="F605" s="126"/>
      <c r="G605" s="126"/>
      <c r="H605" s="125"/>
    </row>
    <row r="606">
      <c r="A606" s="125"/>
      <c r="B606" s="125"/>
      <c r="C606" s="125"/>
      <c r="D606" s="125"/>
      <c r="E606" s="126"/>
      <c r="F606" s="126"/>
      <c r="G606" s="126"/>
      <c r="H606" s="125"/>
    </row>
    <row r="607">
      <c r="A607" s="125"/>
      <c r="B607" s="125"/>
      <c r="C607" s="125"/>
      <c r="D607" s="125"/>
      <c r="E607" s="126"/>
      <c r="F607" s="126"/>
      <c r="G607" s="126"/>
      <c r="H607" s="125"/>
    </row>
    <row r="608">
      <c r="A608" s="125"/>
      <c r="B608" s="125"/>
      <c r="C608" s="125"/>
      <c r="D608" s="125"/>
      <c r="E608" s="126"/>
      <c r="F608" s="126"/>
      <c r="G608" s="126"/>
      <c r="H608" s="125"/>
    </row>
    <row r="609">
      <c r="A609" s="125"/>
      <c r="B609" s="125"/>
      <c r="C609" s="125"/>
      <c r="D609" s="125"/>
      <c r="E609" s="126"/>
      <c r="F609" s="126"/>
      <c r="G609" s="126"/>
      <c r="H609" s="125"/>
    </row>
    <row r="610">
      <c r="A610" s="125"/>
      <c r="B610" s="125"/>
      <c r="C610" s="125"/>
      <c r="D610" s="125"/>
      <c r="E610" s="126"/>
      <c r="F610" s="126"/>
      <c r="G610" s="126"/>
      <c r="H610" s="125"/>
    </row>
    <row r="611">
      <c r="A611" s="125"/>
      <c r="B611" s="125"/>
      <c r="C611" s="125"/>
      <c r="D611" s="125"/>
      <c r="E611" s="126"/>
      <c r="F611" s="126"/>
      <c r="G611" s="126"/>
      <c r="H611" s="125"/>
    </row>
    <row r="612">
      <c r="A612" s="125"/>
      <c r="B612" s="125"/>
      <c r="C612" s="125"/>
      <c r="D612" s="125"/>
      <c r="E612" s="126"/>
      <c r="F612" s="126"/>
      <c r="G612" s="126"/>
      <c r="H612" s="125"/>
    </row>
    <row r="613">
      <c r="A613" s="125"/>
      <c r="B613" s="125"/>
      <c r="C613" s="125"/>
      <c r="D613" s="125"/>
      <c r="E613" s="126"/>
      <c r="F613" s="126"/>
      <c r="G613" s="126"/>
      <c r="H613" s="125"/>
    </row>
    <row r="614">
      <c r="A614" s="125"/>
      <c r="B614" s="125"/>
      <c r="C614" s="125"/>
      <c r="D614" s="125"/>
      <c r="E614" s="126"/>
      <c r="F614" s="126"/>
      <c r="G614" s="126"/>
      <c r="H614" s="125"/>
    </row>
    <row r="615">
      <c r="A615" s="125"/>
      <c r="B615" s="125"/>
      <c r="C615" s="125"/>
      <c r="D615" s="125"/>
      <c r="E615" s="126"/>
      <c r="F615" s="126"/>
      <c r="G615" s="126"/>
      <c r="H615" s="125"/>
    </row>
    <row r="616">
      <c r="A616" s="125"/>
      <c r="B616" s="125"/>
      <c r="C616" s="125"/>
      <c r="D616" s="125"/>
      <c r="E616" s="126"/>
      <c r="F616" s="126"/>
      <c r="G616" s="126"/>
      <c r="H616" s="125"/>
    </row>
    <row r="617">
      <c r="A617" s="125"/>
      <c r="B617" s="125"/>
      <c r="C617" s="125"/>
      <c r="D617" s="125"/>
      <c r="E617" s="126"/>
      <c r="F617" s="126"/>
      <c r="G617" s="126"/>
      <c r="H617" s="125"/>
    </row>
    <row r="618">
      <c r="A618" s="125"/>
      <c r="B618" s="125"/>
      <c r="C618" s="125"/>
      <c r="D618" s="125"/>
      <c r="E618" s="126"/>
      <c r="F618" s="126"/>
      <c r="G618" s="126"/>
      <c r="H618" s="125"/>
    </row>
    <row r="619">
      <c r="A619" s="125"/>
      <c r="B619" s="125"/>
      <c r="C619" s="125"/>
      <c r="D619" s="125"/>
      <c r="E619" s="126"/>
      <c r="F619" s="126"/>
      <c r="G619" s="126"/>
      <c r="H619" s="125"/>
    </row>
    <row r="620">
      <c r="A620" s="125"/>
      <c r="B620" s="125"/>
      <c r="C620" s="125"/>
      <c r="D620" s="125"/>
      <c r="E620" s="126"/>
      <c r="F620" s="126"/>
      <c r="G620" s="126"/>
      <c r="H620" s="125"/>
    </row>
    <row r="621">
      <c r="A621" s="125"/>
      <c r="B621" s="125"/>
      <c r="C621" s="125"/>
      <c r="D621" s="125"/>
      <c r="E621" s="126"/>
      <c r="F621" s="126"/>
      <c r="G621" s="126"/>
      <c r="H621" s="125"/>
    </row>
    <row r="622">
      <c r="A622" s="125"/>
      <c r="B622" s="125"/>
      <c r="C622" s="125"/>
      <c r="D622" s="125"/>
      <c r="E622" s="126"/>
      <c r="F622" s="126"/>
      <c r="G622" s="126"/>
      <c r="H622" s="125"/>
    </row>
    <row r="623">
      <c r="A623" s="125"/>
      <c r="B623" s="125"/>
      <c r="C623" s="125"/>
      <c r="D623" s="125"/>
      <c r="E623" s="126"/>
      <c r="F623" s="126"/>
      <c r="G623" s="126"/>
      <c r="H623" s="125"/>
    </row>
    <row r="624">
      <c r="A624" s="125"/>
      <c r="B624" s="125"/>
      <c r="C624" s="125"/>
      <c r="D624" s="125"/>
      <c r="E624" s="126"/>
      <c r="F624" s="126"/>
      <c r="G624" s="126"/>
      <c r="H624" s="125"/>
    </row>
    <row r="625">
      <c r="A625" s="125"/>
      <c r="B625" s="125"/>
      <c r="C625" s="125"/>
      <c r="D625" s="125"/>
      <c r="E625" s="126"/>
      <c r="F625" s="126"/>
      <c r="G625" s="126"/>
      <c r="H625" s="125"/>
    </row>
    <row r="626">
      <c r="A626" s="125"/>
      <c r="B626" s="125"/>
      <c r="C626" s="125"/>
      <c r="D626" s="125"/>
      <c r="E626" s="126"/>
      <c r="F626" s="126"/>
      <c r="G626" s="126"/>
      <c r="H626" s="125"/>
    </row>
    <row r="627">
      <c r="A627" s="125"/>
      <c r="B627" s="125"/>
      <c r="C627" s="125"/>
      <c r="D627" s="125"/>
      <c r="E627" s="126"/>
      <c r="F627" s="126"/>
      <c r="G627" s="126"/>
      <c r="H627" s="125"/>
    </row>
    <row r="628">
      <c r="A628" s="125"/>
      <c r="B628" s="125"/>
      <c r="C628" s="125"/>
      <c r="D628" s="125"/>
      <c r="E628" s="126"/>
      <c r="F628" s="126"/>
      <c r="G628" s="126"/>
      <c r="H628" s="125"/>
    </row>
    <row r="629">
      <c r="A629" s="125"/>
      <c r="B629" s="125"/>
      <c r="C629" s="125"/>
      <c r="D629" s="125"/>
      <c r="E629" s="126"/>
      <c r="F629" s="126"/>
      <c r="G629" s="126"/>
      <c r="H629" s="125"/>
    </row>
    <row r="630">
      <c r="A630" s="125"/>
      <c r="B630" s="125"/>
      <c r="C630" s="125"/>
      <c r="D630" s="125"/>
      <c r="E630" s="126"/>
      <c r="F630" s="126"/>
      <c r="G630" s="126"/>
      <c r="H630" s="125"/>
    </row>
    <row r="631">
      <c r="A631" s="125"/>
      <c r="B631" s="125"/>
      <c r="C631" s="125"/>
      <c r="D631" s="125"/>
      <c r="E631" s="126"/>
      <c r="F631" s="126"/>
      <c r="G631" s="126"/>
      <c r="H631" s="125"/>
    </row>
    <row r="632">
      <c r="A632" s="125"/>
      <c r="B632" s="125"/>
      <c r="C632" s="125"/>
      <c r="D632" s="125"/>
      <c r="E632" s="126"/>
      <c r="F632" s="126"/>
      <c r="G632" s="126"/>
      <c r="H632" s="125"/>
    </row>
    <row r="633">
      <c r="A633" s="125"/>
      <c r="B633" s="125"/>
      <c r="C633" s="125"/>
      <c r="D633" s="125"/>
      <c r="E633" s="126"/>
      <c r="F633" s="126"/>
      <c r="G633" s="126"/>
      <c r="H633" s="125"/>
    </row>
    <row r="634">
      <c r="A634" s="125"/>
      <c r="B634" s="125"/>
      <c r="C634" s="125"/>
      <c r="D634" s="125"/>
      <c r="E634" s="126"/>
      <c r="F634" s="126"/>
      <c r="G634" s="126"/>
      <c r="H634" s="125"/>
    </row>
    <row r="635">
      <c r="A635" s="125"/>
      <c r="B635" s="125"/>
      <c r="C635" s="125"/>
      <c r="D635" s="125"/>
      <c r="E635" s="126"/>
      <c r="F635" s="126"/>
      <c r="G635" s="126"/>
      <c r="H635" s="125"/>
    </row>
    <row r="636">
      <c r="A636" s="125"/>
      <c r="B636" s="125"/>
      <c r="C636" s="125"/>
      <c r="D636" s="125"/>
      <c r="E636" s="126"/>
      <c r="F636" s="126"/>
      <c r="G636" s="126"/>
      <c r="H636" s="125"/>
    </row>
    <row r="637">
      <c r="A637" s="125"/>
      <c r="B637" s="125"/>
      <c r="C637" s="125"/>
      <c r="D637" s="125"/>
      <c r="E637" s="126"/>
      <c r="F637" s="126"/>
      <c r="G637" s="126"/>
      <c r="H637" s="125"/>
    </row>
    <row r="638">
      <c r="A638" s="125"/>
      <c r="B638" s="125"/>
      <c r="C638" s="125"/>
      <c r="D638" s="125"/>
      <c r="E638" s="126"/>
      <c r="F638" s="126"/>
      <c r="G638" s="126"/>
      <c r="H638" s="125"/>
    </row>
    <row r="639">
      <c r="A639" s="125"/>
      <c r="B639" s="125"/>
      <c r="C639" s="125"/>
      <c r="D639" s="125"/>
      <c r="E639" s="126"/>
      <c r="F639" s="126"/>
      <c r="G639" s="126"/>
      <c r="H639" s="125"/>
    </row>
    <row r="640">
      <c r="A640" s="125"/>
      <c r="B640" s="125"/>
      <c r="C640" s="125"/>
      <c r="D640" s="125"/>
      <c r="E640" s="126"/>
      <c r="F640" s="126"/>
      <c r="G640" s="126"/>
      <c r="H640" s="125"/>
    </row>
    <row r="641">
      <c r="A641" s="125"/>
      <c r="B641" s="125"/>
      <c r="C641" s="125"/>
      <c r="D641" s="125"/>
      <c r="E641" s="126"/>
      <c r="F641" s="126"/>
      <c r="G641" s="126"/>
      <c r="H641" s="125"/>
    </row>
    <row r="642">
      <c r="A642" s="125"/>
      <c r="B642" s="125"/>
      <c r="C642" s="125"/>
      <c r="D642" s="125"/>
      <c r="E642" s="126"/>
      <c r="F642" s="126"/>
      <c r="G642" s="126"/>
      <c r="H642" s="125"/>
    </row>
    <row r="643">
      <c r="A643" s="125"/>
      <c r="B643" s="125"/>
      <c r="C643" s="125"/>
      <c r="D643" s="125"/>
      <c r="E643" s="126"/>
      <c r="F643" s="126"/>
      <c r="G643" s="126"/>
      <c r="H643" s="125"/>
    </row>
    <row r="644">
      <c r="A644" s="125"/>
      <c r="B644" s="125"/>
      <c r="C644" s="125"/>
      <c r="D644" s="125"/>
      <c r="E644" s="126"/>
      <c r="F644" s="126"/>
      <c r="G644" s="126"/>
      <c r="H644" s="125"/>
    </row>
    <row r="645">
      <c r="A645" s="125"/>
      <c r="B645" s="125"/>
      <c r="C645" s="125"/>
      <c r="D645" s="125"/>
      <c r="E645" s="126"/>
      <c r="F645" s="126"/>
      <c r="G645" s="126"/>
      <c r="H645" s="125"/>
    </row>
    <row r="646">
      <c r="A646" s="125"/>
      <c r="B646" s="125"/>
      <c r="C646" s="125"/>
      <c r="D646" s="125"/>
      <c r="E646" s="126"/>
      <c r="F646" s="126"/>
      <c r="G646" s="126"/>
      <c r="H646" s="125"/>
    </row>
    <row r="647">
      <c r="A647" s="125"/>
      <c r="B647" s="125"/>
      <c r="C647" s="125"/>
      <c r="D647" s="125"/>
      <c r="E647" s="126"/>
      <c r="F647" s="126"/>
      <c r="G647" s="126"/>
      <c r="H647" s="125"/>
    </row>
    <row r="648">
      <c r="A648" s="125"/>
      <c r="B648" s="125"/>
      <c r="C648" s="125"/>
      <c r="D648" s="125"/>
      <c r="E648" s="126"/>
      <c r="F648" s="126"/>
      <c r="G648" s="126"/>
      <c r="H648" s="125"/>
    </row>
    <row r="649">
      <c r="A649" s="125"/>
      <c r="B649" s="125"/>
      <c r="C649" s="125"/>
      <c r="D649" s="125"/>
      <c r="E649" s="126"/>
      <c r="F649" s="126"/>
      <c r="G649" s="126"/>
      <c r="H649" s="125"/>
    </row>
    <row r="650">
      <c r="A650" s="125"/>
      <c r="B650" s="125"/>
      <c r="C650" s="125"/>
      <c r="D650" s="125"/>
      <c r="E650" s="126"/>
      <c r="F650" s="126"/>
      <c r="G650" s="126"/>
      <c r="H650" s="125"/>
    </row>
    <row r="651">
      <c r="A651" s="125"/>
      <c r="B651" s="125"/>
      <c r="C651" s="125"/>
      <c r="D651" s="125"/>
      <c r="E651" s="126"/>
      <c r="F651" s="126"/>
      <c r="G651" s="126"/>
      <c r="H651" s="125"/>
    </row>
    <row r="652">
      <c r="A652" s="125"/>
      <c r="B652" s="125"/>
      <c r="C652" s="125"/>
      <c r="D652" s="125"/>
      <c r="E652" s="126"/>
      <c r="F652" s="126"/>
      <c r="G652" s="126"/>
      <c r="H652" s="125"/>
    </row>
    <row r="653">
      <c r="A653" s="125"/>
      <c r="B653" s="125"/>
      <c r="C653" s="125"/>
      <c r="D653" s="125"/>
      <c r="E653" s="126"/>
      <c r="F653" s="126"/>
      <c r="G653" s="126"/>
      <c r="H653" s="125"/>
    </row>
    <row r="654">
      <c r="A654" s="125"/>
      <c r="B654" s="125"/>
      <c r="C654" s="125"/>
      <c r="D654" s="125"/>
      <c r="E654" s="126"/>
      <c r="F654" s="126"/>
      <c r="G654" s="126"/>
      <c r="H654" s="125"/>
    </row>
    <row r="655">
      <c r="A655" s="125"/>
      <c r="B655" s="125"/>
      <c r="C655" s="125"/>
      <c r="D655" s="125"/>
      <c r="E655" s="126"/>
      <c r="F655" s="126"/>
      <c r="G655" s="126"/>
      <c r="H655" s="125"/>
    </row>
    <row r="656">
      <c r="A656" s="125"/>
      <c r="B656" s="125"/>
      <c r="C656" s="125"/>
      <c r="D656" s="125"/>
      <c r="E656" s="126"/>
      <c r="F656" s="126"/>
      <c r="G656" s="126"/>
      <c r="H656" s="125"/>
    </row>
    <row r="657">
      <c r="A657" s="125"/>
      <c r="B657" s="125"/>
      <c r="C657" s="125"/>
      <c r="D657" s="125"/>
      <c r="E657" s="126"/>
      <c r="F657" s="126"/>
      <c r="G657" s="126"/>
      <c r="H657" s="125"/>
    </row>
    <row r="658">
      <c r="A658" s="125"/>
      <c r="B658" s="125"/>
      <c r="C658" s="125"/>
      <c r="D658" s="125"/>
      <c r="E658" s="126"/>
      <c r="F658" s="126"/>
      <c r="G658" s="126"/>
      <c r="H658" s="125"/>
    </row>
    <row r="659">
      <c r="A659" s="125"/>
      <c r="B659" s="125"/>
      <c r="C659" s="125"/>
      <c r="D659" s="125"/>
      <c r="E659" s="126"/>
      <c r="F659" s="126"/>
      <c r="G659" s="126"/>
      <c r="H659" s="125"/>
    </row>
    <row r="660">
      <c r="A660" s="125"/>
      <c r="B660" s="125"/>
      <c r="C660" s="125"/>
      <c r="D660" s="125"/>
      <c r="E660" s="126"/>
      <c r="F660" s="126"/>
      <c r="G660" s="126"/>
      <c r="H660" s="125"/>
    </row>
    <row r="661">
      <c r="A661" s="125"/>
      <c r="B661" s="125"/>
      <c r="C661" s="125"/>
      <c r="D661" s="125"/>
      <c r="E661" s="126"/>
      <c r="F661" s="126"/>
      <c r="G661" s="126"/>
      <c r="H661" s="125"/>
    </row>
    <row r="662">
      <c r="A662" s="125"/>
      <c r="B662" s="125"/>
      <c r="C662" s="125"/>
      <c r="D662" s="125"/>
      <c r="E662" s="126"/>
      <c r="F662" s="126"/>
      <c r="G662" s="126"/>
      <c r="H662" s="125"/>
    </row>
    <row r="663">
      <c r="A663" s="125"/>
      <c r="B663" s="125"/>
      <c r="C663" s="125"/>
      <c r="D663" s="125"/>
      <c r="E663" s="126"/>
      <c r="F663" s="126"/>
      <c r="G663" s="126"/>
      <c r="H663" s="125"/>
    </row>
    <row r="664">
      <c r="A664" s="125"/>
      <c r="B664" s="125"/>
      <c r="C664" s="125"/>
      <c r="D664" s="125"/>
      <c r="E664" s="126"/>
      <c r="F664" s="126"/>
      <c r="G664" s="126"/>
      <c r="H664" s="125"/>
    </row>
    <row r="665">
      <c r="A665" s="125"/>
      <c r="B665" s="125"/>
      <c r="C665" s="125"/>
      <c r="D665" s="125"/>
      <c r="E665" s="126"/>
      <c r="F665" s="126"/>
      <c r="G665" s="126"/>
      <c r="H665" s="125"/>
    </row>
    <row r="666">
      <c r="A666" s="125"/>
      <c r="B666" s="125"/>
      <c r="C666" s="125"/>
      <c r="D666" s="125"/>
      <c r="E666" s="126"/>
      <c r="F666" s="126"/>
      <c r="G666" s="126"/>
      <c r="H666" s="125"/>
    </row>
    <row r="667">
      <c r="A667" s="125"/>
      <c r="B667" s="125"/>
      <c r="C667" s="125"/>
      <c r="D667" s="125"/>
      <c r="E667" s="126"/>
      <c r="F667" s="126"/>
      <c r="G667" s="126"/>
      <c r="H667" s="125"/>
    </row>
    <row r="668">
      <c r="A668" s="125"/>
      <c r="B668" s="125"/>
      <c r="C668" s="125"/>
      <c r="D668" s="125"/>
      <c r="E668" s="126"/>
      <c r="F668" s="126"/>
      <c r="G668" s="126"/>
      <c r="H668" s="125"/>
    </row>
    <row r="669">
      <c r="A669" s="125"/>
      <c r="B669" s="125"/>
      <c r="C669" s="125"/>
      <c r="D669" s="125"/>
      <c r="E669" s="126"/>
      <c r="F669" s="126"/>
      <c r="G669" s="126"/>
      <c r="H669" s="125"/>
    </row>
    <row r="670">
      <c r="A670" s="125"/>
      <c r="B670" s="125"/>
      <c r="C670" s="125"/>
      <c r="D670" s="125"/>
      <c r="E670" s="126"/>
      <c r="F670" s="126"/>
      <c r="G670" s="126"/>
      <c r="H670" s="125"/>
    </row>
    <row r="671">
      <c r="A671" s="125"/>
      <c r="B671" s="125"/>
      <c r="C671" s="125"/>
      <c r="D671" s="125"/>
      <c r="E671" s="126"/>
      <c r="F671" s="126"/>
      <c r="G671" s="126"/>
      <c r="H671" s="125"/>
    </row>
    <row r="672">
      <c r="A672" s="125"/>
      <c r="B672" s="125"/>
      <c r="C672" s="125"/>
      <c r="D672" s="125"/>
      <c r="E672" s="126"/>
      <c r="F672" s="126"/>
      <c r="G672" s="126"/>
      <c r="H672" s="125"/>
    </row>
    <row r="673">
      <c r="A673" s="125"/>
      <c r="B673" s="125"/>
      <c r="C673" s="125"/>
      <c r="D673" s="125"/>
      <c r="E673" s="126"/>
      <c r="F673" s="126"/>
      <c r="G673" s="126"/>
      <c r="H673" s="125"/>
    </row>
    <row r="674">
      <c r="A674" s="125"/>
      <c r="B674" s="125"/>
      <c r="C674" s="125"/>
      <c r="D674" s="125"/>
      <c r="E674" s="126"/>
      <c r="F674" s="126"/>
      <c r="G674" s="126"/>
      <c r="H674" s="125"/>
    </row>
    <row r="675">
      <c r="A675" s="125"/>
      <c r="B675" s="125"/>
      <c r="C675" s="125"/>
      <c r="D675" s="125"/>
      <c r="E675" s="126"/>
      <c r="F675" s="126"/>
      <c r="G675" s="126"/>
      <c r="H675" s="125"/>
    </row>
    <row r="676">
      <c r="A676" s="125"/>
      <c r="B676" s="125"/>
      <c r="C676" s="125"/>
      <c r="D676" s="125"/>
      <c r="E676" s="126"/>
      <c r="F676" s="126"/>
      <c r="G676" s="126"/>
      <c r="H676" s="125"/>
    </row>
    <row r="677">
      <c r="A677" s="125"/>
      <c r="B677" s="125"/>
      <c r="C677" s="125"/>
      <c r="D677" s="125"/>
      <c r="E677" s="126"/>
      <c r="F677" s="126"/>
      <c r="G677" s="126"/>
      <c r="H677" s="125"/>
    </row>
    <row r="678">
      <c r="A678" s="125"/>
      <c r="B678" s="125"/>
      <c r="C678" s="125"/>
      <c r="D678" s="125"/>
      <c r="E678" s="126"/>
      <c r="F678" s="126"/>
      <c r="G678" s="126"/>
      <c r="H678" s="125"/>
    </row>
    <row r="679">
      <c r="A679" s="125"/>
      <c r="B679" s="125"/>
      <c r="C679" s="125"/>
      <c r="D679" s="125"/>
      <c r="E679" s="126"/>
      <c r="F679" s="126"/>
      <c r="G679" s="126"/>
      <c r="H679" s="125"/>
    </row>
    <row r="680">
      <c r="A680" s="125"/>
      <c r="B680" s="125"/>
      <c r="C680" s="125"/>
      <c r="D680" s="125"/>
      <c r="E680" s="126"/>
      <c r="F680" s="126"/>
      <c r="G680" s="126"/>
      <c r="H680" s="125"/>
    </row>
    <row r="681">
      <c r="A681" s="125"/>
      <c r="B681" s="125"/>
      <c r="C681" s="125"/>
      <c r="D681" s="125"/>
      <c r="E681" s="126"/>
      <c r="F681" s="126"/>
      <c r="G681" s="126"/>
      <c r="H681" s="125"/>
    </row>
    <row r="682">
      <c r="A682" s="125"/>
      <c r="B682" s="125"/>
      <c r="C682" s="125"/>
      <c r="D682" s="125"/>
      <c r="E682" s="126"/>
      <c r="F682" s="126"/>
      <c r="G682" s="126"/>
      <c r="H682" s="125"/>
    </row>
    <row r="683">
      <c r="A683" s="125"/>
      <c r="B683" s="125"/>
      <c r="C683" s="125"/>
      <c r="D683" s="125"/>
      <c r="E683" s="126"/>
      <c r="F683" s="126"/>
      <c r="G683" s="126"/>
      <c r="H683" s="125"/>
    </row>
    <row r="684">
      <c r="A684" s="125"/>
      <c r="B684" s="125"/>
      <c r="C684" s="125"/>
      <c r="D684" s="125"/>
      <c r="E684" s="126"/>
      <c r="F684" s="126"/>
      <c r="G684" s="126"/>
      <c r="H684" s="125"/>
    </row>
    <row r="685">
      <c r="A685" s="125"/>
      <c r="B685" s="125"/>
      <c r="C685" s="125"/>
      <c r="D685" s="125"/>
      <c r="E685" s="126"/>
      <c r="F685" s="126"/>
      <c r="G685" s="126"/>
      <c r="H685" s="125"/>
    </row>
    <row r="686">
      <c r="A686" s="125"/>
      <c r="B686" s="125"/>
      <c r="C686" s="125"/>
      <c r="D686" s="125"/>
      <c r="E686" s="126"/>
      <c r="F686" s="126"/>
      <c r="G686" s="126"/>
      <c r="H686" s="125"/>
    </row>
    <row r="687">
      <c r="A687" s="125"/>
      <c r="B687" s="125"/>
      <c r="C687" s="125"/>
      <c r="D687" s="125"/>
      <c r="E687" s="126"/>
      <c r="F687" s="126"/>
      <c r="G687" s="126"/>
      <c r="H687" s="125"/>
    </row>
    <row r="688">
      <c r="A688" s="125"/>
      <c r="B688" s="125"/>
      <c r="C688" s="125"/>
      <c r="D688" s="125"/>
      <c r="E688" s="126"/>
      <c r="F688" s="126"/>
      <c r="G688" s="126"/>
      <c r="H688" s="125"/>
    </row>
    <row r="689">
      <c r="A689" s="125"/>
      <c r="B689" s="125"/>
      <c r="C689" s="125"/>
      <c r="D689" s="125"/>
      <c r="E689" s="126"/>
      <c r="F689" s="126"/>
      <c r="G689" s="126"/>
      <c r="H689" s="125"/>
    </row>
    <row r="690">
      <c r="A690" s="125"/>
      <c r="B690" s="125"/>
      <c r="C690" s="125"/>
      <c r="D690" s="125"/>
      <c r="E690" s="126"/>
      <c r="F690" s="126"/>
      <c r="G690" s="126"/>
      <c r="H690" s="125"/>
    </row>
    <row r="691">
      <c r="A691" s="125"/>
      <c r="B691" s="125"/>
      <c r="C691" s="125"/>
      <c r="D691" s="125"/>
      <c r="E691" s="126"/>
      <c r="F691" s="126"/>
      <c r="G691" s="126"/>
      <c r="H691" s="125"/>
    </row>
    <row r="692">
      <c r="A692" s="125"/>
      <c r="B692" s="125"/>
      <c r="C692" s="125"/>
      <c r="D692" s="125"/>
      <c r="E692" s="126"/>
      <c r="F692" s="126"/>
      <c r="G692" s="126"/>
      <c r="H692" s="125"/>
    </row>
    <row r="693">
      <c r="A693" s="125"/>
      <c r="B693" s="125"/>
      <c r="C693" s="125"/>
      <c r="D693" s="125"/>
      <c r="E693" s="126"/>
      <c r="F693" s="126"/>
      <c r="G693" s="126"/>
      <c r="H693" s="125"/>
    </row>
    <row r="694">
      <c r="A694" s="125"/>
      <c r="B694" s="125"/>
      <c r="C694" s="125"/>
      <c r="D694" s="125"/>
      <c r="E694" s="126"/>
      <c r="F694" s="126"/>
      <c r="G694" s="126"/>
      <c r="H694" s="125"/>
    </row>
    <row r="695">
      <c r="A695" s="125"/>
      <c r="B695" s="125"/>
      <c r="C695" s="125"/>
      <c r="D695" s="125"/>
      <c r="E695" s="126"/>
      <c r="F695" s="126"/>
      <c r="G695" s="126"/>
      <c r="H695" s="125"/>
    </row>
    <row r="696">
      <c r="A696" s="125"/>
      <c r="B696" s="125"/>
      <c r="C696" s="125"/>
      <c r="D696" s="125"/>
      <c r="E696" s="126"/>
      <c r="F696" s="126"/>
      <c r="G696" s="126"/>
      <c r="H696" s="125"/>
    </row>
    <row r="697">
      <c r="A697" s="125"/>
      <c r="B697" s="125"/>
      <c r="C697" s="125"/>
      <c r="D697" s="125"/>
      <c r="E697" s="126"/>
      <c r="F697" s="126"/>
      <c r="G697" s="126"/>
      <c r="H697" s="125"/>
    </row>
    <row r="698">
      <c r="A698" s="125"/>
      <c r="B698" s="125"/>
      <c r="C698" s="125"/>
      <c r="D698" s="125"/>
      <c r="E698" s="126"/>
      <c r="F698" s="126"/>
      <c r="G698" s="126"/>
      <c r="H698" s="125"/>
    </row>
    <row r="699">
      <c r="A699" s="125"/>
      <c r="B699" s="125"/>
      <c r="C699" s="125"/>
      <c r="D699" s="125"/>
      <c r="E699" s="126"/>
      <c r="F699" s="126"/>
      <c r="G699" s="126"/>
      <c r="H699" s="125"/>
    </row>
    <row r="700">
      <c r="A700" s="125"/>
      <c r="B700" s="125"/>
      <c r="C700" s="125"/>
      <c r="D700" s="125"/>
      <c r="E700" s="126"/>
      <c r="F700" s="126"/>
      <c r="G700" s="126"/>
      <c r="H700" s="125"/>
    </row>
    <row r="701">
      <c r="A701" s="125"/>
      <c r="B701" s="125"/>
      <c r="C701" s="125"/>
      <c r="D701" s="125"/>
      <c r="E701" s="126"/>
      <c r="F701" s="126"/>
      <c r="G701" s="126"/>
      <c r="H701" s="125"/>
    </row>
    <row r="702">
      <c r="A702" s="125"/>
      <c r="B702" s="125"/>
      <c r="C702" s="125"/>
      <c r="D702" s="125"/>
      <c r="E702" s="126"/>
      <c r="F702" s="126"/>
      <c r="G702" s="126"/>
      <c r="H702" s="125"/>
    </row>
    <row r="703">
      <c r="A703" s="125"/>
      <c r="B703" s="125"/>
      <c r="C703" s="125"/>
      <c r="D703" s="125"/>
      <c r="E703" s="126"/>
      <c r="F703" s="126"/>
      <c r="G703" s="126"/>
      <c r="H703" s="125"/>
    </row>
    <row r="704">
      <c r="A704" s="125"/>
      <c r="B704" s="125"/>
      <c r="C704" s="125"/>
      <c r="D704" s="125"/>
      <c r="E704" s="126"/>
      <c r="F704" s="126"/>
      <c r="G704" s="126"/>
      <c r="H704" s="125"/>
    </row>
    <row r="705">
      <c r="A705" s="125"/>
      <c r="B705" s="125"/>
      <c r="C705" s="125"/>
      <c r="D705" s="125"/>
      <c r="E705" s="126"/>
      <c r="F705" s="126"/>
      <c r="G705" s="126"/>
      <c r="H705" s="125"/>
    </row>
    <row r="706">
      <c r="A706" s="125"/>
      <c r="B706" s="125"/>
      <c r="C706" s="125"/>
      <c r="D706" s="125"/>
      <c r="E706" s="126"/>
      <c r="F706" s="126"/>
      <c r="G706" s="126"/>
      <c r="H706" s="125"/>
    </row>
    <row r="707">
      <c r="A707" s="125"/>
      <c r="B707" s="125"/>
      <c r="C707" s="125"/>
      <c r="D707" s="125"/>
      <c r="E707" s="126"/>
      <c r="F707" s="126"/>
      <c r="G707" s="126"/>
      <c r="H707" s="125"/>
    </row>
    <row r="708">
      <c r="A708" s="125"/>
      <c r="B708" s="125"/>
      <c r="C708" s="125"/>
      <c r="D708" s="125"/>
      <c r="E708" s="126"/>
      <c r="F708" s="126"/>
      <c r="G708" s="126"/>
      <c r="H708" s="125"/>
    </row>
    <row r="709">
      <c r="A709" s="125"/>
      <c r="B709" s="125"/>
      <c r="C709" s="125"/>
      <c r="D709" s="125"/>
      <c r="E709" s="126"/>
      <c r="F709" s="126"/>
      <c r="G709" s="126"/>
      <c r="H709" s="125"/>
    </row>
    <row r="710">
      <c r="A710" s="125"/>
      <c r="B710" s="125"/>
      <c r="C710" s="125"/>
      <c r="D710" s="125"/>
      <c r="E710" s="126"/>
      <c r="F710" s="126"/>
      <c r="G710" s="126"/>
      <c r="H710" s="125"/>
    </row>
    <row r="711">
      <c r="A711" s="125"/>
      <c r="B711" s="125"/>
      <c r="C711" s="125"/>
      <c r="D711" s="125"/>
      <c r="E711" s="126"/>
      <c r="F711" s="126"/>
      <c r="G711" s="126"/>
      <c r="H711" s="125"/>
    </row>
    <row r="712">
      <c r="A712" s="125"/>
      <c r="B712" s="125"/>
      <c r="C712" s="125"/>
      <c r="D712" s="125"/>
      <c r="E712" s="126"/>
      <c r="F712" s="126"/>
      <c r="G712" s="126"/>
      <c r="H712" s="125"/>
    </row>
    <row r="713">
      <c r="A713" s="125"/>
      <c r="B713" s="125"/>
      <c r="C713" s="125"/>
      <c r="D713" s="125"/>
      <c r="E713" s="126"/>
      <c r="F713" s="126"/>
      <c r="G713" s="126"/>
      <c r="H713" s="125"/>
    </row>
    <row r="714">
      <c r="A714" s="125"/>
      <c r="B714" s="125"/>
      <c r="C714" s="125"/>
      <c r="D714" s="125"/>
      <c r="E714" s="126"/>
      <c r="F714" s="126"/>
      <c r="G714" s="126"/>
      <c r="H714" s="125"/>
    </row>
    <row r="715">
      <c r="A715" s="125"/>
      <c r="B715" s="125"/>
      <c r="C715" s="125"/>
      <c r="D715" s="125"/>
      <c r="E715" s="126"/>
      <c r="F715" s="126"/>
      <c r="G715" s="126"/>
      <c r="H715" s="125"/>
    </row>
    <row r="716">
      <c r="A716" s="125"/>
      <c r="B716" s="125"/>
      <c r="C716" s="125"/>
      <c r="D716" s="125"/>
      <c r="E716" s="126"/>
      <c r="F716" s="126"/>
      <c r="G716" s="126"/>
      <c r="H716" s="125"/>
    </row>
    <row r="717">
      <c r="A717" s="125"/>
      <c r="B717" s="125"/>
      <c r="C717" s="125"/>
      <c r="D717" s="125"/>
      <c r="E717" s="126"/>
      <c r="F717" s="126"/>
      <c r="G717" s="126"/>
      <c r="H717" s="125"/>
    </row>
    <row r="718">
      <c r="A718" s="125"/>
      <c r="B718" s="125"/>
      <c r="C718" s="125"/>
      <c r="D718" s="125"/>
      <c r="E718" s="126"/>
      <c r="F718" s="126"/>
      <c r="G718" s="126"/>
      <c r="H718" s="125"/>
    </row>
    <row r="719">
      <c r="A719" s="125"/>
      <c r="B719" s="125"/>
      <c r="C719" s="125"/>
      <c r="D719" s="125"/>
      <c r="E719" s="126"/>
      <c r="F719" s="126"/>
      <c r="G719" s="126"/>
      <c r="H719" s="125"/>
    </row>
    <row r="720">
      <c r="A720" s="125"/>
      <c r="B720" s="125"/>
      <c r="C720" s="125"/>
      <c r="D720" s="125"/>
      <c r="E720" s="126"/>
      <c r="F720" s="126"/>
      <c r="G720" s="126"/>
      <c r="H720" s="125"/>
    </row>
    <row r="721">
      <c r="A721" s="125"/>
      <c r="B721" s="125"/>
      <c r="C721" s="125"/>
      <c r="D721" s="125"/>
      <c r="E721" s="126"/>
      <c r="F721" s="126"/>
      <c r="G721" s="126"/>
      <c r="H721" s="125"/>
    </row>
    <row r="722">
      <c r="A722" s="125"/>
      <c r="B722" s="125"/>
      <c r="C722" s="125"/>
      <c r="D722" s="125"/>
      <c r="E722" s="126"/>
      <c r="F722" s="126"/>
      <c r="G722" s="126"/>
      <c r="H722" s="125"/>
    </row>
    <row r="723">
      <c r="A723" s="125"/>
      <c r="B723" s="125"/>
      <c r="C723" s="125"/>
      <c r="D723" s="125"/>
      <c r="E723" s="126"/>
      <c r="F723" s="126"/>
      <c r="G723" s="126"/>
      <c r="H723" s="125"/>
    </row>
    <row r="724">
      <c r="A724" s="125"/>
      <c r="B724" s="125"/>
      <c r="C724" s="125"/>
      <c r="D724" s="125"/>
      <c r="E724" s="126"/>
      <c r="F724" s="126"/>
      <c r="G724" s="126"/>
      <c r="H724" s="125"/>
    </row>
    <row r="725">
      <c r="A725" s="125"/>
      <c r="B725" s="125"/>
      <c r="C725" s="125"/>
      <c r="D725" s="125"/>
      <c r="E725" s="126"/>
      <c r="F725" s="126"/>
      <c r="G725" s="126"/>
      <c r="H725" s="125"/>
    </row>
    <row r="726">
      <c r="A726" s="125"/>
      <c r="B726" s="125"/>
      <c r="C726" s="125"/>
      <c r="D726" s="125"/>
      <c r="E726" s="126"/>
      <c r="F726" s="126"/>
      <c r="G726" s="126"/>
      <c r="H726" s="125"/>
    </row>
    <row r="727">
      <c r="A727" s="125"/>
      <c r="B727" s="125"/>
      <c r="C727" s="125"/>
      <c r="D727" s="125"/>
      <c r="E727" s="126"/>
      <c r="F727" s="126"/>
      <c r="G727" s="126"/>
      <c r="H727" s="125"/>
    </row>
    <row r="728">
      <c r="A728" s="125"/>
      <c r="B728" s="125"/>
      <c r="C728" s="125"/>
      <c r="D728" s="125"/>
      <c r="E728" s="126"/>
      <c r="F728" s="126"/>
      <c r="G728" s="126"/>
      <c r="H728" s="125"/>
    </row>
    <row r="729">
      <c r="A729" s="125"/>
      <c r="B729" s="125"/>
      <c r="C729" s="125"/>
      <c r="D729" s="125"/>
      <c r="E729" s="126"/>
      <c r="F729" s="126"/>
      <c r="G729" s="126"/>
      <c r="H729" s="125"/>
    </row>
    <row r="730">
      <c r="A730" s="125"/>
      <c r="B730" s="125"/>
      <c r="C730" s="125"/>
      <c r="D730" s="125"/>
      <c r="E730" s="126"/>
      <c r="F730" s="126"/>
      <c r="G730" s="126"/>
      <c r="H730" s="125"/>
    </row>
    <row r="731">
      <c r="A731" s="125"/>
      <c r="B731" s="125"/>
      <c r="C731" s="125"/>
      <c r="D731" s="125"/>
      <c r="E731" s="126"/>
      <c r="F731" s="126"/>
      <c r="G731" s="126"/>
      <c r="H731" s="125"/>
    </row>
    <row r="732">
      <c r="A732" s="125"/>
      <c r="B732" s="125"/>
      <c r="C732" s="125"/>
      <c r="D732" s="125"/>
      <c r="E732" s="126"/>
      <c r="F732" s="126"/>
      <c r="G732" s="126"/>
      <c r="H732" s="125"/>
    </row>
    <row r="733">
      <c r="A733" s="125"/>
      <c r="B733" s="125"/>
      <c r="C733" s="125"/>
      <c r="D733" s="125"/>
      <c r="E733" s="126"/>
      <c r="F733" s="126"/>
      <c r="G733" s="126"/>
      <c r="H733" s="125"/>
    </row>
    <row r="734">
      <c r="A734" s="125"/>
      <c r="B734" s="125"/>
      <c r="C734" s="125"/>
      <c r="D734" s="125"/>
      <c r="E734" s="126"/>
      <c r="F734" s="126"/>
      <c r="G734" s="126"/>
      <c r="H734" s="125"/>
    </row>
    <row r="735">
      <c r="A735" s="125"/>
      <c r="B735" s="125"/>
      <c r="C735" s="125"/>
      <c r="D735" s="125"/>
      <c r="E735" s="126"/>
      <c r="F735" s="126"/>
      <c r="G735" s="126"/>
      <c r="H735" s="125"/>
    </row>
    <row r="736">
      <c r="A736" s="125"/>
      <c r="B736" s="125"/>
      <c r="C736" s="125"/>
      <c r="D736" s="125"/>
      <c r="E736" s="126"/>
      <c r="F736" s="126"/>
      <c r="G736" s="126"/>
      <c r="H736" s="125"/>
    </row>
    <row r="737">
      <c r="A737" s="125"/>
      <c r="B737" s="125"/>
      <c r="C737" s="125"/>
      <c r="D737" s="125"/>
      <c r="E737" s="126"/>
      <c r="F737" s="126"/>
      <c r="G737" s="126"/>
      <c r="H737" s="125"/>
    </row>
    <row r="738">
      <c r="A738" s="125"/>
      <c r="B738" s="125"/>
      <c r="C738" s="125"/>
      <c r="D738" s="125"/>
      <c r="E738" s="126"/>
      <c r="F738" s="126"/>
      <c r="G738" s="126"/>
      <c r="H738" s="125"/>
    </row>
    <row r="739">
      <c r="A739" s="125"/>
      <c r="B739" s="125"/>
      <c r="C739" s="125"/>
      <c r="D739" s="125"/>
      <c r="E739" s="126"/>
      <c r="F739" s="126"/>
      <c r="G739" s="126"/>
      <c r="H739" s="125"/>
    </row>
    <row r="740">
      <c r="A740" s="125"/>
      <c r="B740" s="125"/>
      <c r="C740" s="125"/>
      <c r="D740" s="125"/>
      <c r="E740" s="126"/>
      <c r="F740" s="126"/>
      <c r="G740" s="126"/>
      <c r="H740" s="125"/>
    </row>
    <row r="741">
      <c r="A741" s="125"/>
      <c r="B741" s="125"/>
      <c r="C741" s="125"/>
      <c r="D741" s="125"/>
      <c r="E741" s="126"/>
      <c r="F741" s="126"/>
      <c r="G741" s="126"/>
      <c r="H741" s="125"/>
    </row>
    <row r="742">
      <c r="A742" s="125"/>
      <c r="B742" s="125"/>
      <c r="C742" s="125"/>
      <c r="D742" s="125"/>
      <c r="E742" s="126"/>
      <c r="F742" s="126"/>
      <c r="G742" s="126"/>
      <c r="H742" s="125"/>
    </row>
    <row r="743">
      <c r="A743" s="125"/>
      <c r="B743" s="125"/>
      <c r="C743" s="125"/>
      <c r="D743" s="125"/>
      <c r="E743" s="126"/>
      <c r="F743" s="126"/>
      <c r="G743" s="126"/>
      <c r="H743" s="125"/>
    </row>
    <row r="744">
      <c r="A744" s="125"/>
      <c r="B744" s="125"/>
      <c r="C744" s="125"/>
      <c r="D744" s="125"/>
      <c r="E744" s="126"/>
      <c r="F744" s="126"/>
      <c r="G744" s="126"/>
      <c r="H744" s="125"/>
    </row>
    <row r="745">
      <c r="A745" s="125"/>
      <c r="B745" s="125"/>
      <c r="C745" s="125"/>
      <c r="D745" s="125"/>
      <c r="E745" s="126"/>
      <c r="F745" s="126"/>
      <c r="G745" s="126"/>
      <c r="H745" s="125"/>
    </row>
    <row r="746">
      <c r="A746" s="125"/>
      <c r="B746" s="125"/>
      <c r="C746" s="125"/>
      <c r="D746" s="125"/>
      <c r="E746" s="126"/>
      <c r="F746" s="126"/>
      <c r="G746" s="126"/>
      <c r="H746" s="125"/>
    </row>
    <row r="747">
      <c r="A747" s="125"/>
      <c r="B747" s="125"/>
      <c r="C747" s="125"/>
      <c r="D747" s="125"/>
      <c r="E747" s="126"/>
      <c r="F747" s="126"/>
      <c r="G747" s="126"/>
      <c r="H747" s="125"/>
    </row>
    <row r="748">
      <c r="A748" s="125"/>
      <c r="B748" s="125"/>
      <c r="C748" s="125"/>
      <c r="D748" s="125"/>
      <c r="E748" s="126"/>
      <c r="F748" s="126"/>
      <c r="G748" s="126"/>
      <c r="H748" s="125"/>
    </row>
    <row r="749">
      <c r="A749" s="125"/>
      <c r="B749" s="125"/>
      <c r="C749" s="125"/>
      <c r="D749" s="125"/>
      <c r="E749" s="126"/>
      <c r="F749" s="126"/>
      <c r="G749" s="126"/>
      <c r="H749" s="125"/>
    </row>
    <row r="750">
      <c r="A750" s="125"/>
      <c r="B750" s="125"/>
      <c r="C750" s="125"/>
      <c r="D750" s="125"/>
      <c r="E750" s="126"/>
      <c r="F750" s="126"/>
      <c r="G750" s="126"/>
      <c r="H750" s="125"/>
    </row>
    <row r="751">
      <c r="A751" s="125"/>
      <c r="B751" s="125"/>
      <c r="C751" s="125"/>
      <c r="D751" s="125"/>
      <c r="E751" s="126"/>
      <c r="F751" s="126"/>
      <c r="G751" s="126"/>
      <c r="H751" s="125"/>
    </row>
    <row r="752">
      <c r="A752" s="125"/>
      <c r="B752" s="125"/>
      <c r="C752" s="125"/>
      <c r="D752" s="125"/>
      <c r="E752" s="126"/>
      <c r="F752" s="126"/>
      <c r="G752" s="126"/>
      <c r="H752" s="125"/>
    </row>
    <row r="753">
      <c r="A753" s="125"/>
      <c r="B753" s="125"/>
      <c r="C753" s="125"/>
      <c r="D753" s="125"/>
      <c r="E753" s="126"/>
      <c r="F753" s="126"/>
      <c r="G753" s="126"/>
      <c r="H753" s="125"/>
    </row>
    <row r="754">
      <c r="A754" s="125"/>
      <c r="B754" s="125"/>
      <c r="C754" s="125"/>
      <c r="D754" s="125"/>
      <c r="E754" s="126"/>
      <c r="F754" s="126"/>
      <c r="G754" s="126"/>
      <c r="H754" s="125"/>
    </row>
    <row r="755">
      <c r="A755" s="125"/>
      <c r="B755" s="125"/>
      <c r="C755" s="125"/>
      <c r="D755" s="125"/>
      <c r="E755" s="126"/>
      <c r="F755" s="126"/>
      <c r="G755" s="126"/>
      <c r="H755" s="125"/>
    </row>
    <row r="756">
      <c r="A756" s="125"/>
      <c r="B756" s="125"/>
      <c r="C756" s="125"/>
      <c r="D756" s="125"/>
      <c r="E756" s="126"/>
      <c r="F756" s="126"/>
      <c r="G756" s="126"/>
      <c r="H756" s="125"/>
    </row>
    <row r="757">
      <c r="A757" s="125"/>
      <c r="B757" s="125"/>
      <c r="C757" s="125"/>
      <c r="D757" s="125"/>
      <c r="E757" s="126"/>
      <c r="F757" s="126"/>
      <c r="G757" s="126"/>
      <c r="H757" s="125"/>
    </row>
    <row r="758">
      <c r="A758" s="125"/>
      <c r="B758" s="125"/>
      <c r="C758" s="125"/>
      <c r="D758" s="125"/>
      <c r="E758" s="126"/>
      <c r="F758" s="126"/>
      <c r="G758" s="126"/>
      <c r="H758" s="125"/>
    </row>
    <row r="759">
      <c r="A759" s="125"/>
      <c r="B759" s="125"/>
      <c r="C759" s="125"/>
      <c r="D759" s="125"/>
      <c r="E759" s="126"/>
      <c r="F759" s="126"/>
      <c r="G759" s="126"/>
      <c r="H759" s="125"/>
    </row>
    <row r="760">
      <c r="A760" s="125"/>
      <c r="B760" s="125"/>
      <c r="C760" s="125"/>
      <c r="D760" s="125"/>
      <c r="E760" s="126"/>
      <c r="F760" s="126"/>
      <c r="G760" s="126"/>
      <c r="H760" s="125"/>
    </row>
    <row r="761">
      <c r="A761" s="125"/>
      <c r="B761" s="125"/>
      <c r="C761" s="125"/>
      <c r="D761" s="125"/>
      <c r="E761" s="126"/>
      <c r="F761" s="126"/>
      <c r="G761" s="126"/>
      <c r="H761" s="125"/>
    </row>
    <row r="762">
      <c r="A762" s="125"/>
      <c r="B762" s="125"/>
      <c r="C762" s="125"/>
      <c r="D762" s="125"/>
      <c r="E762" s="126"/>
      <c r="F762" s="126"/>
      <c r="G762" s="126"/>
      <c r="H762" s="125"/>
    </row>
    <row r="763">
      <c r="A763" s="125"/>
      <c r="B763" s="125"/>
      <c r="C763" s="125"/>
      <c r="D763" s="125"/>
      <c r="E763" s="126"/>
      <c r="F763" s="126"/>
      <c r="G763" s="126"/>
      <c r="H763" s="125"/>
    </row>
    <row r="764">
      <c r="A764" s="125"/>
      <c r="B764" s="125"/>
      <c r="C764" s="125"/>
      <c r="D764" s="125"/>
      <c r="E764" s="126"/>
      <c r="F764" s="126"/>
      <c r="G764" s="126"/>
      <c r="H764" s="125"/>
    </row>
    <row r="765">
      <c r="A765" s="125"/>
      <c r="B765" s="125"/>
      <c r="C765" s="125"/>
      <c r="D765" s="125"/>
      <c r="E765" s="126"/>
      <c r="F765" s="126"/>
      <c r="G765" s="126"/>
      <c r="H765" s="125"/>
    </row>
    <row r="766">
      <c r="A766" s="125"/>
      <c r="B766" s="125"/>
      <c r="C766" s="125"/>
      <c r="D766" s="125"/>
      <c r="E766" s="126"/>
      <c r="F766" s="126"/>
      <c r="G766" s="126"/>
      <c r="H766" s="125"/>
    </row>
    <row r="767">
      <c r="A767" s="125"/>
      <c r="B767" s="125"/>
      <c r="C767" s="125"/>
      <c r="D767" s="125"/>
      <c r="E767" s="126"/>
      <c r="F767" s="126"/>
      <c r="G767" s="126"/>
      <c r="H767" s="125"/>
    </row>
    <row r="768">
      <c r="A768" s="125"/>
      <c r="B768" s="125"/>
      <c r="C768" s="125"/>
      <c r="D768" s="125"/>
      <c r="E768" s="126"/>
      <c r="F768" s="126"/>
      <c r="G768" s="126"/>
      <c r="H768" s="125"/>
    </row>
    <row r="769">
      <c r="A769" s="125"/>
      <c r="B769" s="125"/>
      <c r="C769" s="125"/>
      <c r="D769" s="125"/>
      <c r="E769" s="126"/>
      <c r="F769" s="126"/>
      <c r="G769" s="126"/>
      <c r="H769" s="125"/>
    </row>
    <row r="770">
      <c r="A770" s="125"/>
      <c r="B770" s="125"/>
      <c r="C770" s="125"/>
      <c r="D770" s="125"/>
      <c r="E770" s="126"/>
      <c r="F770" s="126"/>
      <c r="G770" s="126"/>
      <c r="H770" s="125"/>
    </row>
    <row r="771">
      <c r="A771" s="125"/>
      <c r="B771" s="125"/>
      <c r="C771" s="125"/>
      <c r="D771" s="125"/>
      <c r="E771" s="126"/>
      <c r="F771" s="126"/>
      <c r="G771" s="126"/>
      <c r="H771" s="125"/>
    </row>
    <row r="772">
      <c r="A772" s="125"/>
      <c r="B772" s="125"/>
      <c r="C772" s="125"/>
      <c r="D772" s="125"/>
      <c r="E772" s="126"/>
      <c r="F772" s="126"/>
      <c r="G772" s="126"/>
      <c r="H772" s="125"/>
    </row>
    <row r="773">
      <c r="A773" s="125"/>
      <c r="B773" s="125"/>
      <c r="C773" s="125"/>
      <c r="D773" s="125"/>
      <c r="E773" s="126"/>
      <c r="F773" s="126"/>
      <c r="G773" s="126"/>
      <c r="H773" s="125"/>
    </row>
    <row r="774">
      <c r="A774" s="125"/>
      <c r="B774" s="125"/>
      <c r="C774" s="125"/>
      <c r="D774" s="125"/>
      <c r="E774" s="126"/>
      <c r="F774" s="126"/>
      <c r="G774" s="126"/>
      <c r="H774" s="125"/>
    </row>
    <row r="775">
      <c r="A775" s="125"/>
      <c r="B775" s="125"/>
      <c r="C775" s="125"/>
      <c r="D775" s="125"/>
      <c r="E775" s="126"/>
      <c r="F775" s="126"/>
      <c r="G775" s="126"/>
      <c r="H775" s="125"/>
    </row>
    <row r="776">
      <c r="A776" s="125"/>
      <c r="B776" s="125"/>
      <c r="C776" s="125"/>
      <c r="D776" s="125"/>
      <c r="E776" s="126"/>
      <c r="F776" s="126"/>
      <c r="G776" s="126"/>
      <c r="H776" s="125"/>
    </row>
    <row r="777">
      <c r="A777" s="125"/>
      <c r="B777" s="125"/>
      <c r="C777" s="125"/>
      <c r="D777" s="125"/>
      <c r="E777" s="126"/>
      <c r="F777" s="126"/>
      <c r="G777" s="126"/>
      <c r="H777" s="125"/>
    </row>
    <row r="778">
      <c r="A778" s="125"/>
      <c r="B778" s="125"/>
      <c r="C778" s="125"/>
      <c r="D778" s="125"/>
      <c r="E778" s="126"/>
      <c r="F778" s="126"/>
      <c r="G778" s="126"/>
      <c r="H778" s="125"/>
    </row>
    <row r="779">
      <c r="A779" s="125"/>
      <c r="B779" s="125"/>
      <c r="C779" s="125"/>
      <c r="D779" s="125"/>
      <c r="E779" s="126"/>
      <c r="F779" s="126"/>
      <c r="G779" s="126"/>
      <c r="H779" s="125"/>
    </row>
    <row r="780">
      <c r="A780" s="125"/>
      <c r="B780" s="125"/>
      <c r="C780" s="125"/>
      <c r="D780" s="125"/>
      <c r="E780" s="126"/>
      <c r="F780" s="126"/>
      <c r="G780" s="126"/>
      <c r="H780" s="125"/>
    </row>
    <row r="781">
      <c r="A781" s="125"/>
      <c r="B781" s="125"/>
      <c r="C781" s="125"/>
      <c r="D781" s="125"/>
      <c r="E781" s="126"/>
      <c r="F781" s="126"/>
      <c r="G781" s="126"/>
      <c r="H781" s="125"/>
    </row>
    <row r="782">
      <c r="A782" s="125"/>
      <c r="B782" s="125"/>
      <c r="C782" s="125"/>
      <c r="D782" s="125"/>
      <c r="E782" s="126"/>
      <c r="F782" s="126"/>
      <c r="G782" s="126"/>
      <c r="H782" s="125"/>
    </row>
    <row r="783">
      <c r="A783" s="125"/>
      <c r="B783" s="125"/>
      <c r="C783" s="125"/>
      <c r="D783" s="125"/>
      <c r="E783" s="126"/>
      <c r="F783" s="126"/>
      <c r="G783" s="126"/>
      <c r="H783" s="125"/>
    </row>
    <row r="784">
      <c r="A784" s="125"/>
      <c r="B784" s="125"/>
      <c r="C784" s="125"/>
      <c r="D784" s="125"/>
      <c r="E784" s="126"/>
      <c r="F784" s="126"/>
      <c r="G784" s="126"/>
      <c r="H784" s="125"/>
    </row>
    <row r="785">
      <c r="A785" s="125"/>
      <c r="B785" s="125"/>
      <c r="C785" s="125"/>
      <c r="D785" s="125"/>
      <c r="E785" s="126"/>
      <c r="F785" s="126"/>
      <c r="G785" s="126"/>
      <c r="H785" s="125"/>
    </row>
    <row r="786">
      <c r="A786" s="125"/>
      <c r="B786" s="125"/>
      <c r="C786" s="125"/>
      <c r="D786" s="125"/>
      <c r="E786" s="126"/>
      <c r="F786" s="126"/>
      <c r="G786" s="126"/>
      <c r="H786" s="125"/>
    </row>
    <row r="787">
      <c r="A787" s="125"/>
      <c r="B787" s="125"/>
      <c r="C787" s="125"/>
      <c r="D787" s="125"/>
      <c r="E787" s="126"/>
      <c r="F787" s="126"/>
      <c r="G787" s="126"/>
      <c r="H787" s="125"/>
    </row>
    <row r="788">
      <c r="A788" s="125"/>
      <c r="B788" s="125"/>
      <c r="C788" s="125"/>
      <c r="D788" s="125"/>
      <c r="E788" s="126"/>
      <c r="F788" s="126"/>
      <c r="G788" s="126"/>
      <c r="H788" s="125"/>
    </row>
    <row r="789">
      <c r="A789" s="125"/>
      <c r="B789" s="125"/>
      <c r="C789" s="125"/>
      <c r="D789" s="125"/>
      <c r="E789" s="126"/>
      <c r="F789" s="126"/>
      <c r="G789" s="126"/>
      <c r="H789" s="125"/>
    </row>
    <row r="790">
      <c r="A790" s="125"/>
      <c r="B790" s="125"/>
      <c r="C790" s="125"/>
      <c r="D790" s="125"/>
      <c r="E790" s="126"/>
      <c r="F790" s="126"/>
      <c r="G790" s="126"/>
      <c r="H790" s="125"/>
    </row>
    <row r="791">
      <c r="A791" s="125"/>
      <c r="B791" s="125"/>
      <c r="C791" s="125"/>
      <c r="D791" s="125"/>
      <c r="E791" s="126"/>
      <c r="F791" s="126"/>
      <c r="G791" s="126"/>
      <c r="H791" s="125"/>
    </row>
    <row r="792">
      <c r="A792" s="125"/>
      <c r="B792" s="125"/>
      <c r="C792" s="125"/>
      <c r="D792" s="125"/>
      <c r="E792" s="126"/>
      <c r="F792" s="126"/>
      <c r="G792" s="126"/>
      <c r="H792" s="125"/>
    </row>
    <row r="793">
      <c r="A793" s="125"/>
      <c r="B793" s="125"/>
      <c r="C793" s="125"/>
      <c r="D793" s="125"/>
      <c r="E793" s="126"/>
      <c r="F793" s="126"/>
      <c r="G793" s="126"/>
      <c r="H793" s="125"/>
    </row>
    <row r="794">
      <c r="A794" s="125"/>
      <c r="B794" s="125"/>
      <c r="C794" s="125"/>
      <c r="D794" s="125"/>
      <c r="E794" s="126"/>
      <c r="F794" s="126"/>
      <c r="G794" s="126"/>
      <c r="H794" s="125"/>
    </row>
    <row r="795">
      <c r="A795" s="125"/>
      <c r="B795" s="125"/>
      <c r="C795" s="125"/>
      <c r="D795" s="125"/>
      <c r="E795" s="126"/>
      <c r="F795" s="126"/>
      <c r="G795" s="126"/>
      <c r="H795" s="125"/>
    </row>
    <row r="796">
      <c r="A796" s="125"/>
      <c r="B796" s="125"/>
      <c r="C796" s="125"/>
      <c r="D796" s="125"/>
      <c r="E796" s="126"/>
      <c r="F796" s="126"/>
      <c r="G796" s="126"/>
      <c r="H796" s="125"/>
    </row>
    <row r="797">
      <c r="A797" s="125"/>
      <c r="B797" s="125"/>
      <c r="C797" s="125"/>
      <c r="D797" s="125"/>
      <c r="E797" s="126"/>
      <c r="F797" s="126"/>
      <c r="G797" s="126"/>
      <c r="H797" s="125"/>
    </row>
    <row r="798">
      <c r="A798" s="125"/>
      <c r="B798" s="125"/>
      <c r="C798" s="125"/>
      <c r="D798" s="125"/>
      <c r="E798" s="126"/>
      <c r="F798" s="126"/>
      <c r="G798" s="126"/>
      <c r="H798" s="125"/>
    </row>
    <row r="799">
      <c r="A799" s="125"/>
      <c r="B799" s="125"/>
      <c r="C799" s="125"/>
      <c r="D799" s="125"/>
      <c r="E799" s="126"/>
      <c r="F799" s="126"/>
      <c r="G799" s="126"/>
      <c r="H799" s="125"/>
    </row>
    <row r="800">
      <c r="A800" s="125"/>
      <c r="B800" s="125"/>
      <c r="C800" s="125"/>
      <c r="D800" s="125"/>
      <c r="E800" s="126"/>
      <c r="F800" s="126"/>
      <c r="G800" s="126"/>
      <c r="H800" s="125"/>
    </row>
    <row r="801">
      <c r="A801" s="125"/>
      <c r="B801" s="125"/>
      <c r="C801" s="125"/>
      <c r="D801" s="125"/>
      <c r="E801" s="126"/>
      <c r="F801" s="126"/>
      <c r="G801" s="126"/>
      <c r="H801" s="125"/>
    </row>
    <row r="802">
      <c r="A802" s="125"/>
      <c r="B802" s="125"/>
      <c r="C802" s="125"/>
      <c r="D802" s="125"/>
      <c r="E802" s="126"/>
      <c r="F802" s="126"/>
      <c r="G802" s="126"/>
      <c r="H802" s="125"/>
    </row>
    <row r="803">
      <c r="A803" s="125"/>
      <c r="B803" s="125"/>
      <c r="C803" s="125"/>
      <c r="D803" s="125"/>
      <c r="E803" s="126"/>
      <c r="F803" s="126"/>
      <c r="G803" s="126"/>
      <c r="H803" s="125"/>
    </row>
    <row r="804">
      <c r="A804" s="125"/>
      <c r="B804" s="125"/>
      <c r="C804" s="125"/>
      <c r="D804" s="125"/>
      <c r="E804" s="126"/>
      <c r="F804" s="126"/>
      <c r="G804" s="126"/>
      <c r="H804" s="125"/>
    </row>
    <row r="805">
      <c r="A805" s="125"/>
      <c r="B805" s="125"/>
      <c r="C805" s="125"/>
      <c r="D805" s="125"/>
      <c r="E805" s="126"/>
      <c r="F805" s="126"/>
      <c r="G805" s="126"/>
      <c r="H805" s="125"/>
    </row>
    <row r="806">
      <c r="A806" s="125"/>
      <c r="B806" s="125"/>
      <c r="C806" s="125"/>
      <c r="D806" s="125"/>
      <c r="E806" s="126"/>
      <c r="F806" s="126"/>
      <c r="G806" s="126"/>
      <c r="H806" s="125"/>
    </row>
    <row r="807">
      <c r="A807" s="125"/>
      <c r="B807" s="125"/>
      <c r="C807" s="125"/>
      <c r="D807" s="125"/>
      <c r="E807" s="126"/>
      <c r="F807" s="126"/>
      <c r="G807" s="126"/>
      <c r="H807" s="125"/>
    </row>
    <row r="808">
      <c r="A808" s="125"/>
      <c r="B808" s="125"/>
      <c r="C808" s="125"/>
      <c r="D808" s="125"/>
      <c r="E808" s="126"/>
      <c r="F808" s="126"/>
      <c r="G808" s="126"/>
      <c r="H808" s="125"/>
    </row>
    <row r="809">
      <c r="A809" s="125"/>
      <c r="B809" s="125"/>
      <c r="C809" s="125"/>
      <c r="D809" s="125"/>
      <c r="E809" s="126"/>
      <c r="F809" s="126"/>
      <c r="G809" s="126"/>
      <c r="H809" s="125"/>
    </row>
    <row r="810">
      <c r="A810" s="125"/>
      <c r="B810" s="125"/>
      <c r="C810" s="125"/>
      <c r="D810" s="125"/>
      <c r="E810" s="126"/>
      <c r="F810" s="126"/>
      <c r="G810" s="126"/>
      <c r="H810" s="125"/>
    </row>
    <row r="811">
      <c r="A811" s="125"/>
      <c r="B811" s="125"/>
      <c r="C811" s="125"/>
      <c r="D811" s="125"/>
      <c r="E811" s="126"/>
      <c r="F811" s="126"/>
      <c r="G811" s="126"/>
      <c r="H811" s="125"/>
    </row>
    <row r="812">
      <c r="A812" s="125"/>
      <c r="B812" s="125"/>
      <c r="C812" s="125"/>
      <c r="D812" s="125"/>
      <c r="E812" s="126"/>
      <c r="F812" s="126"/>
      <c r="G812" s="126"/>
      <c r="H812" s="125"/>
    </row>
    <row r="813">
      <c r="A813" s="125"/>
      <c r="B813" s="125"/>
      <c r="C813" s="125"/>
      <c r="D813" s="125"/>
      <c r="E813" s="126"/>
      <c r="F813" s="126"/>
      <c r="G813" s="126"/>
      <c r="H813" s="125"/>
    </row>
    <row r="814">
      <c r="A814" s="125"/>
      <c r="B814" s="125"/>
      <c r="C814" s="125"/>
      <c r="D814" s="125"/>
      <c r="E814" s="126"/>
      <c r="F814" s="126"/>
      <c r="G814" s="126"/>
      <c r="H814" s="125"/>
    </row>
    <row r="815">
      <c r="A815" s="125"/>
      <c r="B815" s="125"/>
      <c r="C815" s="125"/>
      <c r="D815" s="125"/>
      <c r="E815" s="126"/>
      <c r="F815" s="126"/>
      <c r="G815" s="126"/>
      <c r="H815" s="125"/>
    </row>
    <row r="816">
      <c r="A816" s="125"/>
      <c r="B816" s="125"/>
      <c r="C816" s="125"/>
      <c r="D816" s="125"/>
      <c r="E816" s="126"/>
      <c r="F816" s="126"/>
      <c r="G816" s="126"/>
      <c r="H816" s="125"/>
    </row>
    <row r="817">
      <c r="A817" s="125"/>
      <c r="B817" s="125"/>
      <c r="C817" s="125"/>
      <c r="D817" s="125"/>
      <c r="E817" s="126"/>
      <c r="F817" s="126"/>
      <c r="G817" s="126"/>
      <c r="H817" s="125"/>
    </row>
    <row r="818">
      <c r="A818" s="125"/>
      <c r="B818" s="125"/>
      <c r="C818" s="125"/>
      <c r="D818" s="125"/>
      <c r="E818" s="126"/>
      <c r="F818" s="126"/>
      <c r="G818" s="126"/>
      <c r="H818" s="125"/>
    </row>
    <row r="819">
      <c r="A819" s="125"/>
      <c r="B819" s="125"/>
      <c r="C819" s="125"/>
      <c r="D819" s="125"/>
      <c r="E819" s="126"/>
      <c r="F819" s="126"/>
      <c r="G819" s="126"/>
      <c r="H819" s="125"/>
    </row>
    <row r="820">
      <c r="A820" s="125"/>
      <c r="B820" s="125"/>
      <c r="C820" s="125"/>
      <c r="D820" s="125"/>
      <c r="E820" s="126"/>
      <c r="F820" s="126"/>
      <c r="G820" s="126"/>
      <c r="H820" s="125"/>
    </row>
    <row r="821">
      <c r="A821" s="125"/>
      <c r="B821" s="125"/>
      <c r="C821" s="125"/>
      <c r="D821" s="125"/>
      <c r="E821" s="126"/>
      <c r="F821" s="126"/>
      <c r="G821" s="126"/>
      <c r="H821" s="125"/>
    </row>
    <row r="822">
      <c r="A822" s="125"/>
      <c r="B822" s="125"/>
      <c r="C822" s="125"/>
      <c r="D822" s="125"/>
      <c r="E822" s="126"/>
      <c r="F822" s="126"/>
      <c r="G822" s="126"/>
      <c r="H822" s="125"/>
    </row>
    <row r="823">
      <c r="A823" s="125"/>
      <c r="B823" s="125"/>
      <c r="C823" s="125"/>
      <c r="D823" s="125"/>
      <c r="E823" s="126"/>
      <c r="F823" s="126"/>
      <c r="G823" s="126"/>
      <c r="H823" s="125"/>
    </row>
    <row r="824">
      <c r="A824" s="125"/>
      <c r="B824" s="125"/>
      <c r="C824" s="125"/>
      <c r="D824" s="125"/>
      <c r="E824" s="126"/>
      <c r="F824" s="126"/>
      <c r="G824" s="126"/>
      <c r="H824" s="125"/>
    </row>
    <row r="825">
      <c r="A825" s="125"/>
      <c r="B825" s="125"/>
      <c r="C825" s="125"/>
      <c r="D825" s="125"/>
      <c r="E825" s="126"/>
      <c r="F825" s="126"/>
      <c r="G825" s="126"/>
      <c r="H825" s="125"/>
    </row>
    <row r="826">
      <c r="A826" s="125"/>
      <c r="B826" s="125"/>
      <c r="C826" s="125"/>
      <c r="D826" s="125"/>
      <c r="E826" s="126"/>
      <c r="F826" s="126"/>
      <c r="G826" s="126"/>
      <c r="H826" s="125"/>
    </row>
    <row r="827">
      <c r="A827" s="125"/>
      <c r="B827" s="125"/>
      <c r="C827" s="125"/>
      <c r="D827" s="125"/>
      <c r="E827" s="126"/>
      <c r="F827" s="126"/>
      <c r="G827" s="126"/>
      <c r="H827" s="125"/>
    </row>
    <row r="828">
      <c r="A828" s="125"/>
      <c r="B828" s="125"/>
      <c r="C828" s="125"/>
      <c r="D828" s="125"/>
      <c r="E828" s="126"/>
      <c r="F828" s="126"/>
      <c r="G828" s="126"/>
      <c r="H828" s="125"/>
    </row>
    <row r="829">
      <c r="A829" s="125"/>
      <c r="B829" s="125"/>
      <c r="C829" s="125"/>
      <c r="D829" s="125"/>
      <c r="E829" s="126"/>
      <c r="F829" s="126"/>
      <c r="G829" s="126"/>
      <c r="H829" s="125"/>
    </row>
    <row r="830">
      <c r="A830" s="125"/>
      <c r="B830" s="125"/>
      <c r="C830" s="125"/>
      <c r="D830" s="125"/>
      <c r="E830" s="126"/>
      <c r="F830" s="126"/>
      <c r="G830" s="126"/>
      <c r="H830" s="125"/>
    </row>
    <row r="831">
      <c r="A831" s="125"/>
      <c r="B831" s="125"/>
      <c r="C831" s="125"/>
      <c r="D831" s="125"/>
      <c r="E831" s="126"/>
      <c r="F831" s="126"/>
      <c r="G831" s="126"/>
      <c r="H831" s="125"/>
    </row>
    <row r="832">
      <c r="A832" s="125"/>
      <c r="B832" s="125"/>
      <c r="C832" s="125"/>
      <c r="D832" s="125"/>
      <c r="E832" s="126"/>
      <c r="F832" s="126"/>
      <c r="G832" s="126"/>
      <c r="H832" s="125"/>
    </row>
    <row r="833">
      <c r="A833" s="125"/>
      <c r="B833" s="125"/>
      <c r="C833" s="125"/>
      <c r="D833" s="125"/>
      <c r="E833" s="126"/>
      <c r="F833" s="126"/>
      <c r="G833" s="126"/>
      <c r="H833" s="125"/>
    </row>
    <row r="834">
      <c r="A834" s="125"/>
      <c r="B834" s="125"/>
      <c r="C834" s="125"/>
      <c r="D834" s="125"/>
      <c r="E834" s="126"/>
      <c r="F834" s="126"/>
      <c r="G834" s="126"/>
      <c r="H834" s="125"/>
    </row>
    <row r="835">
      <c r="A835" s="125"/>
      <c r="B835" s="125"/>
      <c r="C835" s="125"/>
      <c r="D835" s="125"/>
      <c r="E835" s="126"/>
      <c r="F835" s="126"/>
      <c r="G835" s="126"/>
      <c r="H835" s="125"/>
    </row>
    <row r="836">
      <c r="A836" s="125"/>
      <c r="B836" s="125"/>
      <c r="C836" s="125"/>
      <c r="D836" s="125"/>
      <c r="E836" s="126"/>
      <c r="F836" s="126"/>
      <c r="G836" s="126"/>
      <c r="H836" s="125"/>
    </row>
    <row r="837">
      <c r="A837" s="125"/>
      <c r="B837" s="125"/>
      <c r="C837" s="125"/>
      <c r="D837" s="125"/>
      <c r="E837" s="126"/>
      <c r="F837" s="126"/>
      <c r="G837" s="126"/>
      <c r="H837" s="125"/>
    </row>
    <row r="838">
      <c r="A838" s="125"/>
      <c r="B838" s="125"/>
      <c r="C838" s="125"/>
      <c r="D838" s="125"/>
      <c r="E838" s="126"/>
      <c r="F838" s="126"/>
      <c r="G838" s="126"/>
      <c r="H838" s="125"/>
    </row>
    <row r="839">
      <c r="A839" s="125"/>
      <c r="B839" s="125"/>
      <c r="C839" s="125"/>
      <c r="D839" s="125"/>
      <c r="E839" s="126"/>
      <c r="F839" s="126"/>
      <c r="G839" s="126"/>
      <c r="H839" s="125"/>
    </row>
    <row r="840">
      <c r="A840" s="125"/>
      <c r="B840" s="125"/>
      <c r="C840" s="125"/>
      <c r="D840" s="125"/>
      <c r="E840" s="126"/>
      <c r="F840" s="126"/>
      <c r="G840" s="126"/>
      <c r="H840" s="125"/>
    </row>
    <row r="841">
      <c r="A841" s="125"/>
      <c r="B841" s="125"/>
      <c r="C841" s="125"/>
      <c r="D841" s="125"/>
      <c r="E841" s="126"/>
      <c r="F841" s="126"/>
      <c r="G841" s="126"/>
      <c r="H841" s="125"/>
    </row>
    <row r="842">
      <c r="A842" s="125"/>
      <c r="B842" s="125"/>
      <c r="C842" s="125"/>
      <c r="D842" s="125"/>
      <c r="E842" s="126"/>
      <c r="F842" s="126"/>
      <c r="G842" s="126"/>
      <c r="H842" s="125"/>
    </row>
    <row r="843">
      <c r="A843" s="125"/>
      <c r="B843" s="125"/>
      <c r="C843" s="125"/>
      <c r="D843" s="125"/>
      <c r="E843" s="126"/>
      <c r="F843" s="126"/>
      <c r="G843" s="126"/>
      <c r="H843" s="125"/>
    </row>
    <row r="844">
      <c r="A844" s="125"/>
      <c r="B844" s="125"/>
      <c r="C844" s="125"/>
      <c r="D844" s="125"/>
      <c r="E844" s="126"/>
      <c r="F844" s="126"/>
      <c r="G844" s="126"/>
      <c r="H844" s="125"/>
    </row>
    <row r="845">
      <c r="A845" s="125"/>
      <c r="B845" s="125"/>
      <c r="C845" s="125"/>
      <c r="D845" s="125"/>
      <c r="E845" s="126"/>
      <c r="F845" s="126"/>
      <c r="G845" s="126"/>
      <c r="H845" s="125"/>
    </row>
    <row r="846">
      <c r="A846" s="125"/>
      <c r="B846" s="125"/>
      <c r="C846" s="125"/>
      <c r="D846" s="125"/>
      <c r="E846" s="126"/>
      <c r="F846" s="126"/>
      <c r="G846" s="126"/>
      <c r="H846" s="125"/>
    </row>
    <row r="847">
      <c r="A847" s="125"/>
      <c r="B847" s="125"/>
      <c r="C847" s="125"/>
      <c r="D847" s="125"/>
      <c r="E847" s="126"/>
      <c r="F847" s="126"/>
      <c r="G847" s="126"/>
      <c r="H847" s="125"/>
    </row>
    <row r="848">
      <c r="A848" s="125"/>
      <c r="B848" s="125"/>
      <c r="C848" s="125"/>
      <c r="D848" s="125"/>
      <c r="E848" s="126"/>
      <c r="F848" s="126"/>
      <c r="G848" s="126"/>
      <c r="H848" s="125"/>
    </row>
    <row r="849">
      <c r="A849" s="125"/>
      <c r="B849" s="125"/>
      <c r="C849" s="125"/>
      <c r="D849" s="125"/>
      <c r="E849" s="126"/>
      <c r="F849" s="126"/>
      <c r="G849" s="126"/>
      <c r="H849" s="125"/>
    </row>
    <row r="850">
      <c r="A850" s="125"/>
      <c r="B850" s="125"/>
      <c r="C850" s="125"/>
      <c r="D850" s="125"/>
      <c r="E850" s="126"/>
      <c r="F850" s="126"/>
      <c r="G850" s="126"/>
      <c r="H850" s="125"/>
    </row>
    <row r="851">
      <c r="A851" s="125"/>
      <c r="B851" s="125"/>
      <c r="C851" s="125"/>
      <c r="D851" s="125"/>
      <c r="E851" s="126"/>
      <c r="F851" s="126"/>
      <c r="G851" s="126"/>
      <c r="H851" s="125"/>
    </row>
    <row r="852">
      <c r="A852" s="125"/>
      <c r="B852" s="125"/>
      <c r="C852" s="125"/>
      <c r="D852" s="125"/>
      <c r="E852" s="126"/>
      <c r="F852" s="126"/>
      <c r="G852" s="126"/>
      <c r="H852" s="125"/>
    </row>
    <row r="853">
      <c r="A853" s="125"/>
      <c r="B853" s="125"/>
      <c r="C853" s="125"/>
      <c r="D853" s="125"/>
      <c r="E853" s="126"/>
      <c r="F853" s="126"/>
      <c r="G853" s="126"/>
      <c r="H853" s="125"/>
    </row>
    <row r="854">
      <c r="A854" s="125"/>
      <c r="B854" s="125"/>
      <c r="C854" s="125"/>
      <c r="D854" s="125"/>
      <c r="E854" s="126"/>
      <c r="F854" s="126"/>
      <c r="G854" s="126"/>
      <c r="H854" s="125"/>
    </row>
    <row r="855">
      <c r="A855" s="125"/>
      <c r="B855" s="125"/>
      <c r="C855" s="125"/>
      <c r="D855" s="125"/>
      <c r="E855" s="126"/>
      <c r="F855" s="126"/>
      <c r="G855" s="126"/>
      <c r="H855" s="125"/>
    </row>
    <row r="856">
      <c r="A856" s="125"/>
      <c r="B856" s="125"/>
      <c r="C856" s="125"/>
      <c r="D856" s="125"/>
      <c r="E856" s="126"/>
      <c r="F856" s="126"/>
      <c r="G856" s="126"/>
      <c r="H856" s="125"/>
    </row>
    <row r="857">
      <c r="A857" s="125"/>
      <c r="B857" s="125"/>
      <c r="C857" s="125"/>
      <c r="D857" s="125"/>
      <c r="E857" s="126"/>
      <c r="F857" s="126"/>
      <c r="G857" s="126"/>
      <c r="H857" s="125"/>
    </row>
    <row r="858">
      <c r="A858" s="125"/>
      <c r="B858" s="125"/>
      <c r="C858" s="125"/>
      <c r="D858" s="125"/>
      <c r="E858" s="126"/>
      <c r="F858" s="126"/>
      <c r="G858" s="126"/>
      <c r="H858" s="125"/>
    </row>
    <row r="859">
      <c r="A859" s="125"/>
      <c r="B859" s="125"/>
      <c r="C859" s="125"/>
      <c r="D859" s="125"/>
      <c r="E859" s="126"/>
      <c r="F859" s="126"/>
      <c r="G859" s="126"/>
      <c r="H859" s="125"/>
    </row>
    <row r="860">
      <c r="A860" s="125"/>
      <c r="B860" s="125"/>
      <c r="C860" s="125"/>
      <c r="D860" s="125"/>
      <c r="E860" s="126"/>
      <c r="F860" s="126"/>
      <c r="G860" s="126"/>
      <c r="H860" s="125"/>
    </row>
    <row r="861">
      <c r="A861" s="125"/>
      <c r="B861" s="125"/>
      <c r="C861" s="125"/>
      <c r="D861" s="125"/>
      <c r="E861" s="126"/>
      <c r="F861" s="126"/>
      <c r="G861" s="126"/>
      <c r="H861" s="125"/>
    </row>
    <row r="862">
      <c r="A862" s="125"/>
      <c r="B862" s="125"/>
      <c r="C862" s="125"/>
      <c r="D862" s="125"/>
      <c r="E862" s="126"/>
      <c r="F862" s="126"/>
      <c r="G862" s="126"/>
      <c r="H862" s="125"/>
    </row>
    <row r="863">
      <c r="A863" s="125"/>
      <c r="B863" s="125"/>
      <c r="C863" s="125"/>
      <c r="D863" s="125"/>
      <c r="E863" s="126"/>
      <c r="F863" s="126"/>
      <c r="G863" s="126"/>
      <c r="H863" s="125"/>
    </row>
    <row r="864">
      <c r="A864" s="125"/>
      <c r="B864" s="125"/>
      <c r="C864" s="125"/>
      <c r="D864" s="125"/>
      <c r="E864" s="126"/>
      <c r="F864" s="126"/>
      <c r="G864" s="126"/>
      <c r="H864" s="125"/>
    </row>
    <row r="865">
      <c r="A865" s="125"/>
      <c r="B865" s="125"/>
      <c r="C865" s="125"/>
      <c r="D865" s="125"/>
      <c r="E865" s="126"/>
      <c r="F865" s="126"/>
      <c r="G865" s="126"/>
      <c r="H865" s="125"/>
    </row>
    <row r="866">
      <c r="A866" s="125"/>
      <c r="B866" s="125"/>
      <c r="C866" s="125"/>
      <c r="D866" s="125"/>
      <c r="E866" s="126"/>
      <c r="F866" s="126"/>
      <c r="G866" s="126"/>
      <c r="H866" s="125"/>
    </row>
    <row r="867">
      <c r="A867" s="125"/>
      <c r="B867" s="125"/>
      <c r="C867" s="125"/>
      <c r="D867" s="125"/>
      <c r="E867" s="126"/>
      <c r="F867" s="126"/>
      <c r="G867" s="126"/>
      <c r="H867" s="125"/>
    </row>
    <row r="868">
      <c r="A868" s="125"/>
      <c r="B868" s="125"/>
      <c r="C868" s="125"/>
      <c r="D868" s="125"/>
      <c r="E868" s="126"/>
      <c r="F868" s="126"/>
      <c r="G868" s="126"/>
      <c r="H868" s="125"/>
    </row>
    <row r="869">
      <c r="A869" s="125"/>
      <c r="B869" s="125"/>
      <c r="C869" s="125"/>
      <c r="D869" s="125"/>
      <c r="E869" s="126"/>
      <c r="F869" s="126"/>
      <c r="G869" s="126"/>
      <c r="H869" s="125"/>
    </row>
    <row r="870">
      <c r="A870" s="125"/>
      <c r="B870" s="125"/>
      <c r="C870" s="125"/>
      <c r="D870" s="125"/>
      <c r="E870" s="126"/>
      <c r="F870" s="126"/>
      <c r="G870" s="126"/>
      <c r="H870" s="125"/>
    </row>
    <row r="871">
      <c r="A871" s="125"/>
      <c r="B871" s="125"/>
      <c r="C871" s="125"/>
      <c r="D871" s="125"/>
      <c r="E871" s="126"/>
      <c r="F871" s="126"/>
      <c r="G871" s="126"/>
      <c r="H871" s="125"/>
    </row>
    <row r="872">
      <c r="A872" s="125"/>
      <c r="B872" s="125"/>
      <c r="C872" s="125"/>
      <c r="D872" s="125"/>
      <c r="E872" s="126"/>
      <c r="F872" s="126"/>
      <c r="G872" s="126"/>
      <c r="H872" s="125"/>
    </row>
    <row r="873">
      <c r="A873" s="125"/>
      <c r="B873" s="125"/>
      <c r="C873" s="125"/>
      <c r="D873" s="125"/>
      <c r="E873" s="126"/>
      <c r="F873" s="126"/>
      <c r="G873" s="126"/>
      <c r="H873" s="125"/>
    </row>
    <row r="874">
      <c r="A874" s="125"/>
      <c r="B874" s="125"/>
      <c r="C874" s="125"/>
      <c r="D874" s="125"/>
      <c r="E874" s="126"/>
      <c r="F874" s="126"/>
      <c r="G874" s="126"/>
      <c r="H874" s="125"/>
    </row>
    <row r="875">
      <c r="A875" s="125"/>
      <c r="B875" s="125"/>
      <c r="C875" s="125"/>
      <c r="D875" s="125"/>
      <c r="E875" s="126"/>
      <c r="F875" s="126"/>
      <c r="G875" s="126"/>
      <c r="H875" s="125"/>
    </row>
    <row r="876">
      <c r="A876" s="125"/>
      <c r="B876" s="125"/>
      <c r="C876" s="125"/>
      <c r="D876" s="125"/>
      <c r="E876" s="126"/>
      <c r="F876" s="126"/>
      <c r="G876" s="126"/>
      <c r="H876" s="125"/>
    </row>
    <row r="877">
      <c r="A877" s="125"/>
      <c r="B877" s="125"/>
      <c r="C877" s="125"/>
      <c r="D877" s="125"/>
      <c r="E877" s="126"/>
      <c r="F877" s="126"/>
      <c r="G877" s="126"/>
      <c r="H877" s="125"/>
    </row>
    <row r="878">
      <c r="A878" s="125"/>
      <c r="B878" s="125"/>
      <c r="C878" s="125"/>
      <c r="D878" s="125"/>
      <c r="E878" s="126"/>
      <c r="F878" s="126"/>
      <c r="G878" s="126"/>
      <c r="H878" s="125"/>
    </row>
    <row r="879">
      <c r="A879" s="125"/>
      <c r="B879" s="125"/>
      <c r="C879" s="125"/>
      <c r="D879" s="125"/>
      <c r="E879" s="126"/>
      <c r="F879" s="126"/>
      <c r="G879" s="126"/>
      <c r="H879" s="125"/>
    </row>
    <row r="880">
      <c r="A880" s="125"/>
      <c r="B880" s="125"/>
      <c r="C880" s="125"/>
      <c r="D880" s="125"/>
      <c r="E880" s="126"/>
      <c r="F880" s="126"/>
      <c r="G880" s="126"/>
      <c r="H880" s="125"/>
    </row>
    <row r="881">
      <c r="A881" s="125"/>
      <c r="B881" s="125"/>
      <c r="C881" s="125"/>
      <c r="D881" s="125"/>
      <c r="E881" s="126"/>
      <c r="F881" s="126"/>
      <c r="G881" s="126"/>
      <c r="H881" s="125"/>
    </row>
    <row r="882">
      <c r="A882" s="125"/>
      <c r="B882" s="125"/>
      <c r="C882" s="125"/>
      <c r="D882" s="125"/>
      <c r="E882" s="126"/>
      <c r="F882" s="126"/>
      <c r="G882" s="126"/>
      <c r="H882" s="125"/>
    </row>
    <row r="883">
      <c r="A883" s="125"/>
      <c r="B883" s="125"/>
      <c r="C883" s="125"/>
      <c r="D883" s="125"/>
      <c r="E883" s="126"/>
      <c r="F883" s="126"/>
      <c r="G883" s="126"/>
      <c r="H883" s="125"/>
    </row>
    <row r="884">
      <c r="A884" s="125"/>
      <c r="B884" s="125"/>
      <c r="C884" s="125"/>
      <c r="D884" s="125"/>
      <c r="E884" s="126"/>
      <c r="F884" s="126"/>
      <c r="G884" s="126"/>
      <c r="H884" s="125"/>
    </row>
    <row r="885">
      <c r="A885" s="125"/>
      <c r="B885" s="125"/>
      <c r="C885" s="125"/>
      <c r="D885" s="125"/>
      <c r="E885" s="126"/>
      <c r="F885" s="126"/>
      <c r="G885" s="126"/>
      <c r="H885" s="125"/>
    </row>
    <row r="886">
      <c r="A886" s="125"/>
      <c r="B886" s="125"/>
      <c r="C886" s="125"/>
      <c r="D886" s="125"/>
      <c r="E886" s="126"/>
      <c r="F886" s="126"/>
      <c r="G886" s="126"/>
      <c r="H886" s="125"/>
    </row>
    <row r="887">
      <c r="A887" s="125"/>
      <c r="B887" s="125"/>
      <c r="C887" s="125"/>
      <c r="D887" s="125"/>
      <c r="E887" s="126"/>
      <c r="F887" s="126"/>
      <c r="G887" s="126"/>
      <c r="H887" s="125"/>
    </row>
    <row r="888">
      <c r="A888" s="125"/>
      <c r="B888" s="125"/>
      <c r="C888" s="125"/>
      <c r="D888" s="125"/>
      <c r="E888" s="126"/>
      <c r="F888" s="126"/>
      <c r="G888" s="126"/>
      <c r="H888" s="125"/>
    </row>
    <row r="889">
      <c r="A889" s="125"/>
      <c r="B889" s="125"/>
      <c r="C889" s="125"/>
      <c r="D889" s="125"/>
      <c r="E889" s="126"/>
      <c r="F889" s="126"/>
      <c r="G889" s="126"/>
      <c r="H889" s="125"/>
    </row>
    <row r="890">
      <c r="A890" s="125"/>
      <c r="B890" s="125"/>
      <c r="C890" s="125"/>
      <c r="D890" s="125"/>
      <c r="E890" s="126"/>
      <c r="F890" s="126"/>
      <c r="G890" s="126"/>
      <c r="H890" s="125"/>
    </row>
    <row r="891">
      <c r="A891" s="125"/>
      <c r="B891" s="125"/>
      <c r="C891" s="125"/>
      <c r="D891" s="125"/>
      <c r="E891" s="126"/>
      <c r="F891" s="126"/>
      <c r="G891" s="126"/>
      <c r="H891" s="125"/>
    </row>
    <row r="892">
      <c r="A892" s="125"/>
      <c r="B892" s="125"/>
      <c r="C892" s="125"/>
      <c r="D892" s="125"/>
      <c r="E892" s="126"/>
      <c r="F892" s="126"/>
      <c r="G892" s="126"/>
      <c r="H892" s="125"/>
    </row>
    <row r="893">
      <c r="A893" s="125"/>
      <c r="B893" s="125"/>
      <c r="C893" s="125"/>
      <c r="D893" s="125"/>
      <c r="E893" s="126"/>
      <c r="F893" s="126"/>
      <c r="G893" s="126"/>
      <c r="H893" s="125"/>
    </row>
    <row r="894">
      <c r="A894" s="125"/>
      <c r="B894" s="125"/>
      <c r="C894" s="125"/>
      <c r="D894" s="125"/>
      <c r="E894" s="126"/>
      <c r="F894" s="126"/>
      <c r="G894" s="126"/>
      <c r="H894" s="125"/>
    </row>
    <row r="895">
      <c r="A895" s="125"/>
      <c r="B895" s="125"/>
      <c r="C895" s="125"/>
      <c r="D895" s="125"/>
      <c r="E895" s="126"/>
      <c r="F895" s="126"/>
      <c r="G895" s="126"/>
      <c r="H895" s="125"/>
    </row>
    <row r="896">
      <c r="A896" s="125"/>
      <c r="B896" s="125"/>
      <c r="C896" s="125"/>
      <c r="D896" s="125"/>
      <c r="E896" s="126"/>
      <c r="F896" s="126"/>
      <c r="G896" s="126"/>
      <c r="H896" s="125"/>
    </row>
    <row r="897">
      <c r="A897" s="125"/>
      <c r="B897" s="125"/>
      <c r="C897" s="125"/>
      <c r="D897" s="125"/>
      <c r="E897" s="126"/>
      <c r="F897" s="126"/>
      <c r="G897" s="126"/>
      <c r="H897" s="125"/>
    </row>
    <row r="898">
      <c r="A898" s="125"/>
      <c r="B898" s="125"/>
      <c r="C898" s="125"/>
      <c r="D898" s="125"/>
      <c r="E898" s="126"/>
      <c r="F898" s="126"/>
      <c r="G898" s="126"/>
      <c r="H898" s="125"/>
    </row>
    <row r="899">
      <c r="A899" s="125"/>
      <c r="B899" s="125"/>
      <c r="C899" s="125"/>
      <c r="D899" s="125"/>
      <c r="E899" s="126"/>
      <c r="F899" s="126"/>
      <c r="G899" s="126"/>
      <c r="H899" s="125"/>
    </row>
    <row r="900">
      <c r="A900" s="125"/>
      <c r="B900" s="125"/>
      <c r="C900" s="125"/>
      <c r="D900" s="125"/>
      <c r="E900" s="126"/>
      <c r="F900" s="126"/>
      <c r="G900" s="126"/>
      <c r="H900" s="125"/>
    </row>
    <row r="901">
      <c r="A901" s="125"/>
      <c r="B901" s="125"/>
      <c r="C901" s="125"/>
      <c r="D901" s="125"/>
      <c r="E901" s="126"/>
      <c r="F901" s="126"/>
      <c r="G901" s="126"/>
      <c r="H901" s="125"/>
    </row>
    <row r="902">
      <c r="A902" s="125"/>
      <c r="B902" s="125"/>
      <c r="C902" s="125"/>
      <c r="D902" s="125"/>
      <c r="E902" s="126"/>
      <c r="F902" s="126"/>
      <c r="G902" s="126"/>
      <c r="H902" s="125"/>
    </row>
    <row r="903">
      <c r="A903" s="125"/>
      <c r="B903" s="125"/>
      <c r="C903" s="125"/>
      <c r="D903" s="125"/>
      <c r="E903" s="126"/>
      <c r="F903" s="126"/>
      <c r="G903" s="126"/>
      <c r="H903" s="125"/>
    </row>
    <row r="904">
      <c r="A904" s="125"/>
      <c r="B904" s="125"/>
      <c r="C904" s="125"/>
      <c r="D904" s="125"/>
      <c r="E904" s="126"/>
      <c r="F904" s="126"/>
      <c r="G904" s="126"/>
      <c r="H904" s="125"/>
    </row>
    <row r="905">
      <c r="A905" s="125"/>
      <c r="B905" s="125"/>
      <c r="C905" s="125"/>
      <c r="D905" s="125"/>
      <c r="E905" s="126"/>
      <c r="F905" s="126"/>
      <c r="G905" s="126"/>
      <c r="H905" s="125"/>
    </row>
    <row r="906">
      <c r="A906" s="125"/>
      <c r="B906" s="125"/>
      <c r="C906" s="125"/>
      <c r="D906" s="125"/>
      <c r="E906" s="126"/>
      <c r="F906" s="126"/>
      <c r="G906" s="126"/>
      <c r="H906" s="125"/>
    </row>
    <row r="907">
      <c r="A907" s="125"/>
      <c r="B907" s="125"/>
      <c r="C907" s="125"/>
      <c r="D907" s="125"/>
      <c r="E907" s="126"/>
      <c r="F907" s="126"/>
      <c r="G907" s="126"/>
      <c r="H907" s="125"/>
    </row>
    <row r="908">
      <c r="A908" s="125"/>
      <c r="B908" s="125"/>
      <c r="C908" s="125"/>
      <c r="D908" s="125"/>
      <c r="E908" s="126"/>
      <c r="F908" s="126"/>
      <c r="G908" s="126"/>
      <c r="H908" s="125"/>
    </row>
    <row r="909">
      <c r="A909" s="125"/>
      <c r="B909" s="125"/>
      <c r="C909" s="125"/>
      <c r="D909" s="125"/>
      <c r="E909" s="126"/>
      <c r="F909" s="126"/>
      <c r="G909" s="126"/>
      <c r="H909" s="125"/>
    </row>
    <row r="910">
      <c r="A910" s="125"/>
      <c r="B910" s="125"/>
      <c r="C910" s="125"/>
      <c r="D910" s="125"/>
      <c r="E910" s="126"/>
      <c r="F910" s="126"/>
      <c r="G910" s="126"/>
      <c r="H910" s="125"/>
    </row>
    <row r="911">
      <c r="A911" s="125"/>
      <c r="B911" s="125"/>
      <c r="C911" s="125"/>
      <c r="D911" s="125"/>
      <c r="E911" s="126"/>
      <c r="F911" s="126"/>
      <c r="G911" s="126"/>
      <c r="H911" s="125"/>
    </row>
    <row r="912">
      <c r="A912" s="125"/>
      <c r="B912" s="125"/>
      <c r="C912" s="125"/>
      <c r="D912" s="125"/>
      <c r="E912" s="126"/>
      <c r="F912" s="126"/>
      <c r="G912" s="126"/>
      <c r="H912" s="125"/>
    </row>
    <row r="913">
      <c r="A913" s="125"/>
      <c r="B913" s="125"/>
      <c r="C913" s="125"/>
      <c r="D913" s="125"/>
      <c r="E913" s="126"/>
      <c r="F913" s="126"/>
      <c r="G913" s="126"/>
      <c r="H913" s="125"/>
    </row>
    <row r="914">
      <c r="A914" s="125"/>
      <c r="B914" s="125"/>
      <c r="C914" s="125"/>
      <c r="D914" s="125"/>
      <c r="E914" s="126"/>
      <c r="F914" s="126"/>
      <c r="G914" s="126"/>
      <c r="H914" s="125"/>
    </row>
    <row r="915">
      <c r="A915" s="125"/>
      <c r="B915" s="125"/>
      <c r="C915" s="125"/>
      <c r="D915" s="125"/>
      <c r="E915" s="126"/>
      <c r="F915" s="126"/>
      <c r="G915" s="126"/>
      <c r="H915" s="125"/>
    </row>
    <row r="916">
      <c r="A916" s="125"/>
      <c r="B916" s="125"/>
      <c r="C916" s="125"/>
      <c r="D916" s="125"/>
      <c r="E916" s="126"/>
      <c r="F916" s="126"/>
      <c r="G916" s="126"/>
      <c r="H916" s="125"/>
    </row>
    <row r="917">
      <c r="A917" s="125"/>
      <c r="B917" s="125"/>
      <c r="C917" s="125"/>
      <c r="D917" s="125"/>
      <c r="E917" s="126"/>
      <c r="F917" s="126"/>
      <c r="G917" s="126"/>
      <c r="H917" s="125"/>
    </row>
    <row r="918">
      <c r="A918" s="125"/>
      <c r="B918" s="125"/>
      <c r="C918" s="125"/>
      <c r="D918" s="125"/>
      <c r="E918" s="126"/>
      <c r="F918" s="126"/>
      <c r="G918" s="126"/>
      <c r="H918" s="125"/>
    </row>
    <row r="919">
      <c r="A919" s="125"/>
      <c r="B919" s="125"/>
      <c r="C919" s="125"/>
      <c r="D919" s="125"/>
      <c r="E919" s="126"/>
      <c r="F919" s="126"/>
      <c r="G919" s="126"/>
      <c r="H919" s="125"/>
    </row>
    <row r="920">
      <c r="A920" s="125"/>
      <c r="B920" s="125"/>
      <c r="C920" s="125"/>
      <c r="D920" s="125"/>
      <c r="E920" s="126"/>
      <c r="F920" s="126"/>
      <c r="G920" s="126"/>
      <c r="H920" s="125"/>
    </row>
    <row r="921">
      <c r="A921" s="125"/>
      <c r="B921" s="125"/>
      <c r="C921" s="125"/>
      <c r="D921" s="125"/>
      <c r="E921" s="126"/>
      <c r="F921" s="126"/>
      <c r="G921" s="126"/>
      <c r="H921" s="125"/>
    </row>
    <row r="922">
      <c r="A922" s="125"/>
      <c r="B922" s="125"/>
      <c r="C922" s="125"/>
      <c r="D922" s="125"/>
      <c r="E922" s="126"/>
      <c r="F922" s="126"/>
      <c r="G922" s="126"/>
      <c r="H922" s="125"/>
    </row>
    <row r="923">
      <c r="A923" s="125"/>
      <c r="B923" s="125"/>
      <c r="C923" s="125"/>
      <c r="D923" s="125"/>
      <c r="E923" s="126"/>
      <c r="F923" s="126"/>
      <c r="G923" s="126"/>
      <c r="H923" s="125"/>
    </row>
    <row r="924">
      <c r="A924" s="125"/>
      <c r="B924" s="125"/>
      <c r="C924" s="125"/>
      <c r="D924" s="125"/>
      <c r="E924" s="126"/>
      <c r="F924" s="126"/>
      <c r="G924" s="126"/>
      <c r="H924" s="125"/>
    </row>
    <row r="925">
      <c r="A925" s="125"/>
      <c r="B925" s="125"/>
      <c r="C925" s="125"/>
      <c r="D925" s="125"/>
      <c r="E925" s="126"/>
      <c r="F925" s="126"/>
      <c r="G925" s="126"/>
      <c r="H925" s="125"/>
    </row>
    <row r="926">
      <c r="A926" s="125"/>
      <c r="B926" s="125"/>
      <c r="C926" s="125"/>
      <c r="D926" s="125"/>
      <c r="E926" s="126"/>
      <c r="F926" s="126"/>
      <c r="G926" s="126"/>
      <c r="H926" s="125"/>
    </row>
    <row r="927">
      <c r="A927" s="125"/>
      <c r="B927" s="125"/>
      <c r="C927" s="125"/>
      <c r="D927" s="125"/>
      <c r="E927" s="126"/>
      <c r="F927" s="126"/>
      <c r="G927" s="126"/>
      <c r="H927" s="125"/>
    </row>
    <row r="928">
      <c r="A928" s="125"/>
      <c r="B928" s="125"/>
      <c r="C928" s="125"/>
      <c r="D928" s="125"/>
      <c r="E928" s="126"/>
      <c r="F928" s="126"/>
      <c r="G928" s="126"/>
      <c r="H928" s="125"/>
    </row>
    <row r="929">
      <c r="A929" s="125"/>
      <c r="B929" s="125"/>
      <c r="C929" s="125"/>
      <c r="D929" s="125"/>
      <c r="E929" s="126"/>
      <c r="F929" s="126"/>
      <c r="G929" s="126"/>
      <c r="H929" s="125"/>
    </row>
    <row r="930">
      <c r="A930" s="125"/>
      <c r="B930" s="125"/>
      <c r="C930" s="125"/>
      <c r="D930" s="125"/>
      <c r="E930" s="126"/>
      <c r="F930" s="126"/>
      <c r="G930" s="126"/>
      <c r="H930" s="125"/>
    </row>
    <row r="931">
      <c r="A931" s="125"/>
      <c r="B931" s="125"/>
      <c r="C931" s="125"/>
      <c r="D931" s="125"/>
      <c r="E931" s="126"/>
      <c r="F931" s="126"/>
      <c r="G931" s="126"/>
      <c r="H931" s="125"/>
    </row>
    <row r="932">
      <c r="A932" s="125"/>
      <c r="B932" s="125"/>
      <c r="C932" s="125"/>
      <c r="D932" s="125"/>
      <c r="E932" s="126"/>
      <c r="F932" s="126"/>
      <c r="G932" s="126"/>
      <c r="H932" s="125"/>
    </row>
    <row r="933">
      <c r="A933" s="125"/>
      <c r="B933" s="125"/>
      <c r="C933" s="125"/>
      <c r="D933" s="125"/>
      <c r="E933" s="126"/>
      <c r="F933" s="126"/>
      <c r="G933" s="126"/>
      <c r="H933" s="125"/>
    </row>
    <row r="934">
      <c r="A934" s="125"/>
      <c r="B934" s="125"/>
      <c r="C934" s="125"/>
      <c r="D934" s="125"/>
      <c r="E934" s="126"/>
      <c r="F934" s="126"/>
      <c r="G934" s="126"/>
      <c r="H934" s="125"/>
    </row>
    <row r="935">
      <c r="A935" s="125"/>
      <c r="B935" s="125"/>
      <c r="C935" s="125"/>
      <c r="D935" s="125"/>
      <c r="E935" s="126"/>
      <c r="F935" s="126"/>
      <c r="G935" s="126"/>
      <c r="H935" s="125"/>
    </row>
    <row r="936">
      <c r="A936" s="125"/>
      <c r="B936" s="125"/>
      <c r="C936" s="125"/>
      <c r="D936" s="125"/>
      <c r="E936" s="126"/>
      <c r="F936" s="126"/>
      <c r="G936" s="126"/>
      <c r="H936" s="125"/>
    </row>
    <row r="937">
      <c r="A937" s="125"/>
      <c r="B937" s="125"/>
      <c r="C937" s="125"/>
      <c r="D937" s="125"/>
      <c r="E937" s="126"/>
      <c r="F937" s="126"/>
      <c r="G937" s="126"/>
      <c r="H937" s="125"/>
    </row>
    <row r="938">
      <c r="A938" s="125"/>
      <c r="B938" s="125"/>
      <c r="C938" s="125"/>
      <c r="D938" s="125"/>
      <c r="E938" s="126"/>
      <c r="F938" s="126"/>
      <c r="G938" s="126"/>
      <c r="H938" s="125"/>
    </row>
    <row r="939">
      <c r="A939" s="125"/>
      <c r="B939" s="125"/>
      <c r="C939" s="125"/>
      <c r="D939" s="125"/>
      <c r="E939" s="126"/>
      <c r="F939" s="126"/>
      <c r="G939" s="126"/>
      <c r="H939" s="125"/>
    </row>
    <row r="940">
      <c r="A940" s="125"/>
      <c r="B940" s="125"/>
      <c r="C940" s="125"/>
      <c r="D940" s="125"/>
      <c r="E940" s="126"/>
      <c r="F940" s="126"/>
      <c r="G940" s="126"/>
      <c r="H940" s="125"/>
    </row>
    <row r="941">
      <c r="A941" s="125"/>
      <c r="B941" s="125"/>
      <c r="C941" s="125"/>
      <c r="D941" s="125"/>
      <c r="E941" s="126"/>
      <c r="F941" s="126"/>
      <c r="G941" s="126"/>
      <c r="H941" s="125"/>
    </row>
    <row r="942">
      <c r="A942" s="125"/>
      <c r="B942" s="125"/>
      <c r="C942" s="125"/>
      <c r="D942" s="125"/>
      <c r="E942" s="126"/>
      <c r="F942" s="126"/>
      <c r="G942" s="126"/>
      <c r="H942" s="125"/>
    </row>
    <row r="943">
      <c r="A943" s="125"/>
      <c r="B943" s="125"/>
      <c r="C943" s="125"/>
      <c r="D943" s="125"/>
      <c r="E943" s="126"/>
      <c r="F943" s="126"/>
      <c r="G943" s="126"/>
      <c r="H943" s="125"/>
    </row>
    <row r="944">
      <c r="A944" s="125"/>
      <c r="B944" s="125"/>
      <c r="C944" s="125"/>
      <c r="D944" s="125"/>
      <c r="E944" s="126"/>
      <c r="F944" s="126"/>
      <c r="G944" s="126"/>
      <c r="H944" s="125"/>
    </row>
    <row r="945">
      <c r="A945" s="125"/>
      <c r="B945" s="125"/>
      <c r="C945" s="125"/>
      <c r="D945" s="125"/>
      <c r="E945" s="126"/>
      <c r="F945" s="126"/>
      <c r="G945" s="126"/>
      <c r="H945" s="125"/>
    </row>
    <row r="946">
      <c r="A946" s="125"/>
      <c r="B946" s="125"/>
      <c r="C946" s="125"/>
      <c r="D946" s="125"/>
      <c r="E946" s="126"/>
      <c r="F946" s="126"/>
      <c r="G946" s="126"/>
      <c r="H946" s="125"/>
    </row>
    <row r="947">
      <c r="A947" s="125"/>
      <c r="B947" s="125"/>
      <c r="C947" s="125"/>
      <c r="D947" s="125"/>
      <c r="E947" s="126"/>
      <c r="F947" s="126"/>
      <c r="G947" s="126"/>
      <c r="H947" s="125"/>
    </row>
    <row r="948">
      <c r="A948" s="125"/>
      <c r="B948" s="125"/>
      <c r="C948" s="125"/>
      <c r="D948" s="125"/>
      <c r="E948" s="126"/>
      <c r="F948" s="126"/>
      <c r="G948" s="126"/>
      <c r="H948" s="125"/>
    </row>
    <row r="949">
      <c r="A949" s="125"/>
      <c r="B949" s="125"/>
      <c r="C949" s="125"/>
      <c r="D949" s="125"/>
      <c r="E949" s="126"/>
      <c r="F949" s="126"/>
      <c r="G949" s="126"/>
      <c r="H949" s="125"/>
    </row>
    <row r="950">
      <c r="A950" s="125"/>
      <c r="B950" s="125"/>
      <c r="C950" s="125"/>
      <c r="D950" s="125"/>
      <c r="E950" s="126"/>
      <c r="F950" s="126"/>
      <c r="G950" s="126"/>
      <c r="H950" s="125"/>
    </row>
    <row r="951">
      <c r="A951" s="125"/>
      <c r="B951" s="125"/>
      <c r="C951" s="125"/>
      <c r="D951" s="125"/>
      <c r="E951" s="126"/>
      <c r="F951" s="126"/>
      <c r="G951" s="126"/>
      <c r="H951" s="125"/>
    </row>
    <row r="952">
      <c r="A952" s="125"/>
      <c r="B952" s="125"/>
      <c r="C952" s="125"/>
      <c r="D952" s="125"/>
      <c r="E952" s="126"/>
      <c r="F952" s="126"/>
      <c r="G952" s="126"/>
      <c r="H952" s="125"/>
    </row>
    <row r="953">
      <c r="A953" s="125"/>
      <c r="B953" s="125"/>
      <c r="C953" s="125"/>
      <c r="D953" s="125"/>
      <c r="E953" s="126"/>
      <c r="F953" s="126"/>
      <c r="G953" s="126"/>
      <c r="H953" s="125"/>
    </row>
    <row r="954">
      <c r="A954" s="125"/>
      <c r="B954" s="125"/>
      <c r="C954" s="125"/>
      <c r="D954" s="125"/>
      <c r="E954" s="126"/>
      <c r="F954" s="126"/>
      <c r="G954" s="126"/>
      <c r="H954" s="125"/>
    </row>
    <row r="955">
      <c r="A955" s="125"/>
      <c r="B955" s="125"/>
      <c r="C955" s="125"/>
      <c r="D955" s="125"/>
      <c r="E955" s="126"/>
      <c r="F955" s="126"/>
      <c r="G955" s="126"/>
      <c r="H955" s="125"/>
    </row>
    <row r="956">
      <c r="A956" s="125"/>
      <c r="B956" s="125"/>
      <c r="C956" s="125"/>
      <c r="D956" s="125"/>
      <c r="E956" s="126"/>
      <c r="F956" s="126"/>
      <c r="G956" s="126"/>
      <c r="H956" s="125"/>
    </row>
    <row r="957">
      <c r="A957" s="125"/>
      <c r="B957" s="125"/>
      <c r="C957" s="125"/>
      <c r="D957" s="125"/>
      <c r="E957" s="126"/>
      <c r="F957" s="126"/>
      <c r="G957" s="126"/>
      <c r="H957" s="125"/>
    </row>
    <row r="958">
      <c r="A958" s="125"/>
      <c r="B958" s="125"/>
      <c r="C958" s="125"/>
      <c r="D958" s="125"/>
      <c r="E958" s="126"/>
      <c r="F958" s="126"/>
      <c r="G958" s="126"/>
      <c r="H958" s="125"/>
    </row>
    <row r="959">
      <c r="A959" s="125"/>
      <c r="B959" s="125"/>
      <c r="C959" s="125"/>
      <c r="D959" s="125"/>
      <c r="E959" s="126"/>
      <c r="F959" s="126"/>
      <c r="G959" s="126"/>
      <c r="H959" s="125"/>
    </row>
    <row r="960">
      <c r="A960" s="125"/>
      <c r="B960" s="125"/>
      <c r="C960" s="125"/>
      <c r="D960" s="125"/>
      <c r="E960" s="126"/>
      <c r="F960" s="126"/>
      <c r="G960" s="126"/>
      <c r="H960" s="125"/>
    </row>
    <row r="961">
      <c r="A961" s="125"/>
      <c r="B961" s="125"/>
      <c r="C961" s="125"/>
      <c r="D961" s="125"/>
      <c r="E961" s="126"/>
      <c r="F961" s="126"/>
      <c r="G961" s="126"/>
      <c r="H961" s="125"/>
    </row>
    <row r="962">
      <c r="A962" s="125"/>
      <c r="B962" s="125"/>
      <c r="C962" s="125"/>
      <c r="D962" s="125"/>
      <c r="E962" s="126"/>
      <c r="F962" s="126"/>
      <c r="G962" s="126"/>
      <c r="H962" s="125"/>
    </row>
    <row r="963">
      <c r="A963" s="125"/>
      <c r="B963" s="125"/>
      <c r="C963" s="125"/>
      <c r="D963" s="125"/>
      <c r="E963" s="126"/>
      <c r="F963" s="126"/>
      <c r="G963" s="126"/>
      <c r="H963" s="125"/>
    </row>
    <row r="964">
      <c r="A964" s="125"/>
      <c r="B964" s="125"/>
      <c r="C964" s="125"/>
      <c r="D964" s="125"/>
      <c r="E964" s="126"/>
      <c r="F964" s="126"/>
      <c r="G964" s="126"/>
      <c r="H964" s="125"/>
    </row>
    <row r="965">
      <c r="A965" s="125"/>
      <c r="B965" s="125"/>
      <c r="C965" s="125"/>
      <c r="D965" s="125"/>
      <c r="E965" s="126"/>
      <c r="F965" s="126"/>
      <c r="G965" s="126"/>
      <c r="H965" s="125"/>
    </row>
    <row r="966">
      <c r="A966" s="125"/>
      <c r="B966" s="125"/>
      <c r="C966" s="125"/>
      <c r="D966" s="125"/>
      <c r="E966" s="126"/>
      <c r="F966" s="126"/>
      <c r="G966" s="126"/>
      <c r="H966" s="125"/>
    </row>
    <row r="967">
      <c r="A967" s="125"/>
      <c r="B967" s="125"/>
      <c r="C967" s="125"/>
      <c r="D967" s="125"/>
      <c r="E967" s="126"/>
      <c r="F967" s="126"/>
      <c r="G967" s="126"/>
      <c r="H967" s="125"/>
    </row>
    <row r="968">
      <c r="A968" s="125"/>
      <c r="B968" s="125"/>
      <c r="C968" s="125"/>
      <c r="D968" s="125"/>
      <c r="E968" s="126"/>
      <c r="F968" s="126"/>
      <c r="G968" s="126"/>
      <c r="H968" s="125"/>
    </row>
    <row r="969">
      <c r="A969" s="125"/>
      <c r="B969" s="125"/>
      <c r="C969" s="125"/>
      <c r="D969" s="125"/>
      <c r="E969" s="126"/>
      <c r="F969" s="126"/>
      <c r="G969" s="126"/>
      <c r="H969" s="125"/>
    </row>
    <row r="970">
      <c r="A970" s="125"/>
      <c r="B970" s="125"/>
      <c r="C970" s="125"/>
      <c r="D970" s="125"/>
      <c r="E970" s="126"/>
      <c r="F970" s="126"/>
      <c r="G970" s="126"/>
      <c r="H970" s="125"/>
    </row>
    <row r="971">
      <c r="A971" s="125"/>
      <c r="B971" s="125"/>
      <c r="C971" s="125"/>
      <c r="D971" s="125"/>
      <c r="E971" s="126"/>
      <c r="F971" s="126"/>
      <c r="G971" s="126"/>
      <c r="H971" s="125"/>
    </row>
    <row r="972">
      <c r="A972" s="125"/>
      <c r="B972" s="125"/>
      <c r="C972" s="125"/>
      <c r="D972" s="125"/>
      <c r="E972" s="126"/>
      <c r="F972" s="126"/>
      <c r="G972" s="126"/>
      <c r="H972" s="125"/>
    </row>
    <row r="973">
      <c r="A973" s="125"/>
      <c r="B973" s="125"/>
      <c r="C973" s="125"/>
      <c r="D973" s="125"/>
      <c r="E973" s="126"/>
      <c r="F973" s="126"/>
      <c r="G973" s="126"/>
      <c r="H973" s="125"/>
    </row>
    <row r="974">
      <c r="A974" s="125"/>
      <c r="B974" s="125"/>
      <c r="C974" s="125"/>
      <c r="D974" s="125"/>
      <c r="E974" s="126"/>
      <c r="F974" s="126"/>
      <c r="G974" s="126"/>
      <c r="H974" s="125"/>
    </row>
    <row r="975">
      <c r="A975" s="125"/>
      <c r="B975" s="125"/>
      <c r="C975" s="125"/>
      <c r="D975" s="125"/>
      <c r="E975" s="126"/>
      <c r="F975" s="126"/>
      <c r="G975" s="126"/>
      <c r="H975" s="125"/>
    </row>
    <row r="976">
      <c r="A976" s="125"/>
      <c r="B976" s="125"/>
      <c r="C976" s="125"/>
      <c r="D976" s="125"/>
      <c r="E976" s="126"/>
      <c r="F976" s="126"/>
      <c r="G976" s="126"/>
      <c r="H976" s="125"/>
    </row>
    <row r="977">
      <c r="A977" s="125"/>
      <c r="B977" s="125"/>
      <c r="C977" s="125"/>
      <c r="D977" s="125"/>
      <c r="E977" s="126"/>
      <c r="F977" s="126"/>
      <c r="G977" s="126"/>
      <c r="H977" s="125"/>
    </row>
    <row r="978">
      <c r="A978" s="125"/>
      <c r="B978" s="125"/>
      <c r="C978" s="125"/>
      <c r="D978" s="125"/>
      <c r="E978" s="126"/>
      <c r="F978" s="126"/>
      <c r="G978" s="126"/>
      <c r="H978" s="125"/>
    </row>
    <row r="979">
      <c r="A979" s="125"/>
      <c r="B979" s="125"/>
      <c r="C979" s="125"/>
      <c r="D979" s="125"/>
      <c r="E979" s="126"/>
      <c r="F979" s="126"/>
      <c r="G979" s="126"/>
      <c r="H979" s="125"/>
    </row>
    <row r="980">
      <c r="A980" s="125"/>
      <c r="B980" s="125"/>
      <c r="C980" s="125"/>
      <c r="D980" s="125"/>
      <c r="E980" s="126"/>
      <c r="F980" s="126"/>
      <c r="G980" s="126"/>
      <c r="H980" s="125"/>
    </row>
    <row r="981">
      <c r="A981" s="125"/>
      <c r="B981" s="125"/>
      <c r="C981" s="125"/>
      <c r="D981" s="125"/>
      <c r="E981" s="126"/>
      <c r="F981" s="126"/>
      <c r="G981" s="126"/>
      <c r="H981" s="125"/>
    </row>
    <row r="982">
      <c r="A982" s="125"/>
      <c r="B982" s="125"/>
      <c r="C982" s="125"/>
      <c r="D982" s="125"/>
      <c r="E982" s="126"/>
      <c r="F982" s="126"/>
      <c r="G982" s="126"/>
      <c r="H982" s="125"/>
    </row>
    <row r="983">
      <c r="A983" s="125"/>
      <c r="B983" s="125"/>
      <c r="C983" s="125"/>
      <c r="D983" s="125"/>
      <c r="E983" s="126"/>
      <c r="F983" s="126"/>
      <c r="G983" s="126"/>
      <c r="H983" s="125"/>
    </row>
    <row r="984">
      <c r="A984" s="125"/>
      <c r="B984" s="125"/>
      <c r="C984" s="125"/>
      <c r="D984" s="125"/>
      <c r="E984" s="126"/>
      <c r="F984" s="126"/>
      <c r="G984" s="126"/>
      <c r="H984" s="125"/>
    </row>
    <row r="985">
      <c r="A985" s="125"/>
      <c r="B985" s="125"/>
      <c r="C985" s="125"/>
      <c r="D985" s="125"/>
      <c r="E985" s="126"/>
      <c r="F985" s="126"/>
      <c r="G985" s="126"/>
      <c r="H985" s="125"/>
    </row>
    <row r="986">
      <c r="A986" s="125"/>
      <c r="B986" s="125"/>
      <c r="C986" s="125"/>
      <c r="D986" s="125"/>
      <c r="E986" s="126"/>
      <c r="F986" s="126"/>
      <c r="G986" s="126"/>
      <c r="H986" s="125"/>
    </row>
    <row r="987">
      <c r="A987" s="125"/>
      <c r="B987" s="125"/>
      <c r="C987" s="125"/>
      <c r="D987" s="125"/>
      <c r="E987" s="126"/>
      <c r="F987" s="126"/>
      <c r="G987" s="126"/>
      <c r="H987" s="125"/>
    </row>
    <row r="988">
      <c r="A988" s="125"/>
      <c r="B988" s="125"/>
      <c r="C988" s="125"/>
      <c r="D988" s="125"/>
      <c r="E988" s="126"/>
      <c r="F988" s="126"/>
      <c r="G988" s="126"/>
      <c r="H988" s="125"/>
    </row>
    <row r="989">
      <c r="A989" s="125"/>
      <c r="B989" s="125"/>
      <c r="C989" s="125"/>
      <c r="D989" s="125"/>
      <c r="E989" s="126"/>
      <c r="F989" s="126"/>
      <c r="G989" s="126"/>
      <c r="H989" s="125"/>
    </row>
    <row r="990">
      <c r="A990" s="125"/>
      <c r="B990" s="125"/>
      <c r="C990" s="125"/>
      <c r="D990" s="125"/>
      <c r="E990" s="126"/>
      <c r="F990" s="126"/>
      <c r="G990" s="126"/>
      <c r="H990" s="125"/>
    </row>
    <row r="991">
      <c r="A991" s="125"/>
      <c r="B991" s="125"/>
      <c r="C991" s="125"/>
      <c r="D991" s="125"/>
      <c r="E991" s="126"/>
      <c r="F991" s="126"/>
      <c r="G991" s="126"/>
      <c r="H991" s="125"/>
    </row>
    <row r="992">
      <c r="A992" s="125"/>
      <c r="B992" s="125"/>
      <c r="C992" s="125"/>
      <c r="D992" s="125"/>
      <c r="E992" s="126"/>
      <c r="F992" s="126"/>
      <c r="G992" s="126"/>
      <c r="H992" s="125"/>
    </row>
    <row r="993">
      <c r="A993" s="125"/>
      <c r="B993" s="125"/>
      <c r="C993" s="125"/>
      <c r="D993" s="125"/>
      <c r="E993" s="126"/>
      <c r="F993" s="126"/>
      <c r="G993" s="126"/>
      <c r="H993" s="125"/>
    </row>
    <row r="994">
      <c r="A994" s="125"/>
      <c r="B994" s="125"/>
      <c r="C994" s="125"/>
      <c r="D994" s="125"/>
      <c r="E994" s="126"/>
      <c r="F994" s="126"/>
      <c r="G994" s="126"/>
      <c r="H994" s="125"/>
    </row>
    <row r="995">
      <c r="A995" s="125"/>
      <c r="B995" s="125"/>
      <c r="C995" s="125"/>
      <c r="D995" s="125"/>
      <c r="E995" s="126"/>
      <c r="F995" s="126"/>
      <c r="G995" s="126"/>
      <c r="H995" s="125"/>
    </row>
    <row r="996">
      <c r="A996" s="125"/>
      <c r="B996" s="125"/>
      <c r="C996" s="125"/>
      <c r="D996" s="125"/>
      <c r="E996" s="126"/>
      <c r="F996" s="126"/>
      <c r="G996" s="126"/>
      <c r="H996" s="125"/>
    </row>
    <row r="997">
      <c r="A997" s="125"/>
      <c r="B997" s="125"/>
      <c r="C997" s="125"/>
      <c r="D997" s="125"/>
      <c r="E997" s="126"/>
      <c r="F997" s="126"/>
      <c r="G997" s="126"/>
      <c r="H997" s="125"/>
    </row>
    <row r="998">
      <c r="A998" s="125"/>
      <c r="B998" s="125"/>
      <c r="C998" s="125"/>
      <c r="D998" s="125"/>
      <c r="E998" s="126"/>
      <c r="F998" s="126"/>
      <c r="G998" s="126"/>
      <c r="H998" s="125"/>
    </row>
    <row r="999">
      <c r="A999" s="125"/>
      <c r="B999" s="125"/>
      <c r="C999" s="125"/>
      <c r="D999" s="125"/>
      <c r="E999" s="126"/>
      <c r="F999" s="126"/>
      <c r="G999" s="126"/>
      <c r="H999" s="125"/>
    </row>
    <row r="1000">
      <c r="A1000" s="125"/>
      <c r="B1000" s="125"/>
      <c r="C1000" s="125"/>
      <c r="D1000" s="125"/>
      <c r="E1000" s="126"/>
      <c r="F1000" s="126"/>
      <c r="G1000" s="126"/>
      <c r="H1000" s="125"/>
    </row>
    <row r="1001">
      <c r="A1001" s="125"/>
      <c r="B1001" s="125"/>
      <c r="C1001" s="125"/>
      <c r="D1001" s="125"/>
      <c r="E1001" s="126"/>
      <c r="F1001" s="126"/>
      <c r="G1001" s="126"/>
      <c r="H1001" s="125"/>
    </row>
  </sheetData>
  <mergeCells count="1">
    <mergeCell ref="A1:H1"/>
  </mergeCells>
  <conditionalFormatting sqref="A3:H1001">
    <cfRule type="expression" dxfId="6" priority="1">
      <formula>ISEVEN(ROW())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25.25"/>
  </cols>
  <sheetData>
    <row r="1" ht="33.0" customHeight="1">
      <c r="A1" s="60" t="s">
        <v>27</v>
      </c>
      <c r="B1" s="60" t="s">
        <v>28</v>
      </c>
      <c r="C1" s="60" t="s">
        <v>118</v>
      </c>
      <c r="D1" s="60" t="s">
        <v>85</v>
      </c>
      <c r="E1" s="60" t="s">
        <v>119</v>
      </c>
      <c r="F1" s="60" t="s">
        <v>120</v>
      </c>
      <c r="G1" s="60" t="s">
        <v>121</v>
      </c>
      <c r="H1" s="60" t="s">
        <v>122</v>
      </c>
      <c r="I1" s="60" t="s">
        <v>123</v>
      </c>
      <c r="J1" s="60" t="s">
        <v>124</v>
      </c>
      <c r="K1" s="60" t="s">
        <v>125</v>
      </c>
      <c r="L1" s="60" t="s">
        <v>126</v>
      </c>
      <c r="M1" s="60" t="s">
        <v>127</v>
      </c>
      <c r="N1" s="60" t="s">
        <v>128</v>
      </c>
      <c r="O1" s="60" t="s">
        <v>129</v>
      </c>
      <c r="P1" s="60" t="s">
        <v>130</v>
      </c>
      <c r="Q1" s="60" t="s">
        <v>131</v>
      </c>
      <c r="R1" s="60" t="s">
        <v>132</v>
      </c>
      <c r="S1" s="60" t="s">
        <v>133</v>
      </c>
      <c r="T1" s="60" t="s">
        <v>97</v>
      </c>
      <c r="U1" s="60" t="s">
        <v>134</v>
      </c>
      <c r="V1" s="60" t="s">
        <v>135</v>
      </c>
      <c r="W1" s="60" t="s">
        <v>136</v>
      </c>
      <c r="X1" s="60" t="s">
        <v>137</v>
      </c>
      <c r="Y1" s="60" t="s">
        <v>138</v>
      </c>
    </row>
    <row r="2">
      <c r="A2" s="65" t="s">
        <v>36</v>
      </c>
      <c r="B2" s="127" t="str">
        <f>IF(A2="","",VLOOKUP(A2,'BASE OS'!$A$2:$I1000,2,FALSE))</f>
        <v>PANADERIA SINAI</v>
      </c>
      <c r="C2" s="128">
        <v>45608.0</v>
      </c>
      <c r="D2" s="65" t="s">
        <v>139</v>
      </c>
      <c r="E2" s="127"/>
      <c r="F2" s="127"/>
      <c r="G2" s="127"/>
      <c r="H2" s="129">
        <v>129.95</v>
      </c>
      <c r="I2" s="129">
        <v>33.284</v>
      </c>
      <c r="J2" s="130">
        <f t="shared" ref="J2:J1000" si="1">H2+I2</f>
        <v>163.234</v>
      </c>
      <c r="K2" s="130"/>
      <c r="L2" s="130"/>
      <c r="M2" s="130">
        <f t="shared" ref="M2:M1000" si="2">J2-K2-L2</f>
        <v>163.234</v>
      </c>
      <c r="N2" s="130"/>
      <c r="O2" s="130"/>
      <c r="P2" s="127"/>
      <c r="Q2" s="65" t="s">
        <v>140</v>
      </c>
      <c r="R2" s="65" t="s">
        <v>141</v>
      </c>
      <c r="S2" s="127"/>
      <c r="T2" s="131" t="str">
        <f>IF(A2="","",VLOOKUP(A2,'BASE OS'!$A$2:$I1000,4,FALSE))</f>
        <v>4-38493</v>
      </c>
      <c r="U2" s="127"/>
      <c r="V2" s="127"/>
      <c r="W2" s="127" t="str">
        <f t="shared" ref="W2:W1000" si="3">IF(ISBLANK(C2),"",UPPER(TEXT(C2,"MMMM")))</f>
        <v>NOVIEMBRE</v>
      </c>
      <c r="X2" s="127">
        <f t="shared" ref="X2:X1000" si="4">IF(C2="","",MONTH(C2))</f>
        <v>11</v>
      </c>
      <c r="Y2" s="127">
        <f t="shared" ref="Y2:Y1000" si="5">IF(C2="","", YEAR(C2))</f>
        <v>2024</v>
      </c>
    </row>
    <row r="3">
      <c r="A3" s="65" t="s">
        <v>43</v>
      </c>
      <c r="B3" s="127" t="str">
        <f>IF(A3="","",VLOOKUP(A3,'BASE OS'!$A$2:$I1000,2,FALSE))</f>
        <v>PINTO Y COMPANIA</v>
      </c>
      <c r="C3" s="128">
        <v>45608.0</v>
      </c>
      <c r="D3" s="65" t="s">
        <v>139</v>
      </c>
      <c r="E3" s="127"/>
      <c r="F3" s="127"/>
      <c r="G3" s="127"/>
      <c r="H3" s="129">
        <v>67.8</v>
      </c>
      <c r="I3" s="129">
        <v>0.0</v>
      </c>
      <c r="J3" s="130">
        <f t="shared" si="1"/>
        <v>67.8</v>
      </c>
      <c r="K3" s="130"/>
      <c r="L3" s="130"/>
      <c r="M3" s="130">
        <f t="shared" si="2"/>
        <v>67.8</v>
      </c>
      <c r="N3" s="130"/>
      <c r="O3" s="130"/>
      <c r="P3" s="127"/>
      <c r="Q3" s="65" t="s">
        <v>140</v>
      </c>
      <c r="R3" s="65" t="s">
        <v>141</v>
      </c>
      <c r="S3" s="127"/>
      <c r="T3" s="131" t="str">
        <f>IF(A3="","",VLOOKUP(A3,'BASE OS'!$A$2:$I1000,4,FALSE))</f>
        <v>4-28394</v>
      </c>
      <c r="U3" s="127"/>
      <c r="V3" s="127"/>
      <c r="W3" s="127" t="str">
        <f t="shared" si="3"/>
        <v>NOVIEMBRE</v>
      </c>
      <c r="X3" s="127">
        <f t="shared" si="4"/>
        <v>11</v>
      </c>
      <c r="Y3" s="127">
        <f t="shared" si="5"/>
        <v>2024</v>
      </c>
    </row>
    <row r="4">
      <c r="A4" s="65" t="s">
        <v>46</v>
      </c>
      <c r="B4" s="127" t="str">
        <f>IF(A4="","",VLOOKUP(A4,'BASE OS'!$A$2:$I1000,2,FALSE))</f>
        <v>DIVACO</v>
      </c>
      <c r="C4" s="128">
        <v>45608.0</v>
      </c>
      <c r="D4" s="65" t="s">
        <v>139</v>
      </c>
      <c r="E4" s="127"/>
      <c r="F4" s="127"/>
      <c r="G4" s="127"/>
      <c r="H4" s="129">
        <v>79.1</v>
      </c>
      <c r="I4" s="129">
        <v>0.0</v>
      </c>
      <c r="J4" s="130">
        <f t="shared" si="1"/>
        <v>79.1</v>
      </c>
      <c r="K4" s="130"/>
      <c r="L4" s="130"/>
      <c r="M4" s="130">
        <f t="shared" si="2"/>
        <v>79.1</v>
      </c>
      <c r="N4" s="130"/>
      <c r="O4" s="130"/>
      <c r="P4" s="127"/>
      <c r="Q4" s="65" t="s">
        <v>140</v>
      </c>
      <c r="R4" s="65" t="s">
        <v>141</v>
      </c>
      <c r="S4" s="127"/>
      <c r="T4" s="131" t="str">
        <f>IF(A4="","",VLOOKUP(A4,'BASE OS'!$A$2:$I1000,4,FALSE))</f>
        <v>4-23934</v>
      </c>
      <c r="U4" s="127"/>
      <c r="V4" s="127"/>
      <c r="W4" s="127" t="str">
        <f t="shared" si="3"/>
        <v>NOVIEMBRE</v>
      </c>
      <c r="X4" s="127">
        <f t="shared" si="4"/>
        <v>11</v>
      </c>
      <c r="Y4" s="127">
        <f t="shared" si="5"/>
        <v>2024</v>
      </c>
    </row>
    <row r="5">
      <c r="A5" s="65" t="s">
        <v>50</v>
      </c>
      <c r="B5" s="127" t="str">
        <f>IF(A5="","",VLOOKUP(A5,'BASE OS'!$A$2:$I1000,2,FALSE))</f>
        <v>DIGICEL</v>
      </c>
      <c r="C5" s="128">
        <v>45609.0</v>
      </c>
      <c r="D5" s="65" t="s">
        <v>139</v>
      </c>
      <c r="E5" s="127"/>
      <c r="F5" s="127"/>
      <c r="G5" s="127"/>
      <c r="H5" s="129">
        <v>113.0</v>
      </c>
      <c r="I5" s="129">
        <v>0.0</v>
      </c>
      <c r="J5" s="130">
        <f t="shared" si="1"/>
        <v>113</v>
      </c>
      <c r="K5" s="130"/>
      <c r="L5" s="130"/>
      <c r="M5" s="130">
        <f t="shared" si="2"/>
        <v>113</v>
      </c>
      <c r="N5" s="130"/>
      <c r="O5" s="130"/>
      <c r="P5" s="127"/>
      <c r="Q5" s="65" t="s">
        <v>140</v>
      </c>
      <c r="R5" s="65" t="s">
        <v>141</v>
      </c>
      <c r="S5" s="127"/>
      <c r="T5" s="131" t="str">
        <f>IF(A5="","",VLOOKUP(A5,'BASE OS'!$A$2:$I1000,4,FALSE))</f>
        <v>4-29394</v>
      </c>
      <c r="U5" s="127"/>
      <c r="V5" s="127"/>
      <c r="W5" s="127" t="str">
        <f t="shared" si="3"/>
        <v>NOVIEMBRE</v>
      </c>
      <c r="X5" s="127">
        <f t="shared" si="4"/>
        <v>11</v>
      </c>
      <c r="Y5" s="127">
        <f t="shared" si="5"/>
        <v>2024</v>
      </c>
    </row>
    <row r="6">
      <c r="A6" s="65" t="s">
        <v>56</v>
      </c>
      <c r="B6" s="127" t="str">
        <f>IF(A6="","",VLOOKUP(A6,'BASE OS'!$A$2:$I1000,2,FALSE))</f>
        <v>AISAL</v>
      </c>
      <c r="C6" s="128">
        <v>45609.0</v>
      </c>
      <c r="D6" s="65" t="s">
        <v>139</v>
      </c>
      <c r="E6" s="127"/>
      <c r="F6" s="127"/>
      <c r="G6" s="127"/>
      <c r="H6" s="129">
        <v>50.59</v>
      </c>
      <c r="I6" s="129">
        <v>53.55</v>
      </c>
      <c r="J6" s="130">
        <f t="shared" si="1"/>
        <v>104.14</v>
      </c>
      <c r="K6" s="130"/>
      <c r="L6" s="130"/>
      <c r="M6" s="130">
        <f t="shared" si="2"/>
        <v>104.14</v>
      </c>
      <c r="N6" s="130"/>
      <c r="O6" s="130"/>
      <c r="P6" s="127"/>
      <c r="Q6" s="65" t="s">
        <v>140</v>
      </c>
      <c r="R6" s="65" t="s">
        <v>141</v>
      </c>
      <c r="S6" s="127"/>
      <c r="T6" s="131" t="str">
        <f>IF(A6="","",VLOOKUP(A6,'BASE OS'!$A$2:$I1000,4,FALSE))</f>
        <v>4-22567</v>
      </c>
      <c r="U6" s="127"/>
      <c r="V6" s="127"/>
      <c r="W6" s="127" t="str">
        <f t="shared" si="3"/>
        <v>NOVIEMBRE</v>
      </c>
      <c r="X6" s="127">
        <f t="shared" si="4"/>
        <v>11</v>
      </c>
      <c r="Y6" s="127">
        <f t="shared" si="5"/>
        <v>2024</v>
      </c>
    </row>
    <row r="7">
      <c r="A7" s="65" t="s">
        <v>61</v>
      </c>
      <c r="B7" s="127" t="str">
        <f>IF(A7="","",VLOOKUP(A7,'BASE OS'!$A$2:$I1000,2,FALSE))</f>
        <v>GEVI</v>
      </c>
      <c r="C7" s="128">
        <v>45609.0</v>
      </c>
      <c r="D7" s="65" t="s">
        <v>139</v>
      </c>
      <c r="E7" s="127"/>
      <c r="F7" s="127"/>
      <c r="G7" s="127"/>
      <c r="H7" s="129">
        <v>25.1</v>
      </c>
      <c r="I7" s="129">
        <v>30.55</v>
      </c>
      <c r="J7" s="130">
        <f t="shared" si="1"/>
        <v>55.65</v>
      </c>
      <c r="K7" s="130"/>
      <c r="L7" s="130"/>
      <c r="M7" s="130">
        <f t="shared" si="2"/>
        <v>55.65</v>
      </c>
      <c r="N7" s="130"/>
      <c r="O7" s="130"/>
      <c r="P7" s="127"/>
      <c r="Q7" s="65" t="s">
        <v>140</v>
      </c>
      <c r="R7" s="65" t="s">
        <v>141</v>
      </c>
      <c r="S7" s="127"/>
      <c r="T7" s="131" t="str">
        <f>IF(A7="","",VLOOKUP(A7,'BASE OS'!$A$2:$I1000,4,FALSE))</f>
        <v>4-35685</v>
      </c>
      <c r="U7" s="127"/>
      <c r="V7" s="127"/>
      <c r="W7" s="127" t="str">
        <f t="shared" si="3"/>
        <v>NOVIEMBRE</v>
      </c>
      <c r="X7" s="127">
        <f t="shared" si="4"/>
        <v>11</v>
      </c>
      <c r="Y7" s="127">
        <f t="shared" si="5"/>
        <v>2024</v>
      </c>
    </row>
    <row r="8">
      <c r="A8" s="65" t="s">
        <v>65</v>
      </c>
      <c r="B8" s="127" t="str">
        <f>IF(A8="","",VLOOKUP(A8,'BASE OS'!$A$2:$I1000,2,FALSE))</f>
        <v>AISAL</v>
      </c>
      <c r="C8" s="128">
        <v>45609.0</v>
      </c>
      <c r="D8" s="65" t="s">
        <v>139</v>
      </c>
      <c r="E8" s="127"/>
      <c r="F8" s="127"/>
      <c r="G8" s="127"/>
      <c r="H8" s="129">
        <v>50.1</v>
      </c>
      <c r="I8" s="129">
        <v>0.0</v>
      </c>
      <c r="J8" s="130">
        <f t="shared" si="1"/>
        <v>50.1</v>
      </c>
      <c r="K8" s="130"/>
      <c r="L8" s="130"/>
      <c r="M8" s="130">
        <f t="shared" si="2"/>
        <v>50.1</v>
      </c>
      <c r="N8" s="130"/>
      <c r="O8" s="130"/>
      <c r="P8" s="127"/>
      <c r="Q8" s="65" t="s">
        <v>140</v>
      </c>
      <c r="R8" s="65" t="s">
        <v>141</v>
      </c>
      <c r="S8" s="127"/>
      <c r="T8" s="131" t="str">
        <f>IF(A8="","",VLOOKUP(A8,'BASE OS'!$A$2:$I1000,4,FALSE))</f>
        <v>4-35969</v>
      </c>
      <c r="U8" s="127"/>
      <c r="V8" s="127"/>
      <c r="W8" s="127" t="str">
        <f t="shared" si="3"/>
        <v>NOVIEMBRE</v>
      </c>
      <c r="X8" s="127">
        <f t="shared" si="4"/>
        <v>11</v>
      </c>
      <c r="Y8" s="127">
        <f t="shared" si="5"/>
        <v>2024</v>
      </c>
    </row>
    <row r="9">
      <c r="A9" s="65" t="s">
        <v>68</v>
      </c>
      <c r="B9" s="127" t="str">
        <f>IF(A9="","",VLOOKUP(A9,'BASE OS'!$A$2:$I1000,2,FALSE))</f>
        <v>QUIMICA INDUSTRIAL</v>
      </c>
      <c r="C9" s="128">
        <v>45609.0</v>
      </c>
      <c r="D9" s="65" t="s">
        <v>139</v>
      </c>
      <c r="E9" s="127"/>
      <c r="F9" s="127"/>
      <c r="G9" s="127"/>
      <c r="H9" s="129">
        <v>209.05</v>
      </c>
      <c r="I9" s="129">
        <v>91.67</v>
      </c>
      <c r="J9" s="130">
        <f t="shared" si="1"/>
        <v>300.72</v>
      </c>
      <c r="K9" s="130"/>
      <c r="L9" s="130"/>
      <c r="M9" s="130">
        <f t="shared" si="2"/>
        <v>300.72</v>
      </c>
      <c r="N9" s="130"/>
      <c r="O9" s="130"/>
      <c r="P9" s="127"/>
      <c r="Q9" s="65" t="s">
        <v>140</v>
      </c>
      <c r="R9" s="65" t="s">
        <v>141</v>
      </c>
      <c r="S9" s="127"/>
      <c r="T9" s="131" t="str">
        <f>IF(A9="","",VLOOKUP(A9,'BASE OS'!$A$2:$I1000,4,FALSE))</f>
        <v>4-38492</v>
      </c>
      <c r="U9" s="127"/>
      <c r="V9" s="127"/>
      <c r="W9" s="127" t="str">
        <f t="shared" si="3"/>
        <v>NOVIEMBRE</v>
      </c>
      <c r="X9" s="127">
        <f t="shared" si="4"/>
        <v>11</v>
      </c>
      <c r="Y9" s="127">
        <f t="shared" si="5"/>
        <v>2024</v>
      </c>
    </row>
    <row r="10">
      <c r="A10" s="127"/>
      <c r="B10" s="127" t="str">
        <f>IF(A10="","",VLOOKUP(A10,'BASE OS'!$A$2:$I1000,2,FALSE))</f>
        <v/>
      </c>
      <c r="C10" s="132"/>
      <c r="D10" s="127"/>
      <c r="E10" s="127"/>
      <c r="F10" s="127"/>
      <c r="G10" s="127"/>
      <c r="H10" s="130"/>
      <c r="I10" s="130"/>
      <c r="J10" s="130">
        <f t="shared" si="1"/>
        <v>0</v>
      </c>
      <c r="K10" s="130"/>
      <c r="L10" s="130"/>
      <c r="M10" s="130">
        <f t="shared" si="2"/>
        <v>0</v>
      </c>
      <c r="N10" s="130"/>
      <c r="O10" s="130"/>
      <c r="P10" s="127"/>
      <c r="Q10" s="127"/>
      <c r="R10" s="127"/>
      <c r="S10" s="127"/>
      <c r="T10" s="127" t="str">
        <f>IF(A10="","",VLOOKUP(A10,'BASE OS'!$A$2:$I1000,4,FALSE))</f>
        <v/>
      </c>
      <c r="U10" s="127"/>
      <c r="V10" s="127"/>
      <c r="W10" s="127" t="str">
        <f t="shared" si="3"/>
        <v/>
      </c>
      <c r="X10" s="127" t="str">
        <f t="shared" si="4"/>
        <v/>
      </c>
      <c r="Y10" s="127" t="str">
        <f t="shared" si="5"/>
        <v/>
      </c>
    </row>
    <row r="11">
      <c r="A11" s="127"/>
      <c r="B11" s="127" t="str">
        <f>IF(A11="","",VLOOKUP(A11,'BASE OS'!$A$2:$I1000,2,FALSE))</f>
        <v/>
      </c>
      <c r="C11" s="132"/>
      <c r="D11" s="127"/>
      <c r="E11" s="127"/>
      <c r="F11" s="127"/>
      <c r="G11" s="127"/>
      <c r="H11" s="130"/>
      <c r="I11" s="130"/>
      <c r="J11" s="130">
        <f t="shared" si="1"/>
        <v>0</v>
      </c>
      <c r="K11" s="130"/>
      <c r="L11" s="130"/>
      <c r="M11" s="130">
        <f t="shared" si="2"/>
        <v>0</v>
      </c>
      <c r="N11" s="130"/>
      <c r="O11" s="130"/>
      <c r="P11" s="127"/>
      <c r="Q11" s="127"/>
      <c r="R11" s="127"/>
      <c r="S11" s="127"/>
      <c r="T11" s="127" t="str">
        <f>IF(A11="","",VLOOKUP(A11,'BASE OS'!$A$2:$I1000,4,FALSE))</f>
        <v/>
      </c>
      <c r="U11" s="127"/>
      <c r="V11" s="127"/>
      <c r="W11" s="127" t="str">
        <f t="shared" si="3"/>
        <v/>
      </c>
      <c r="X11" s="127" t="str">
        <f t="shared" si="4"/>
        <v/>
      </c>
      <c r="Y11" s="127" t="str">
        <f t="shared" si="5"/>
        <v/>
      </c>
    </row>
    <row r="12">
      <c r="A12" s="127"/>
      <c r="B12" s="127" t="str">
        <f>IF(A12="","",VLOOKUP(A12,'BASE OS'!$A$2:$I1000,2,FALSE))</f>
        <v/>
      </c>
      <c r="C12" s="132"/>
      <c r="D12" s="127"/>
      <c r="E12" s="127"/>
      <c r="F12" s="127"/>
      <c r="G12" s="127"/>
      <c r="H12" s="130"/>
      <c r="I12" s="130"/>
      <c r="J12" s="130">
        <f t="shared" si="1"/>
        <v>0</v>
      </c>
      <c r="K12" s="130"/>
      <c r="L12" s="130"/>
      <c r="M12" s="130">
        <f t="shared" si="2"/>
        <v>0</v>
      </c>
      <c r="N12" s="130"/>
      <c r="O12" s="130"/>
      <c r="P12" s="127"/>
      <c r="Q12" s="127"/>
      <c r="R12" s="127"/>
      <c r="S12" s="127"/>
      <c r="T12" s="127" t="str">
        <f>IF(A12="","",VLOOKUP(A12,'BASE OS'!$A$2:$I1000,4,FALSE))</f>
        <v/>
      </c>
      <c r="U12" s="127"/>
      <c r="V12" s="127"/>
      <c r="W12" s="127" t="str">
        <f t="shared" si="3"/>
        <v/>
      </c>
      <c r="X12" s="127" t="str">
        <f t="shared" si="4"/>
        <v/>
      </c>
      <c r="Y12" s="127" t="str">
        <f t="shared" si="5"/>
        <v/>
      </c>
    </row>
    <row r="13">
      <c r="A13" s="127"/>
      <c r="B13" s="127" t="str">
        <f>IF(A13="","",VLOOKUP(A13,'BASE OS'!$A$2:$I1000,2,FALSE))</f>
        <v/>
      </c>
      <c r="C13" s="132"/>
      <c r="D13" s="127"/>
      <c r="E13" s="127"/>
      <c r="F13" s="127"/>
      <c r="G13" s="127"/>
      <c r="H13" s="130"/>
      <c r="I13" s="130"/>
      <c r="J13" s="130">
        <f t="shared" si="1"/>
        <v>0</v>
      </c>
      <c r="K13" s="130"/>
      <c r="L13" s="130"/>
      <c r="M13" s="130">
        <f t="shared" si="2"/>
        <v>0</v>
      </c>
      <c r="N13" s="130"/>
      <c r="O13" s="130"/>
      <c r="P13" s="127"/>
      <c r="Q13" s="127"/>
      <c r="R13" s="127"/>
      <c r="S13" s="127"/>
      <c r="T13" s="127" t="str">
        <f>IF(A13="","",VLOOKUP(A13,'BASE OS'!$A$2:$I1000,4,FALSE))</f>
        <v/>
      </c>
      <c r="U13" s="127"/>
      <c r="V13" s="127"/>
      <c r="W13" s="127" t="str">
        <f t="shared" si="3"/>
        <v/>
      </c>
      <c r="X13" s="127" t="str">
        <f t="shared" si="4"/>
        <v/>
      </c>
      <c r="Y13" s="127" t="str">
        <f t="shared" si="5"/>
        <v/>
      </c>
    </row>
    <row r="14">
      <c r="A14" s="127"/>
      <c r="B14" s="127" t="str">
        <f>IF(A14="","",VLOOKUP(A14,'BASE OS'!$A$2:$I1000,2,FALSE))</f>
        <v/>
      </c>
      <c r="C14" s="132"/>
      <c r="D14" s="127"/>
      <c r="E14" s="127"/>
      <c r="F14" s="127"/>
      <c r="G14" s="127"/>
      <c r="H14" s="130"/>
      <c r="I14" s="130"/>
      <c r="J14" s="130">
        <f t="shared" si="1"/>
        <v>0</v>
      </c>
      <c r="K14" s="130"/>
      <c r="L14" s="130"/>
      <c r="M14" s="130">
        <f t="shared" si="2"/>
        <v>0</v>
      </c>
      <c r="N14" s="130"/>
      <c r="O14" s="130"/>
      <c r="P14" s="127"/>
      <c r="Q14" s="127"/>
      <c r="R14" s="127"/>
      <c r="S14" s="127"/>
      <c r="T14" s="127" t="str">
        <f>IF(A14="","",VLOOKUP(A14,'BASE OS'!$A$2:$I1000,4,FALSE))</f>
        <v/>
      </c>
      <c r="U14" s="127"/>
      <c r="V14" s="127"/>
      <c r="W14" s="127" t="str">
        <f t="shared" si="3"/>
        <v/>
      </c>
      <c r="X14" s="127" t="str">
        <f t="shared" si="4"/>
        <v/>
      </c>
      <c r="Y14" s="127" t="str">
        <f t="shared" si="5"/>
        <v/>
      </c>
    </row>
    <row r="15">
      <c r="A15" s="127"/>
      <c r="B15" s="127" t="str">
        <f>IF(A15="","",VLOOKUP(A15,'BASE OS'!$A$2:$I1000,2,FALSE))</f>
        <v/>
      </c>
      <c r="C15" s="132"/>
      <c r="D15" s="127"/>
      <c r="E15" s="127"/>
      <c r="F15" s="127"/>
      <c r="G15" s="127"/>
      <c r="H15" s="130"/>
      <c r="I15" s="130"/>
      <c r="J15" s="130">
        <f t="shared" si="1"/>
        <v>0</v>
      </c>
      <c r="K15" s="130"/>
      <c r="L15" s="130"/>
      <c r="M15" s="130">
        <f t="shared" si="2"/>
        <v>0</v>
      </c>
      <c r="N15" s="130"/>
      <c r="O15" s="130"/>
      <c r="P15" s="127"/>
      <c r="Q15" s="127"/>
      <c r="R15" s="127"/>
      <c r="S15" s="127"/>
      <c r="T15" s="127" t="str">
        <f>IF(A15="","",VLOOKUP(A15,'BASE OS'!$A$2:$I1000,4,FALSE))</f>
        <v/>
      </c>
      <c r="U15" s="127"/>
      <c r="V15" s="127"/>
      <c r="W15" s="127" t="str">
        <f t="shared" si="3"/>
        <v/>
      </c>
      <c r="X15" s="127" t="str">
        <f t="shared" si="4"/>
        <v/>
      </c>
      <c r="Y15" s="127" t="str">
        <f t="shared" si="5"/>
        <v/>
      </c>
    </row>
    <row r="16">
      <c r="A16" s="127"/>
      <c r="B16" s="127" t="str">
        <f>IF(A16="","",VLOOKUP(A16,'BASE OS'!$A$2:$I1000,2,FALSE))</f>
        <v/>
      </c>
      <c r="C16" s="132"/>
      <c r="D16" s="127"/>
      <c r="E16" s="127"/>
      <c r="F16" s="127"/>
      <c r="G16" s="127"/>
      <c r="H16" s="130"/>
      <c r="I16" s="130"/>
      <c r="J16" s="130">
        <f t="shared" si="1"/>
        <v>0</v>
      </c>
      <c r="K16" s="130"/>
      <c r="L16" s="130"/>
      <c r="M16" s="130">
        <f t="shared" si="2"/>
        <v>0</v>
      </c>
      <c r="N16" s="130"/>
      <c r="O16" s="130"/>
      <c r="P16" s="127"/>
      <c r="Q16" s="127"/>
      <c r="R16" s="127"/>
      <c r="S16" s="127"/>
      <c r="T16" s="127" t="str">
        <f>IF(A16="","",VLOOKUP(A16,'BASE OS'!$A$2:$I1000,4,FALSE))</f>
        <v/>
      </c>
      <c r="U16" s="127"/>
      <c r="V16" s="127"/>
      <c r="W16" s="127" t="str">
        <f t="shared" si="3"/>
        <v/>
      </c>
      <c r="X16" s="127" t="str">
        <f t="shared" si="4"/>
        <v/>
      </c>
      <c r="Y16" s="127" t="str">
        <f t="shared" si="5"/>
        <v/>
      </c>
    </row>
    <row r="17">
      <c r="A17" s="127"/>
      <c r="B17" s="127" t="str">
        <f>IF(A17="","",VLOOKUP(A17,'BASE OS'!$A$2:$I1000,2,FALSE))</f>
        <v/>
      </c>
      <c r="C17" s="132"/>
      <c r="D17" s="127"/>
      <c r="E17" s="127"/>
      <c r="F17" s="127"/>
      <c r="G17" s="127"/>
      <c r="H17" s="130"/>
      <c r="I17" s="130"/>
      <c r="J17" s="130">
        <f t="shared" si="1"/>
        <v>0</v>
      </c>
      <c r="K17" s="130"/>
      <c r="L17" s="130"/>
      <c r="M17" s="130">
        <f t="shared" si="2"/>
        <v>0</v>
      </c>
      <c r="N17" s="130"/>
      <c r="O17" s="130"/>
      <c r="P17" s="127"/>
      <c r="Q17" s="127"/>
      <c r="R17" s="127"/>
      <c r="S17" s="127"/>
      <c r="T17" s="127" t="str">
        <f>IF(A17="","",VLOOKUP(A17,'BASE OS'!$A$2:$I1000,4,FALSE))</f>
        <v/>
      </c>
      <c r="U17" s="127"/>
      <c r="V17" s="127"/>
      <c r="W17" s="127" t="str">
        <f t="shared" si="3"/>
        <v/>
      </c>
      <c r="X17" s="127" t="str">
        <f t="shared" si="4"/>
        <v/>
      </c>
      <c r="Y17" s="127" t="str">
        <f t="shared" si="5"/>
        <v/>
      </c>
    </row>
    <row r="18">
      <c r="A18" s="127"/>
      <c r="B18" s="127" t="str">
        <f>IF(A18="","",VLOOKUP(A18,'BASE OS'!$A$2:$I1000,2,FALSE))</f>
        <v/>
      </c>
      <c r="C18" s="132"/>
      <c r="D18" s="127"/>
      <c r="E18" s="127"/>
      <c r="F18" s="127"/>
      <c r="G18" s="127"/>
      <c r="H18" s="130"/>
      <c r="I18" s="130"/>
      <c r="J18" s="130">
        <f t="shared" si="1"/>
        <v>0</v>
      </c>
      <c r="K18" s="130"/>
      <c r="L18" s="130"/>
      <c r="M18" s="130">
        <f t="shared" si="2"/>
        <v>0</v>
      </c>
      <c r="N18" s="130"/>
      <c r="O18" s="130"/>
      <c r="P18" s="127"/>
      <c r="Q18" s="127"/>
      <c r="R18" s="127"/>
      <c r="S18" s="127"/>
      <c r="T18" s="127" t="str">
        <f>IF(A18="","",VLOOKUP(A18,'BASE OS'!$A$2:$I1000,4,FALSE))</f>
        <v/>
      </c>
      <c r="U18" s="127"/>
      <c r="V18" s="127"/>
      <c r="W18" s="127" t="str">
        <f t="shared" si="3"/>
        <v/>
      </c>
      <c r="X18" s="127" t="str">
        <f t="shared" si="4"/>
        <v/>
      </c>
      <c r="Y18" s="127" t="str">
        <f t="shared" si="5"/>
        <v/>
      </c>
    </row>
    <row r="19">
      <c r="A19" s="127"/>
      <c r="B19" s="127" t="str">
        <f>IF(A19="","",VLOOKUP(A19,'BASE OS'!$A$2:$I1000,2,FALSE))</f>
        <v/>
      </c>
      <c r="C19" s="132"/>
      <c r="D19" s="127"/>
      <c r="E19" s="127"/>
      <c r="F19" s="127"/>
      <c r="G19" s="127"/>
      <c r="H19" s="130"/>
      <c r="I19" s="130"/>
      <c r="J19" s="130">
        <f t="shared" si="1"/>
        <v>0</v>
      </c>
      <c r="K19" s="130"/>
      <c r="L19" s="130"/>
      <c r="M19" s="130">
        <f t="shared" si="2"/>
        <v>0</v>
      </c>
      <c r="N19" s="130"/>
      <c r="O19" s="130"/>
      <c r="P19" s="127"/>
      <c r="Q19" s="127"/>
      <c r="R19" s="127"/>
      <c r="S19" s="127"/>
      <c r="T19" s="127" t="str">
        <f>IF(A19="","",VLOOKUP(A19,'BASE OS'!$A$2:$I1000,4,FALSE))</f>
        <v/>
      </c>
      <c r="U19" s="127"/>
      <c r="V19" s="127"/>
      <c r="W19" s="127" t="str">
        <f t="shared" si="3"/>
        <v/>
      </c>
      <c r="X19" s="127" t="str">
        <f t="shared" si="4"/>
        <v/>
      </c>
      <c r="Y19" s="127" t="str">
        <f t="shared" si="5"/>
        <v/>
      </c>
    </row>
    <row r="20">
      <c r="A20" s="127"/>
      <c r="B20" s="127" t="str">
        <f>IF(A20="","",VLOOKUP(A20,'BASE OS'!$A$2:$I1000,2,FALSE))</f>
        <v/>
      </c>
      <c r="C20" s="132"/>
      <c r="D20" s="127"/>
      <c r="E20" s="127"/>
      <c r="F20" s="127"/>
      <c r="G20" s="127"/>
      <c r="H20" s="130"/>
      <c r="I20" s="130"/>
      <c r="J20" s="130">
        <f t="shared" si="1"/>
        <v>0</v>
      </c>
      <c r="K20" s="130"/>
      <c r="L20" s="130"/>
      <c r="M20" s="130">
        <f t="shared" si="2"/>
        <v>0</v>
      </c>
      <c r="N20" s="130"/>
      <c r="O20" s="130"/>
      <c r="P20" s="127"/>
      <c r="Q20" s="127"/>
      <c r="R20" s="127"/>
      <c r="S20" s="127"/>
      <c r="T20" s="127" t="str">
        <f>IF(A20="","",VLOOKUP(A20,'BASE OS'!$A$2:$I1000,4,FALSE))</f>
        <v/>
      </c>
      <c r="U20" s="127"/>
      <c r="V20" s="127"/>
      <c r="W20" s="127" t="str">
        <f t="shared" si="3"/>
        <v/>
      </c>
      <c r="X20" s="127" t="str">
        <f t="shared" si="4"/>
        <v/>
      </c>
      <c r="Y20" s="127" t="str">
        <f t="shared" si="5"/>
        <v/>
      </c>
    </row>
    <row r="21">
      <c r="A21" s="127"/>
      <c r="B21" s="127" t="str">
        <f>IF(A21="","",VLOOKUP(A21,'BASE OS'!$A$2:$I1000,2,FALSE))</f>
        <v/>
      </c>
      <c r="C21" s="132"/>
      <c r="D21" s="127"/>
      <c r="E21" s="127"/>
      <c r="F21" s="127"/>
      <c r="G21" s="127"/>
      <c r="H21" s="130"/>
      <c r="I21" s="130"/>
      <c r="J21" s="130">
        <f t="shared" si="1"/>
        <v>0</v>
      </c>
      <c r="K21" s="130"/>
      <c r="L21" s="130"/>
      <c r="M21" s="130">
        <f t="shared" si="2"/>
        <v>0</v>
      </c>
      <c r="N21" s="130"/>
      <c r="O21" s="130"/>
      <c r="P21" s="127"/>
      <c r="Q21" s="127"/>
      <c r="R21" s="127"/>
      <c r="S21" s="127"/>
      <c r="T21" s="127" t="str">
        <f>IF(A21="","",VLOOKUP(A21,'BASE OS'!$A$2:$I1000,4,FALSE))</f>
        <v/>
      </c>
      <c r="U21" s="127"/>
      <c r="V21" s="127"/>
      <c r="W21" s="127" t="str">
        <f t="shared" si="3"/>
        <v/>
      </c>
      <c r="X21" s="127" t="str">
        <f t="shared" si="4"/>
        <v/>
      </c>
      <c r="Y21" s="127" t="str">
        <f t="shared" si="5"/>
        <v/>
      </c>
    </row>
    <row r="22">
      <c r="A22" s="127"/>
      <c r="B22" s="127" t="str">
        <f>IF(A22="","",VLOOKUP(A22,'BASE OS'!$A$2:$I1000,2,FALSE))</f>
        <v/>
      </c>
      <c r="C22" s="132"/>
      <c r="D22" s="127"/>
      <c r="E22" s="127"/>
      <c r="F22" s="127"/>
      <c r="G22" s="127"/>
      <c r="H22" s="130"/>
      <c r="I22" s="130"/>
      <c r="J22" s="130">
        <f t="shared" si="1"/>
        <v>0</v>
      </c>
      <c r="K22" s="130"/>
      <c r="L22" s="130"/>
      <c r="M22" s="130">
        <f t="shared" si="2"/>
        <v>0</v>
      </c>
      <c r="N22" s="130"/>
      <c r="O22" s="130"/>
      <c r="P22" s="127"/>
      <c r="Q22" s="127"/>
      <c r="R22" s="127"/>
      <c r="S22" s="127"/>
      <c r="T22" s="127" t="str">
        <f>IF(A22="","",VLOOKUP(A22,'BASE OS'!$A$2:$I1000,4,FALSE))</f>
        <v/>
      </c>
      <c r="U22" s="127"/>
      <c r="V22" s="127"/>
      <c r="W22" s="127" t="str">
        <f t="shared" si="3"/>
        <v/>
      </c>
      <c r="X22" s="127" t="str">
        <f t="shared" si="4"/>
        <v/>
      </c>
      <c r="Y22" s="127" t="str">
        <f t="shared" si="5"/>
        <v/>
      </c>
    </row>
    <row r="23">
      <c r="A23" s="127"/>
      <c r="B23" s="127" t="str">
        <f>IF(A23="","",VLOOKUP(A23,'BASE OS'!$A$2:$I1000,2,FALSE))</f>
        <v/>
      </c>
      <c r="C23" s="132"/>
      <c r="D23" s="127"/>
      <c r="E23" s="127"/>
      <c r="F23" s="127"/>
      <c r="G23" s="127"/>
      <c r="H23" s="130"/>
      <c r="I23" s="130"/>
      <c r="J23" s="130">
        <f t="shared" si="1"/>
        <v>0</v>
      </c>
      <c r="K23" s="130"/>
      <c r="L23" s="130"/>
      <c r="M23" s="130">
        <f t="shared" si="2"/>
        <v>0</v>
      </c>
      <c r="N23" s="130"/>
      <c r="O23" s="130"/>
      <c r="P23" s="127"/>
      <c r="Q23" s="127"/>
      <c r="R23" s="127"/>
      <c r="S23" s="127"/>
      <c r="T23" s="127" t="str">
        <f>IF(A23="","",VLOOKUP(A23,'BASE OS'!$A$2:$I1000,4,FALSE))</f>
        <v/>
      </c>
      <c r="U23" s="127"/>
      <c r="V23" s="127"/>
      <c r="W23" s="127" t="str">
        <f t="shared" si="3"/>
        <v/>
      </c>
      <c r="X23" s="127" t="str">
        <f t="shared" si="4"/>
        <v/>
      </c>
      <c r="Y23" s="127" t="str">
        <f t="shared" si="5"/>
        <v/>
      </c>
    </row>
    <row r="24">
      <c r="A24" s="127"/>
      <c r="B24" s="127" t="str">
        <f>IF(A24="","",VLOOKUP(A24,'BASE OS'!$A$2:$I1000,2,FALSE))</f>
        <v/>
      </c>
      <c r="C24" s="132"/>
      <c r="D24" s="127"/>
      <c r="E24" s="127"/>
      <c r="F24" s="127"/>
      <c r="G24" s="127"/>
      <c r="H24" s="130"/>
      <c r="I24" s="130"/>
      <c r="J24" s="130">
        <f t="shared" si="1"/>
        <v>0</v>
      </c>
      <c r="K24" s="130"/>
      <c r="L24" s="130"/>
      <c r="M24" s="130">
        <f t="shared" si="2"/>
        <v>0</v>
      </c>
      <c r="N24" s="130"/>
      <c r="O24" s="130"/>
      <c r="P24" s="127"/>
      <c r="Q24" s="127"/>
      <c r="R24" s="127"/>
      <c r="S24" s="127"/>
      <c r="T24" s="127" t="str">
        <f>IF(A24="","",VLOOKUP(A24,'BASE OS'!$A$2:$I1000,4,FALSE))</f>
        <v/>
      </c>
      <c r="U24" s="127"/>
      <c r="V24" s="127"/>
      <c r="W24" s="127" t="str">
        <f t="shared" si="3"/>
        <v/>
      </c>
      <c r="X24" s="127" t="str">
        <f t="shared" si="4"/>
        <v/>
      </c>
      <c r="Y24" s="127" t="str">
        <f t="shared" si="5"/>
        <v/>
      </c>
    </row>
    <row r="25">
      <c r="A25" s="127"/>
      <c r="B25" s="127" t="str">
        <f>IF(A25="","",VLOOKUP(A25,'BASE OS'!$A$2:$I1000,2,FALSE))</f>
        <v/>
      </c>
      <c r="C25" s="132"/>
      <c r="D25" s="127"/>
      <c r="E25" s="127"/>
      <c r="F25" s="127"/>
      <c r="G25" s="127"/>
      <c r="H25" s="130"/>
      <c r="I25" s="130"/>
      <c r="J25" s="130">
        <f t="shared" si="1"/>
        <v>0</v>
      </c>
      <c r="K25" s="130"/>
      <c r="L25" s="130"/>
      <c r="M25" s="130">
        <f t="shared" si="2"/>
        <v>0</v>
      </c>
      <c r="N25" s="130"/>
      <c r="O25" s="130"/>
      <c r="P25" s="127"/>
      <c r="Q25" s="127"/>
      <c r="R25" s="127"/>
      <c r="S25" s="127"/>
      <c r="T25" s="127" t="str">
        <f>IF(A25="","",VLOOKUP(A25,'BASE OS'!$A$2:$I1000,4,FALSE))</f>
        <v/>
      </c>
      <c r="U25" s="127"/>
      <c r="V25" s="127"/>
      <c r="W25" s="127" t="str">
        <f t="shared" si="3"/>
        <v/>
      </c>
      <c r="X25" s="127" t="str">
        <f t="shared" si="4"/>
        <v/>
      </c>
      <c r="Y25" s="127" t="str">
        <f t="shared" si="5"/>
        <v/>
      </c>
    </row>
    <row r="26">
      <c r="A26" s="127"/>
      <c r="B26" s="127" t="str">
        <f>IF(A26="","",VLOOKUP(A26,'BASE OS'!$A$2:$I1000,2,FALSE))</f>
        <v/>
      </c>
      <c r="C26" s="132"/>
      <c r="D26" s="127"/>
      <c r="E26" s="127"/>
      <c r="F26" s="127"/>
      <c r="G26" s="127"/>
      <c r="H26" s="130"/>
      <c r="I26" s="130"/>
      <c r="J26" s="130">
        <f t="shared" si="1"/>
        <v>0</v>
      </c>
      <c r="K26" s="130"/>
      <c r="L26" s="130"/>
      <c r="M26" s="130">
        <f t="shared" si="2"/>
        <v>0</v>
      </c>
      <c r="N26" s="130"/>
      <c r="O26" s="130"/>
      <c r="P26" s="127"/>
      <c r="Q26" s="127"/>
      <c r="R26" s="127"/>
      <c r="S26" s="127"/>
      <c r="T26" s="127" t="str">
        <f>IF(A26="","",VLOOKUP(A26,'BASE OS'!$A$2:$I1000,4,FALSE))</f>
        <v/>
      </c>
      <c r="U26" s="127"/>
      <c r="V26" s="127"/>
      <c r="W26" s="127" t="str">
        <f t="shared" si="3"/>
        <v/>
      </c>
      <c r="X26" s="127" t="str">
        <f t="shared" si="4"/>
        <v/>
      </c>
      <c r="Y26" s="127" t="str">
        <f t="shared" si="5"/>
        <v/>
      </c>
    </row>
    <row r="27">
      <c r="A27" s="127"/>
      <c r="B27" s="127" t="str">
        <f>IF(A27="","",VLOOKUP(A27,'BASE OS'!$A$2:$I1000,2,FALSE))</f>
        <v/>
      </c>
      <c r="C27" s="132"/>
      <c r="D27" s="127"/>
      <c r="E27" s="127"/>
      <c r="F27" s="127"/>
      <c r="G27" s="127"/>
      <c r="H27" s="130"/>
      <c r="I27" s="130"/>
      <c r="J27" s="130">
        <f t="shared" si="1"/>
        <v>0</v>
      </c>
      <c r="K27" s="130"/>
      <c r="L27" s="130"/>
      <c r="M27" s="130">
        <f t="shared" si="2"/>
        <v>0</v>
      </c>
      <c r="N27" s="130"/>
      <c r="O27" s="130"/>
      <c r="P27" s="127"/>
      <c r="Q27" s="127"/>
      <c r="R27" s="127"/>
      <c r="S27" s="127"/>
      <c r="T27" s="127" t="str">
        <f>IF(A27="","",VLOOKUP(A27,'BASE OS'!$A$2:$I1000,4,FALSE))</f>
        <v/>
      </c>
      <c r="U27" s="127"/>
      <c r="V27" s="127"/>
      <c r="W27" s="127" t="str">
        <f t="shared" si="3"/>
        <v/>
      </c>
      <c r="X27" s="127" t="str">
        <f t="shared" si="4"/>
        <v/>
      </c>
      <c r="Y27" s="127" t="str">
        <f t="shared" si="5"/>
        <v/>
      </c>
    </row>
    <row r="28">
      <c r="A28" s="127"/>
      <c r="B28" s="127" t="str">
        <f>IF(A28="","",VLOOKUP(A28,'BASE OS'!$A$2:$I1000,2,FALSE))</f>
        <v/>
      </c>
      <c r="C28" s="132"/>
      <c r="D28" s="127"/>
      <c r="E28" s="127"/>
      <c r="F28" s="127"/>
      <c r="G28" s="127"/>
      <c r="H28" s="130"/>
      <c r="I28" s="130"/>
      <c r="J28" s="130">
        <f t="shared" si="1"/>
        <v>0</v>
      </c>
      <c r="K28" s="130"/>
      <c r="L28" s="130"/>
      <c r="M28" s="130">
        <f t="shared" si="2"/>
        <v>0</v>
      </c>
      <c r="N28" s="130"/>
      <c r="O28" s="130"/>
      <c r="P28" s="127"/>
      <c r="Q28" s="127"/>
      <c r="R28" s="127"/>
      <c r="S28" s="127"/>
      <c r="T28" s="127" t="str">
        <f>IF(A28="","",VLOOKUP(A28,'BASE OS'!$A$2:$I1000,4,FALSE))</f>
        <v/>
      </c>
      <c r="U28" s="127"/>
      <c r="V28" s="127"/>
      <c r="W28" s="127" t="str">
        <f t="shared" si="3"/>
        <v/>
      </c>
      <c r="X28" s="127" t="str">
        <f t="shared" si="4"/>
        <v/>
      </c>
      <c r="Y28" s="127" t="str">
        <f t="shared" si="5"/>
        <v/>
      </c>
    </row>
    <row r="29">
      <c r="A29" s="127"/>
      <c r="B29" s="127" t="str">
        <f>IF(A29="","",VLOOKUP(A29,'BASE OS'!$A$2:$I1000,2,FALSE))</f>
        <v/>
      </c>
      <c r="C29" s="132"/>
      <c r="D29" s="127"/>
      <c r="E29" s="127"/>
      <c r="F29" s="127"/>
      <c r="G29" s="127"/>
      <c r="H29" s="130"/>
      <c r="I29" s="130"/>
      <c r="J29" s="130">
        <f t="shared" si="1"/>
        <v>0</v>
      </c>
      <c r="K29" s="130"/>
      <c r="L29" s="130"/>
      <c r="M29" s="130">
        <f t="shared" si="2"/>
        <v>0</v>
      </c>
      <c r="N29" s="130"/>
      <c r="O29" s="130"/>
      <c r="P29" s="127"/>
      <c r="Q29" s="127"/>
      <c r="R29" s="127"/>
      <c r="S29" s="127"/>
      <c r="T29" s="127" t="str">
        <f>IF(A29="","",VLOOKUP(A29,'BASE OS'!$A$2:$I1000,4,FALSE))</f>
        <v/>
      </c>
      <c r="U29" s="127"/>
      <c r="V29" s="127"/>
      <c r="W29" s="127" t="str">
        <f t="shared" si="3"/>
        <v/>
      </c>
      <c r="X29" s="127" t="str">
        <f t="shared" si="4"/>
        <v/>
      </c>
      <c r="Y29" s="127" t="str">
        <f t="shared" si="5"/>
        <v/>
      </c>
    </row>
    <row r="30">
      <c r="A30" s="127"/>
      <c r="B30" s="127" t="str">
        <f>IF(A30="","",VLOOKUP(A30,'BASE OS'!$A$2:$I1000,2,FALSE))</f>
        <v/>
      </c>
      <c r="C30" s="132"/>
      <c r="D30" s="127"/>
      <c r="E30" s="127"/>
      <c r="F30" s="127"/>
      <c r="G30" s="127"/>
      <c r="H30" s="130"/>
      <c r="I30" s="130"/>
      <c r="J30" s="130">
        <f t="shared" si="1"/>
        <v>0</v>
      </c>
      <c r="K30" s="130"/>
      <c r="L30" s="130"/>
      <c r="M30" s="130">
        <f t="shared" si="2"/>
        <v>0</v>
      </c>
      <c r="N30" s="130"/>
      <c r="O30" s="130"/>
      <c r="P30" s="127"/>
      <c r="Q30" s="127"/>
      <c r="R30" s="127"/>
      <c r="S30" s="127"/>
      <c r="T30" s="127" t="str">
        <f>IF(A30="","",VLOOKUP(A30,'BASE OS'!$A$2:$I1000,4,FALSE))</f>
        <v/>
      </c>
      <c r="U30" s="127"/>
      <c r="V30" s="127"/>
      <c r="W30" s="127" t="str">
        <f t="shared" si="3"/>
        <v/>
      </c>
      <c r="X30" s="127" t="str">
        <f t="shared" si="4"/>
        <v/>
      </c>
      <c r="Y30" s="127" t="str">
        <f t="shared" si="5"/>
        <v/>
      </c>
    </row>
    <row r="31">
      <c r="A31" s="127"/>
      <c r="B31" s="127" t="str">
        <f>IF(A31="","",VLOOKUP(A31,'BASE OS'!$A$2:$I1000,2,FALSE))</f>
        <v/>
      </c>
      <c r="C31" s="132"/>
      <c r="D31" s="127"/>
      <c r="E31" s="127"/>
      <c r="F31" s="127"/>
      <c r="G31" s="127"/>
      <c r="H31" s="130"/>
      <c r="I31" s="130"/>
      <c r="J31" s="130">
        <f t="shared" si="1"/>
        <v>0</v>
      </c>
      <c r="K31" s="130"/>
      <c r="L31" s="130"/>
      <c r="M31" s="130">
        <f t="shared" si="2"/>
        <v>0</v>
      </c>
      <c r="N31" s="130"/>
      <c r="O31" s="130"/>
      <c r="P31" s="127"/>
      <c r="Q31" s="127"/>
      <c r="R31" s="127"/>
      <c r="S31" s="127"/>
      <c r="T31" s="127" t="str">
        <f>IF(A31="","",VLOOKUP(A31,'BASE OS'!$A$2:$I1000,4,FALSE))</f>
        <v/>
      </c>
      <c r="U31" s="127"/>
      <c r="V31" s="127"/>
      <c r="W31" s="127" t="str">
        <f t="shared" si="3"/>
        <v/>
      </c>
      <c r="X31" s="127" t="str">
        <f t="shared" si="4"/>
        <v/>
      </c>
      <c r="Y31" s="127" t="str">
        <f t="shared" si="5"/>
        <v/>
      </c>
    </row>
    <row r="32">
      <c r="A32" s="127"/>
      <c r="B32" s="127" t="str">
        <f>IF(A32="","",VLOOKUP(A32,'BASE OS'!$A$2:$I1000,2,FALSE))</f>
        <v/>
      </c>
      <c r="C32" s="132"/>
      <c r="D32" s="127"/>
      <c r="E32" s="127"/>
      <c r="F32" s="127"/>
      <c r="G32" s="127"/>
      <c r="H32" s="130"/>
      <c r="I32" s="130"/>
      <c r="J32" s="130">
        <f t="shared" si="1"/>
        <v>0</v>
      </c>
      <c r="K32" s="130"/>
      <c r="L32" s="130"/>
      <c r="M32" s="130">
        <f t="shared" si="2"/>
        <v>0</v>
      </c>
      <c r="N32" s="130"/>
      <c r="O32" s="130"/>
      <c r="P32" s="127"/>
      <c r="Q32" s="127"/>
      <c r="R32" s="127"/>
      <c r="S32" s="127"/>
      <c r="T32" s="127" t="str">
        <f>IF(A32="","",VLOOKUP(A32,'BASE OS'!$A$2:$I1000,4,FALSE))</f>
        <v/>
      </c>
      <c r="U32" s="127"/>
      <c r="V32" s="127"/>
      <c r="W32" s="127" t="str">
        <f t="shared" si="3"/>
        <v/>
      </c>
      <c r="X32" s="127" t="str">
        <f t="shared" si="4"/>
        <v/>
      </c>
      <c r="Y32" s="127" t="str">
        <f t="shared" si="5"/>
        <v/>
      </c>
    </row>
    <row r="33">
      <c r="A33" s="127"/>
      <c r="B33" s="127" t="str">
        <f>IF(A33="","",VLOOKUP(A33,'BASE OS'!$A$2:$I1000,2,FALSE))</f>
        <v/>
      </c>
      <c r="C33" s="132"/>
      <c r="D33" s="127"/>
      <c r="E33" s="127"/>
      <c r="F33" s="127"/>
      <c r="G33" s="127"/>
      <c r="H33" s="130"/>
      <c r="I33" s="130"/>
      <c r="J33" s="130">
        <f t="shared" si="1"/>
        <v>0</v>
      </c>
      <c r="K33" s="130"/>
      <c r="L33" s="130"/>
      <c r="M33" s="130">
        <f t="shared" si="2"/>
        <v>0</v>
      </c>
      <c r="N33" s="130"/>
      <c r="O33" s="130"/>
      <c r="P33" s="127"/>
      <c r="Q33" s="127"/>
      <c r="R33" s="127"/>
      <c r="S33" s="127"/>
      <c r="T33" s="127" t="str">
        <f>IF(A33="","",VLOOKUP(A33,'BASE OS'!$A$2:$I1000,4,FALSE))</f>
        <v/>
      </c>
      <c r="U33" s="127"/>
      <c r="V33" s="127"/>
      <c r="W33" s="127" t="str">
        <f t="shared" si="3"/>
        <v/>
      </c>
      <c r="X33" s="127" t="str">
        <f t="shared" si="4"/>
        <v/>
      </c>
      <c r="Y33" s="127" t="str">
        <f t="shared" si="5"/>
        <v/>
      </c>
    </row>
    <row r="34">
      <c r="A34" s="127"/>
      <c r="B34" s="127" t="str">
        <f>IF(A34="","",VLOOKUP(A34,'BASE OS'!$A$2:$I1000,2,FALSE))</f>
        <v/>
      </c>
      <c r="C34" s="132"/>
      <c r="D34" s="127"/>
      <c r="E34" s="127"/>
      <c r="F34" s="127"/>
      <c r="G34" s="127"/>
      <c r="H34" s="130"/>
      <c r="I34" s="130"/>
      <c r="J34" s="130">
        <f t="shared" si="1"/>
        <v>0</v>
      </c>
      <c r="K34" s="130"/>
      <c r="L34" s="130"/>
      <c r="M34" s="130">
        <f t="shared" si="2"/>
        <v>0</v>
      </c>
      <c r="N34" s="130"/>
      <c r="O34" s="130"/>
      <c r="P34" s="127"/>
      <c r="Q34" s="127"/>
      <c r="R34" s="127"/>
      <c r="S34" s="127"/>
      <c r="T34" s="127" t="str">
        <f>IF(A34="","",VLOOKUP(A34,'BASE OS'!$A$2:$I1000,4,FALSE))</f>
        <v/>
      </c>
      <c r="U34" s="127"/>
      <c r="V34" s="127"/>
      <c r="W34" s="127" t="str">
        <f t="shared" si="3"/>
        <v/>
      </c>
      <c r="X34" s="127" t="str">
        <f t="shared" si="4"/>
        <v/>
      </c>
      <c r="Y34" s="127" t="str">
        <f t="shared" si="5"/>
        <v/>
      </c>
    </row>
    <row r="35">
      <c r="A35" s="127"/>
      <c r="B35" s="127" t="str">
        <f>IF(A35="","",VLOOKUP(A35,'BASE OS'!$A$2:$I1000,2,FALSE))</f>
        <v/>
      </c>
      <c r="C35" s="132"/>
      <c r="D35" s="127"/>
      <c r="E35" s="127"/>
      <c r="F35" s="127"/>
      <c r="G35" s="127"/>
      <c r="H35" s="130"/>
      <c r="I35" s="130"/>
      <c r="J35" s="130">
        <f t="shared" si="1"/>
        <v>0</v>
      </c>
      <c r="K35" s="130"/>
      <c r="L35" s="130"/>
      <c r="M35" s="130">
        <f t="shared" si="2"/>
        <v>0</v>
      </c>
      <c r="N35" s="130"/>
      <c r="O35" s="130"/>
      <c r="P35" s="127"/>
      <c r="Q35" s="127"/>
      <c r="R35" s="127"/>
      <c r="S35" s="127"/>
      <c r="T35" s="127" t="str">
        <f>IF(A35="","",VLOOKUP(A35,'BASE OS'!$A$2:$I1000,4,FALSE))</f>
        <v/>
      </c>
      <c r="U35" s="127"/>
      <c r="V35" s="127"/>
      <c r="W35" s="127" t="str">
        <f t="shared" si="3"/>
        <v/>
      </c>
      <c r="X35" s="127" t="str">
        <f t="shared" si="4"/>
        <v/>
      </c>
      <c r="Y35" s="127" t="str">
        <f t="shared" si="5"/>
        <v/>
      </c>
    </row>
    <row r="36">
      <c r="A36" s="127"/>
      <c r="B36" s="127" t="str">
        <f>IF(A36="","",VLOOKUP(A36,'BASE OS'!$A$2:$I1000,2,FALSE))</f>
        <v/>
      </c>
      <c r="C36" s="132"/>
      <c r="D36" s="127"/>
      <c r="E36" s="127"/>
      <c r="F36" s="127"/>
      <c r="G36" s="127"/>
      <c r="H36" s="130"/>
      <c r="I36" s="130"/>
      <c r="J36" s="130">
        <f t="shared" si="1"/>
        <v>0</v>
      </c>
      <c r="K36" s="130"/>
      <c r="L36" s="130"/>
      <c r="M36" s="130">
        <f t="shared" si="2"/>
        <v>0</v>
      </c>
      <c r="N36" s="130"/>
      <c r="O36" s="130"/>
      <c r="P36" s="127"/>
      <c r="Q36" s="127"/>
      <c r="R36" s="127"/>
      <c r="S36" s="127"/>
      <c r="T36" s="127" t="str">
        <f>IF(A36="","",VLOOKUP(A36,'BASE OS'!$A$2:$I1000,4,FALSE))</f>
        <v/>
      </c>
      <c r="U36" s="127"/>
      <c r="V36" s="127"/>
      <c r="W36" s="127" t="str">
        <f t="shared" si="3"/>
        <v/>
      </c>
      <c r="X36" s="127" t="str">
        <f t="shared" si="4"/>
        <v/>
      </c>
      <c r="Y36" s="127" t="str">
        <f t="shared" si="5"/>
        <v/>
      </c>
    </row>
    <row r="37">
      <c r="A37" s="127"/>
      <c r="B37" s="127" t="str">
        <f>IF(A37="","",VLOOKUP(A37,'BASE OS'!$A$2:$I1000,2,FALSE))</f>
        <v/>
      </c>
      <c r="C37" s="132"/>
      <c r="D37" s="127"/>
      <c r="E37" s="127"/>
      <c r="F37" s="127"/>
      <c r="G37" s="127"/>
      <c r="H37" s="130"/>
      <c r="I37" s="130"/>
      <c r="J37" s="130">
        <f t="shared" si="1"/>
        <v>0</v>
      </c>
      <c r="K37" s="130"/>
      <c r="L37" s="130"/>
      <c r="M37" s="130">
        <f t="shared" si="2"/>
        <v>0</v>
      </c>
      <c r="N37" s="130"/>
      <c r="O37" s="130"/>
      <c r="P37" s="127"/>
      <c r="Q37" s="127"/>
      <c r="R37" s="127"/>
      <c r="S37" s="127"/>
      <c r="T37" s="127" t="str">
        <f>IF(A37="","",VLOOKUP(A37,'BASE OS'!$A$2:$I1000,4,FALSE))</f>
        <v/>
      </c>
      <c r="U37" s="127"/>
      <c r="V37" s="127"/>
      <c r="W37" s="127" t="str">
        <f t="shared" si="3"/>
        <v/>
      </c>
      <c r="X37" s="127" t="str">
        <f t="shared" si="4"/>
        <v/>
      </c>
      <c r="Y37" s="127" t="str">
        <f t="shared" si="5"/>
        <v/>
      </c>
    </row>
    <row r="38">
      <c r="A38" s="127"/>
      <c r="B38" s="127" t="str">
        <f>IF(A38="","",VLOOKUP(A38,'BASE OS'!$A$2:$I1000,2,FALSE))</f>
        <v/>
      </c>
      <c r="C38" s="132"/>
      <c r="D38" s="127"/>
      <c r="E38" s="127"/>
      <c r="F38" s="127"/>
      <c r="G38" s="127"/>
      <c r="H38" s="130"/>
      <c r="I38" s="130"/>
      <c r="J38" s="130">
        <f t="shared" si="1"/>
        <v>0</v>
      </c>
      <c r="K38" s="130"/>
      <c r="L38" s="130"/>
      <c r="M38" s="130">
        <f t="shared" si="2"/>
        <v>0</v>
      </c>
      <c r="N38" s="130"/>
      <c r="O38" s="130"/>
      <c r="P38" s="127"/>
      <c r="Q38" s="127"/>
      <c r="R38" s="127"/>
      <c r="S38" s="127"/>
      <c r="T38" s="127" t="str">
        <f>IF(A38="","",VLOOKUP(A38,'BASE OS'!$A$2:$I1000,4,FALSE))</f>
        <v/>
      </c>
      <c r="U38" s="127"/>
      <c r="V38" s="127"/>
      <c r="W38" s="127" t="str">
        <f t="shared" si="3"/>
        <v/>
      </c>
      <c r="X38" s="127" t="str">
        <f t="shared" si="4"/>
        <v/>
      </c>
      <c r="Y38" s="127" t="str">
        <f t="shared" si="5"/>
        <v/>
      </c>
    </row>
    <row r="39">
      <c r="A39" s="127"/>
      <c r="B39" s="127" t="str">
        <f>IF(A39="","",VLOOKUP(A39,'BASE OS'!$A$2:$I1000,2,FALSE))</f>
        <v/>
      </c>
      <c r="C39" s="132"/>
      <c r="D39" s="127"/>
      <c r="E39" s="127"/>
      <c r="F39" s="127"/>
      <c r="G39" s="127"/>
      <c r="H39" s="130"/>
      <c r="I39" s="130"/>
      <c r="J39" s="130">
        <f t="shared" si="1"/>
        <v>0</v>
      </c>
      <c r="K39" s="130"/>
      <c r="L39" s="130"/>
      <c r="M39" s="130">
        <f t="shared" si="2"/>
        <v>0</v>
      </c>
      <c r="N39" s="130"/>
      <c r="O39" s="130"/>
      <c r="P39" s="127"/>
      <c r="Q39" s="127"/>
      <c r="R39" s="127"/>
      <c r="S39" s="127"/>
      <c r="T39" s="127" t="str">
        <f>IF(A39="","",VLOOKUP(A39,'BASE OS'!$A$2:$I1000,4,FALSE))</f>
        <v/>
      </c>
      <c r="U39" s="127"/>
      <c r="V39" s="127"/>
      <c r="W39" s="127" t="str">
        <f t="shared" si="3"/>
        <v/>
      </c>
      <c r="X39" s="127" t="str">
        <f t="shared" si="4"/>
        <v/>
      </c>
      <c r="Y39" s="127" t="str">
        <f t="shared" si="5"/>
        <v/>
      </c>
    </row>
    <row r="40">
      <c r="A40" s="127"/>
      <c r="B40" s="127" t="str">
        <f>IF(A40="","",VLOOKUP(A40,'BASE OS'!$A$2:$I1000,2,FALSE))</f>
        <v/>
      </c>
      <c r="C40" s="132"/>
      <c r="D40" s="127"/>
      <c r="E40" s="127"/>
      <c r="F40" s="127"/>
      <c r="G40" s="127"/>
      <c r="H40" s="130"/>
      <c r="I40" s="130"/>
      <c r="J40" s="130">
        <f t="shared" si="1"/>
        <v>0</v>
      </c>
      <c r="K40" s="130"/>
      <c r="L40" s="130"/>
      <c r="M40" s="130">
        <f t="shared" si="2"/>
        <v>0</v>
      </c>
      <c r="N40" s="130"/>
      <c r="O40" s="130"/>
      <c r="P40" s="127"/>
      <c r="Q40" s="127"/>
      <c r="R40" s="127"/>
      <c r="S40" s="127"/>
      <c r="T40" s="127" t="str">
        <f>IF(A40="","",VLOOKUP(A40,'BASE OS'!$A$2:$I1000,4,FALSE))</f>
        <v/>
      </c>
      <c r="U40" s="127"/>
      <c r="V40" s="127"/>
      <c r="W40" s="127" t="str">
        <f t="shared" si="3"/>
        <v/>
      </c>
      <c r="X40" s="127" t="str">
        <f t="shared" si="4"/>
        <v/>
      </c>
      <c r="Y40" s="127" t="str">
        <f t="shared" si="5"/>
        <v/>
      </c>
    </row>
    <row r="41">
      <c r="A41" s="127"/>
      <c r="B41" s="127" t="str">
        <f>IF(A41="","",VLOOKUP(A41,'BASE OS'!$A$2:$I1000,2,FALSE))</f>
        <v/>
      </c>
      <c r="C41" s="132"/>
      <c r="D41" s="127"/>
      <c r="E41" s="127"/>
      <c r="F41" s="127"/>
      <c r="G41" s="127"/>
      <c r="H41" s="130"/>
      <c r="I41" s="130"/>
      <c r="J41" s="130">
        <f t="shared" si="1"/>
        <v>0</v>
      </c>
      <c r="K41" s="130"/>
      <c r="L41" s="130"/>
      <c r="M41" s="130">
        <f t="shared" si="2"/>
        <v>0</v>
      </c>
      <c r="N41" s="130"/>
      <c r="O41" s="130"/>
      <c r="P41" s="127"/>
      <c r="Q41" s="127"/>
      <c r="R41" s="127"/>
      <c r="S41" s="127"/>
      <c r="T41" s="127" t="str">
        <f>IF(A41="","",VLOOKUP(A41,'BASE OS'!$A$2:$I1000,4,FALSE))</f>
        <v/>
      </c>
      <c r="U41" s="127"/>
      <c r="V41" s="127"/>
      <c r="W41" s="127" t="str">
        <f t="shared" si="3"/>
        <v/>
      </c>
      <c r="X41" s="127" t="str">
        <f t="shared" si="4"/>
        <v/>
      </c>
      <c r="Y41" s="127" t="str">
        <f t="shared" si="5"/>
        <v/>
      </c>
    </row>
    <row r="42">
      <c r="A42" s="127"/>
      <c r="B42" s="127" t="str">
        <f>IF(A42="","",VLOOKUP(A42,'BASE OS'!$A$2:$I1000,2,FALSE))</f>
        <v/>
      </c>
      <c r="C42" s="132"/>
      <c r="D42" s="127"/>
      <c r="E42" s="127"/>
      <c r="F42" s="127"/>
      <c r="G42" s="127"/>
      <c r="H42" s="130"/>
      <c r="I42" s="130"/>
      <c r="J42" s="130">
        <f t="shared" si="1"/>
        <v>0</v>
      </c>
      <c r="K42" s="130"/>
      <c r="L42" s="130"/>
      <c r="M42" s="130">
        <f t="shared" si="2"/>
        <v>0</v>
      </c>
      <c r="N42" s="130"/>
      <c r="O42" s="130"/>
      <c r="P42" s="127"/>
      <c r="Q42" s="127"/>
      <c r="R42" s="127"/>
      <c r="S42" s="127"/>
      <c r="T42" s="127" t="str">
        <f>IF(A42="","",VLOOKUP(A42,'BASE OS'!$A$2:$I1000,4,FALSE))</f>
        <v/>
      </c>
      <c r="U42" s="127"/>
      <c r="V42" s="127"/>
      <c r="W42" s="127" t="str">
        <f t="shared" si="3"/>
        <v/>
      </c>
      <c r="X42" s="127" t="str">
        <f t="shared" si="4"/>
        <v/>
      </c>
      <c r="Y42" s="127" t="str">
        <f t="shared" si="5"/>
        <v/>
      </c>
    </row>
    <row r="43">
      <c r="A43" s="127"/>
      <c r="B43" s="127" t="str">
        <f>IF(A43="","",VLOOKUP(A43,'BASE OS'!$A$2:$I1000,2,FALSE))</f>
        <v/>
      </c>
      <c r="C43" s="132"/>
      <c r="D43" s="127"/>
      <c r="E43" s="127"/>
      <c r="F43" s="127"/>
      <c r="G43" s="127"/>
      <c r="H43" s="130"/>
      <c r="I43" s="130"/>
      <c r="J43" s="130">
        <f t="shared" si="1"/>
        <v>0</v>
      </c>
      <c r="K43" s="130"/>
      <c r="L43" s="130"/>
      <c r="M43" s="130">
        <f t="shared" si="2"/>
        <v>0</v>
      </c>
      <c r="N43" s="130"/>
      <c r="O43" s="130"/>
      <c r="P43" s="127"/>
      <c r="Q43" s="127"/>
      <c r="R43" s="127"/>
      <c r="S43" s="127"/>
      <c r="T43" s="127" t="str">
        <f>IF(A43="","",VLOOKUP(A43,'BASE OS'!$A$2:$I1000,4,FALSE))</f>
        <v/>
      </c>
      <c r="U43" s="127"/>
      <c r="V43" s="127"/>
      <c r="W43" s="127" t="str">
        <f t="shared" si="3"/>
        <v/>
      </c>
      <c r="X43" s="127" t="str">
        <f t="shared" si="4"/>
        <v/>
      </c>
      <c r="Y43" s="127" t="str">
        <f t="shared" si="5"/>
        <v/>
      </c>
    </row>
    <row r="44">
      <c r="A44" s="127"/>
      <c r="B44" s="127" t="str">
        <f>IF(A44="","",VLOOKUP(A44,'BASE OS'!$A$2:$I1000,2,FALSE))</f>
        <v/>
      </c>
      <c r="C44" s="132"/>
      <c r="D44" s="127"/>
      <c r="E44" s="127"/>
      <c r="F44" s="127"/>
      <c r="G44" s="127"/>
      <c r="H44" s="130"/>
      <c r="I44" s="130"/>
      <c r="J44" s="130">
        <f t="shared" si="1"/>
        <v>0</v>
      </c>
      <c r="K44" s="130"/>
      <c r="L44" s="130"/>
      <c r="M44" s="130">
        <f t="shared" si="2"/>
        <v>0</v>
      </c>
      <c r="N44" s="130"/>
      <c r="O44" s="130"/>
      <c r="P44" s="127"/>
      <c r="Q44" s="127"/>
      <c r="R44" s="127"/>
      <c r="S44" s="127"/>
      <c r="T44" s="127" t="str">
        <f>IF(A44="","",VLOOKUP(A44,'BASE OS'!$A$2:$I1000,4,FALSE))</f>
        <v/>
      </c>
      <c r="U44" s="127"/>
      <c r="V44" s="127"/>
      <c r="W44" s="127" t="str">
        <f t="shared" si="3"/>
        <v/>
      </c>
      <c r="X44" s="127" t="str">
        <f t="shared" si="4"/>
        <v/>
      </c>
      <c r="Y44" s="127" t="str">
        <f t="shared" si="5"/>
        <v/>
      </c>
    </row>
    <row r="45">
      <c r="A45" s="127"/>
      <c r="B45" s="127" t="str">
        <f>IF(A45="","",VLOOKUP(A45,'BASE OS'!$A$2:$I1000,2,FALSE))</f>
        <v/>
      </c>
      <c r="C45" s="132"/>
      <c r="D45" s="127"/>
      <c r="E45" s="127"/>
      <c r="F45" s="127"/>
      <c r="G45" s="127"/>
      <c r="H45" s="130"/>
      <c r="I45" s="130"/>
      <c r="J45" s="130">
        <f t="shared" si="1"/>
        <v>0</v>
      </c>
      <c r="K45" s="130"/>
      <c r="L45" s="130"/>
      <c r="M45" s="130">
        <f t="shared" si="2"/>
        <v>0</v>
      </c>
      <c r="N45" s="130"/>
      <c r="O45" s="130"/>
      <c r="P45" s="127"/>
      <c r="Q45" s="127"/>
      <c r="R45" s="127"/>
      <c r="S45" s="127"/>
      <c r="T45" s="127" t="str">
        <f>IF(A45="","",VLOOKUP(A45,'BASE OS'!$A$2:$I1000,4,FALSE))</f>
        <v/>
      </c>
      <c r="U45" s="127"/>
      <c r="V45" s="127"/>
      <c r="W45" s="127" t="str">
        <f t="shared" si="3"/>
        <v/>
      </c>
      <c r="X45" s="127" t="str">
        <f t="shared" si="4"/>
        <v/>
      </c>
      <c r="Y45" s="127" t="str">
        <f t="shared" si="5"/>
        <v/>
      </c>
    </row>
    <row r="46">
      <c r="A46" s="127"/>
      <c r="B46" s="127" t="str">
        <f>IF(A46="","",VLOOKUP(A46,'BASE OS'!$A$2:$I1000,2,FALSE))</f>
        <v/>
      </c>
      <c r="C46" s="132"/>
      <c r="D46" s="127"/>
      <c r="E46" s="127"/>
      <c r="F46" s="127"/>
      <c r="G46" s="127"/>
      <c r="H46" s="130"/>
      <c r="I46" s="130"/>
      <c r="J46" s="130">
        <f t="shared" si="1"/>
        <v>0</v>
      </c>
      <c r="K46" s="130"/>
      <c r="L46" s="130"/>
      <c r="M46" s="130">
        <f t="shared" si="2"/>
        <v>0</v>
      </c>
      <c r="N46" s="130"/>
      <c r="O46" s="130"/>
      <c r="P46" s="127"/>
      <c r="Q46" s="127"/>
      <c r="R46" s="127"/>
      <c r="S46" s="127"/>
      <c r="T46" s="127" t="str">
        <f>IF(A46="","",VLOOKUP(A46,'BASE OS'!$A$2:$I1000,4,FALSE))</f>
        <v/>
      </c>
      <c r="U46" s="127"/>
      <c r="V46" s="127"/>
      <c r="W46" s="127" t="str">
        <f t="shared" si="3"/>
        <v/>
      </c>
      <c r="X46" s="127" t="str">
        <f t="shared" si="4"/>
        <v/>
      </c>
      <c r="Y46" s="127" t="str">
        <f t="shared" si="5"/>
        <v/>
      </c>
    </row>
    <row r="47">
      <c r="A47" s="127"/>
      <c r="B47" s="127" t="str">
        <f>IF(A47="","",VLOOKUP(A47,'BASE OS'!$A$2:$I1000,2,FALSE))</f>
        <v/>
      </c>
      <c r="C47" s="132"/>
      <c r="D47" s="127"/>
      <c r="E47" s="127"/>
      <c r="F47" s="127"/>
      <c r="G47" s="127"/>
      <c r="H47" s="130"/>
      <c r="I47" s="130"/>
      <c r="J47" s="130">
        <f t="shared" si="1"/>
        <v>0</v>
      </c>
      <c r="K47" s="130"/>
      <c r="L47" s="130"/>
      <c r="M47" s="130">
        <f t="shared" si="2"/>
        <v>0</v>
      </c>
      <c r="N47" s="130"/>
      <c r="O47" s="130"/>
      <c r="P47" s="127"/>
      <c r="Q47" s="127"/>
      <c r="R47" s="127"/>
      <c r="S47" s="127"/>
      <c r="T47" s="127" t="str">
        <f>IF(A47="","",VLOOKUP(A47,'BASE OS'!$A$2:$I1000,4,FALSE))</f>
        <v/>
      </c>
      <c r="U47" s="127"/>
      <c r="V47" s="127"/>
      <c r="W47" s="127" t="str">
        <f t="shared" si="3"/>
        <v/>
      </c>
      <c r="X47" s="127" t="str">
        <f t="shared" si="4"/>
        <v/>
      </c>
      <c r="Y47" s="127" t="str">
        <f t="shared" si="5"/>
        <v/>
      </c>
    </row>
    <row r="48">
      <c r="A48" s="127"/>
      <c r="B48" s="127" t="str">
        <f>IF(A48="","",VLOOKUP(A48,'BASE OS'!$A$2:$I1000,2,FALSE))</f>
        <v/>
      </c>
      <c r="C48" s="132"/>
      <c r="D48" s="127"/>
      <c r="E48" s="127"/>
      <c r="F48" s="127"/>
      <c r="G48" s="127"/>
      <c r="H48" s="130"/>
      <c r="I48" s="130"/>
      <c r="J48" s="130">
        <f t="shared" si="1"/>
        <v>0</v>
      </c>
      <c r="K48" s="130"/>
      <c r="L48" s="130"/>
      <c r="M48" s="130">
        <f t="shared" si="2"/>
        <v>0</v>
      </c>
      <c r="N48" s="130"/>
      <c r="O48" s="130"/>
      <c r="P48" s="127"/>
      <c r="Q48" s="127"/>
      <c r="R48" s="127"/>
      <c r="S48" s="127"/>
      <c r="T48" s="127" t="str">
        <f>IF(A48="","",VLOOKUP(A48,'BASE OS'!$A$2:$I1000,4,FALSE))</f>
        <v/>
      </c>
      <c r="U48" s="127"/>
      <c r="V48" s="127"/>
      <c r="W48" s="127" t="str">
        <f t="shared" si="3"/>
        <v/>
      </c>
      <c r="X48" s="127" t="str">
        <f t="shared" si="4"/>
        <v/>
      </c>
      <c r="Y48" s="127" t="str">
        <f t="shared" si="5"/>
        <v/>
      </c>
    </row>
    <row r="49">
      <c r="A49" s="127"/>
      <c r="B49" s="127" t="str">
        <f>IF(A49="","",VLOOKUP(A49,'BASE OS'!$A$2:$I1000,2,FALSE))</f>
        <v/>
      </c>
      <c r="C49" s="132"/>
      <c r="D49" s="127"/>
      <c r="E49" s="127"/>
      <c r="F49" s="127"/>
      <c r="G49" s="127"/>
      <c r="H49" s="130"/>
      <c r="I49" s="130"/>
      <c r="J49" s="130">
        <f t="shared" si="1"/>
        <v>0</v>
      </c>
      <c r="K49" s="130"/>
      <c r="L49" s="130"/>
      <c r="M49" s="130">
        <f t="shared" si="2"/>
        <v>0</v>
      </c>
      <c r="N49" s="130"/>
      <c r="O49" s="130"/>
      <c r="P49" s="127"/>
      <c r="Q49" s="127"/>
      <c r="R49" s="127"/>
      <c r="S49" s="127"/>
      <c r="T49" s="127" t="str">
        <f>IF(A49="","",VLOOKUP(A49,'BASE OS'!$A$2:$I1000,4,FALSE))</f>
        <v/>
      </c>
      <c r="U49" s="127"/>
      <c r="V49" s="127"/>
      <c r="W49" s="127" t="str">
        <f t="shared" si="3"/>
        <v/>
      </c>
      <c r="X49" s="127" t="str">
        <f t="shared" si="4"/>
        <v/>
      </c>
      <c r="Y49" s="127" t="str">
        <f t="shared" si="5"/>
        <v/>
      </c>
    </row>
    <row r="50">
      <c r="A50" s="127"/>
      <c r="B50" s="127" t="str">
        <f>IF(A50="","",VLOOKUP(A50,'BASE OS'!$A$2:$I1000,2,FALSE))</f>
        <v/>
      </c>
      <c r="C50" s="132"/>
      <c r="D50" s="127"/>
      <c r="E50" s="127"/>
      <c r="F50" s="127"/>
      <c r="G50" s="127"/>
      <c r="H50" s="130"/>
      <c r="I50" s="130"/>
      <c r="J50" s="130">
        <f t="shared" si="1"/>
        <v>0</v>
      </c>
      <c r="K50" s="130"/>
      <c r="L50" s="130"/>
      <c r="M50" s="130">
        <f t="shared" si="2"/>
        <v>0</v>
      </c>
      <c r="N50" s="130"/>
      <c r="O50" s="130"/>
      <c r="P50" s="127"/>
      <c r="Q50" s="127"/>
      <c r="R50" s="127"/>
      <c r="S50" s="127"/>
      <c r="T50" s="127" t="str">
        <f>IF(A50="","",VLOOKUP(A50,'BASE OS'!$A$2:$I1000,4,FALSE))</f>
        <v/>
      </c>
      <c r="U50" s="127"/>
      <c r="V50" s="127"/>
      <c r="W50" s="127" t="str">
        <f t="shared" si="3"/>
        <v/>
      </c>
      <c r="X50" s="127" t="str">
        <f t="shared" si="4"/>
        <v/>
      </c>
      <c r="Y50" s="127" t="str">
        <f t="shared" si="5"/>
        <v/>
      </c>
    </row>
    <row r="51">
      <c r="A51" s="127"/>
      <c r="B51" s="127" t="str">
        <f>IF(A51="","",VLOOKUP(A51,'BASE OS'!$A$2:$I1000,2,FALSE))</f>
        <v/>
      </c>
      <c r="C51" s="132"/>
      <c r="D51" s="127"/>
      <c r="E51" s="127"/>
      <c r="F51" s="127"/>
      <c r="G51" s="127"/>
      <c r="H51" s="130"/>
      <c r="I51" s="130"/>
      <c r="J51" s="130">
        <f t="shared" si="1"/>
        <v>0</v>
      </c>
      <c r="K51" s="130"/>
      <c r="L51" s="130"/>
      <c r="M51" s="130">
        <f t="shared" si="2"/>
        <v>0</v>
      </c>
      <c r="N51" s="130"/>
      <c r="O51" s="130"/>
      <c r="P51" s="127"/>
      <c r="Q51" s="127"/>
      <c r="R51" s="127"/>
      <c r="S51" s="127"/>
      <c r="T51" s="127" t="str">
        <f>IF(A51="","",VLOOKUP(A51,'BASE OS'!$A$2:$I1000,4,FALSE))</f>
        <v/>
      </c>
      <c r="U51" s="127"/>
      <c r="V51" s="127"/>
      <c r="W51" s="127" t="str">
        <f t="shared" si="3"/>
        <v/>
      </c>
      <c r="X51" s="127" t="str">
        <f t="shared" si="4"/>
        <v/>
      </c>
      <c r="Y51" s="127" t="str">
        <f t="shared" si="5"/>
        <v/>
      </c>
    </row>
    <row r="52">
      <c r="A52" s="127"/>
      <c r="B52" s="127" t="str">
        <f>IF(A52="","",VLOOKUP(A52,'BASE OS'!$A$2:$I1000,2,FALSE))</f>
        <v/>
      </c>
      <c r="C52" s="132"/>
      <c r="D52" s="127"/>
      <c r="E52" s="127"/>
      <c r="F52" s="127"/>
      <c r="G52" s="127"/>
      <c r="H52" s="130"/>
      <c r="I52" s="130"/>
      <c r="J52" s="130">
        <f t="shared" si="1"/>
        <v>0</v>
      </c>
      <c r="K52" s="130"/>
      <c r="L52" s="130"/>
      <c r="M52" s="130">
        <f t="shared" si="2"/>
        <v>0</v>
      </c>
      <c r="N52" s="130"/>
      <c r="O52" s="130"/>
      <c r="P52" s="127"/>
      <c r="Q52" s="127"/>
      <c r="R52" s="127"/>
      <c r="S52" s="127"/>
      <c r="T52" s="127" t="str">
        <f>IF(A52="","",VLOOKUP(A52,'BASE OS'!$A$2:$I1000,4,FALSE))</f>
        <v/>
      </c>
      <c r="U52" s="127"/>
      <c r="V52" s="127"/>
      <c r="W52" s="127" t="str">
        <f t="shared" si="3"/>
        <v/>
      </c>
      <c r="X52" s="127" t="str">
        <f t="shared" si="4"/>
        <v/>
      </c>
      <c r="Y52" s="127" t="str">
        <f t="shared" si="5"/>
        <v/>
      </c>
    </row>
    <row r="53">
      <c r="A53" s="127"/>
      <c r="B53" s="127" t="str">
        <f>IF(A53="","",VLOOKUP(A53,'BASE OS'!$A$2:$I1000,2,FALSE))</f>
        <v/>
      </c>
      <c r="C53" s="132"/>
      <c r="D53" s="127"/>
      <c r="E53" s="127"/>
      <c r="F53" s="127"/>
      <c r="G53" s="127"/>
      <c r="H53" s="130"/>
      <c r="I53" s="130"/>
      <c r="J53" s="130">
        <f t="shared" si="1"/>
        <v>0</v>
      </c>
      <c r="K53" s="130"/>
      <c r="L53" s="130"/>
      <c r="M53" s="130">
        <f t="shared" si="2"/>
        <v>0</v>
      </c>
      <c r="N53" s="130"/>
      <c r="O53" s="130"/>
      <c r="P53" s="127"/>
      <c r="Q53" s="127"/>
      <c r="R53" s="127"/>
      <c r="S53" s="127"/>
      <c r="T53" s="127" t="str">
        <f>IF(A53="","",VLOOKUP(A53,'BASE OS'!$A$2:$I1000,4,FALSE))</f>
        <v/>
      </c>
      <c r="U53" s="127"/>
      <c r="V53" s="127"/>
      <c r="W53" s="127" t="str">
        <f t="shared" si="3"/>
        <v/>
      </c>
      <c r="X53" s="127" t="str">
        <f t="shared" si="4"/>
        <v/>
      </c>
      <c r="Y53" s="127" t="str">
        <f t="shared" si="5"/>
        <v/>
      </c>
    </row>
    <row r="54">
      <c r="A54" s="127"/>
      <c r="B54" s="127" t="str">
        <f>IF(A54="","",VLOOKUP(A54,'BASE OS'!$A$2:$I1000,2,FALSE))</f>
        <v/>
      </c>
      <c r="C54" s="132"/>
      <c r="D54" s="127"/>
      <c r="E54" s="127"/>
      <c r="F54" s="127"/>
      <c r="G54" s="127"/>
      <c r="H54" s="130"/>
      <c r="I54" s="130"/>
      <c r="J54" s="130">
        <f t="shared" si="1"/>
        <v>0</v>
      </c>
      <c r="K54" s="130"/>
      <c r="L54" s="130"/>
      <c r="M54" s="130">
        <f t="shared" si="2"/>
        <v>0</v>
      </c>
      <c r="N54" s="130"/>
      <c r="O54" s="130"/>
      <c r="P54" s="127"/>
      <c r="Q54" s="127"/>
      <c r="R54" s="127"/>
      <c r="S54" s="127"/>
      <c r="T54" s="127" t="str">
        <f>IF(A54="","",VLOOKUP(A54,'BASE OS'!$A$2:$I1000,4,FALSE))</f>
        <v/>
      </c>
      <c r="U54" s="127"/>
      <c r="V54" s="127"/>
      <c r="W54" s="127" t="str">
        <f t="shared" si="3"/>
        <v/>
      </c>
      <c r="X54" s="127" t="str">
        <f t="shared" si="4"/>
        <v/>
      </c>
      <c r="Y54" s="127" t="str">
        <f t="shared" si="5"/>
        <v/>
      </c>
    </row>
    <row r="55">
      <c r="A55" s="127"/>
      <c r="B55" s="127" t="str">
        <f>IF(A55="","",VLOOKUP(A55,'BASE OS'!$A$2:$I1000,2,FALSE))</f>
        <v/>
      </c>
      <c r="C55" s="132"/>
      <c r="D55" s="127"/>
      <c r="E55" s="127"/>
      <c r="F55" s="127"/>
      <c r="G55" s="127"/>
      <c r="H55" s="130"/>
      <c r="I55" s="130"/>
      <c r="J55" s="130">
        <f t="shared" si="1"/>
        <v>0</v>
      </c>
      <c r="K55" s="130"/>
      <c r="L55" s="130"/>
      <c r="M55" s="130">
        <f t="shared" si="2"/>
        <v>0</v>
      </c>
      <c r="N55" s="130"/>
      <c r="O55" s="130"/>
      <c r="P55" s="127"/>
      <c r="Q55" s="127"/>
      <c r="R55" s="127"/>
      <c r="S55" s="127"/>
      <c r="T55" s="127" t="str">
        <f>IF(A55="","",VLOOKUP(A55,'BASE OS'!$A$2:$I1000,4,FALSE))</f>
        <v/>
      </c>
      <c r="U55" s="127"/>
      <c r="V55" s="127"/>
      <c r="W55" s="127" t="str">
        <f t="shared" si="3"/>
        <v/>
      </c>
      <c r="X55" s="127" t="str">
        <f t="shared" si="4"/>
        <v/>
      </c>
      <c r="Y55" s="127" t="str">
        <f t="shared" si="5"/>
        <v/>
      </c>
    </row>
    <row r="56">
      <c r="A56" s="127"/>
      <c r="B56" s="127" t="str">
        <f>IF(A56="","",VLOOKUP(A56,'BASE OS'!$A$2:$I1000,2,FALSE))</f>
        <v/>
      </c>
      <c r="C56" s="132"/>
      <c r="D56" s="127"/>
      <c r="E56" s="127"/>
      <c r="F56" s="127"/>
      <c r="G56" s="127"/>
      <c r="H56" s="130"/>
      <c r="I56" s="130"/>
      <c r="J56" s="130">
        <f t="shared" si="1"/>
        <v>0</v>
      </c>
      <c r="K56" s="130"/>
      <c r="L56" s="130"/>
      <c r="M56" s="130">
        <f t="shared" si="2"/>
        <v>0</v>
      </c>
      <c r="N56" s="130"/>
      <c r="O56" s="130"/>
      <c r="P56" s="127"/>
      <c r="Q56" s="127"/>
      <c r="R56" s="127"/>
      <c r="S56" s="127"/>
      <c r="T56" s="127" t="str">
        <f>IF(A56="","",VLOOKUP(A56,'BASE OS'!$A$2:$I1000,4,FALSE))</f>
        <v/>
      </c>
      <c r="U56" s="127"/>
      <c r="V56" s="127"/>
      <c r="W56" s="127" t="str">
        <f t="shared" si="3"/>
        <v/>
      </c>
      <c r="X56" s="127" t="str">
        <f t="shared" si="4"/>
        <v/>
      </c>
      <c r="Y56" s="127" t="str">
        <f t="shared" si="5"/>
        <v/>
      </c>
    </row>
    <row r="57">
      <c r="A57" s="127"/>
      <c r="B57" s="127" t="str">
        <f>IF(A57="","",VLOOKUP(A57,'BASE OS'!$A$2:$I1000,2,FALSE))</f>
        <v/>
      </c>
      <c r="C57" s="132"/>
      <c r="D57" s="127"/>
      <c r="E57" s="127"/>
      <c r="F57" s="127"/>
      <c r="G57" s="127"/>
      <c r="H57" s="130"/>
      <c r="I57" s="130"/>
      <c r="J57" s="130">
        <f t="shared" si="1"/>
        <v>0</v>
      </c>
      <c r="K57" s="130"/>
      <c r="L57" s="130"/>
      <c r="M57" s="130">
        <f t="shared" si="2"/>
        <v>0</v>
      </c>
      <c r="N57" s="130"/>
      <c r="O57" s="130"/>
      <c r="P57" s="127"/>
      <c r="Q57" s="127"/>
      <c r="R57" s="127"/>
      <c r="S57" s="127"/>
      <c r="T57" s="127" t="str">
        <f>IF(A57="","",VLOOKUP(A57,'BASE OS'!$A$2:$I1000,4,FALSE))</f>
        <v/>
      </c>
      <c r="U57" s="127"/>
      <c r="V57" s="127"/>
      <c r="W57" s="127" t="str">
        <f t="shared" si="3"/>
        <v/>
      </c>
      <c r="X57" s="127" t="str">
        <f t="shared" si="4"/>
        <v/>
      </c>
      <c r="Y57" s="127" t="str">
        <f t="shared" si="5"/>
        <v/>
      </c>
    </row>
    <row r="58">
      <c r="A58" s="127"/>
      <c r="B58" s="127" t="str">
        <f>IF(A58="","",VLOOKUP(A58,'BASE OS'!$A$2:$I1000,2,FALSE))</f>
        <v/>
      </c>
      <c r="C58" s="132"/>
      <c r="D58" s="127"/>
      <c r="E58" s="127"/>
      <c r="F58" s="127"/>
      <c r="G58" s="127"/>
      <c r="H58" s="130"/>
      <c r="I58" s="130"/>
      <c r="J58" s="130">
        <f t="shared" si="1"/>
        <v>0</v>
      </c>
      <c r="K58" s="130"/>
      <c r="L58" s="130"/>
      <c r="M58" s="130">
        <f t="shared" si="2"/>
        <v>0</v>
      </c>
      <c r="N58" s="130"/>
      <c r="O58" s="130"/>
      <c r="P58" s="127"/>
      <c r="Q58" s="127"/>
      <c r="R58" s="127"/>
      <c r="S58" s="127"/>
      <c r="T58" s="127" t="str">
        <f>IF(A58="","",VLOOKUP(A58,'BASE OS'!$A$2:$I1000,4,FALSE))</f>
        <v/>
      </c>
      <c r="U58" s="127"/>
      <c r="V58" s="127"/>
      <c r="W58" s="127" t="str">
        <f t="shared" si="3"/>
        <v/>
      </c>
      <c r="X58" s="127" t="str">
        <f t="shared" si="4"/>
        <v/>
      </c>
      <c r="Y58" s="127" t="str">
        <f t="shared" si="5"/>
        <v/>
      </c>
    </row>
    <row r="59">
      <c r="A59" s="127"/>
      <c r="B59" s="127" t="str">
        <f>IF(A59="","",VLOOKUP(A59,'BASE OS'!$A$2:$I1000,2,FALSE))</f>
        <v/>
      </c>
      <c r="C59" s="132"/>
      <c r="D59" s="127"/>
      <c r="E59" s="127"/>
      <c r="F59" s="127"/>
      <c r="G59" s="127"/>
      <c r="H59" s="130"/>
      <c r="I59" s="130"/>
      <c r="J59" s="130">
        <f t="shared" si="1"/>
        <v>0</v>
      </c>
      <c r="K59" s="130"/>
      <c r="L59" s="130"/>
      <c r="M59" s="130">
        <f t="shared" si="2"/>
        <v>0</v>
      </c>
      <c r="N59" s="130"/>
      <c r="O59" s="130"/>
      <c r="P59" s="127"/>
      <c r="Q59" s="127"/>
      <c r="R59" s="127"/>
      <c r="S59" s="127"/>
      <c r="T59" s="127" t="str">
        <f>IF(A59="","",VLOOKUP(A59,'BASE OS'!$A$2:$I1000,4,FALSE))</f>
        <v/>
      </c>
      <c r="U59" s="127"/>
      <c r="V59" s="127"/>
      <c r="W59" s="127" t="str">
        <f t="shared" si="3"/>
        <v/>
      </c>
      <c r="X59" s="127" t="str">
        <f t="shared" si="4"/>
        <v/>
      </c>
      <c r="Y59" s="127" t="str">
        <f t="shared" si="5"/>
        <v/>
      </c>
    </row>
    <row r="60">
      <c r="A60" s="127"/>
      <c r="B60" s="127" t="str">
        <f>IF(A60="","",VLOOKUP(A60,'BASE OS'!$A$2:$I1000,2,FALSE))</f>
        <v/>
      </c>
      <c r="C60" s="132"/>
      <c r="D60" s="127"/>
      <c r="E60" s="127"/>
      <c r="F60" s="127"/>
      <c r="G60" s="127"/>
      <c r="H60" s="130"/>
      <c r="I60" s="130"/>
      <c r="J60" s="130">
        <f t="shared" si="1"/>
        <v>0</v>
      </c>
      <c r="K60" s="130"/>
      <c r="L60" s="130"/>
      <c r="M60" s="130">
        <f t="shared" si="2"/>
        <v>0</v>
      </c>
      <c r="N60" s="130"/>
      <c r="O60" s="130"/>
      <c r="P60" s="127"/>
      <c r="Q60" s="127"/>
      <c r="R60" s="127"/>
      <c r="S60" s="127"/>
      <c r="T60" s="127" t="str">
        <f>IF(A60="","",VLOOKUP(A60,'BASE OS'!$A$2:$I1000,4,FALSE))</f>
        <v/>
      </c>
      <c r="U60" s="127"/>
      <c r="V60" s="127"/>
      <c r="W60" s="127" t="str">
        <f t="shared" si="3"/>
        <v/>
      </c>
      <c r="X60" s="127" t="str">
        <f t="shared" si="4"/>
        <v/>
      </c>
      <c r="Y60" s="127" t="str">
        <f t="shared" si="5"/>
        <v/>
      </c>
    </row>
    <row r="61">
      <c r="A61" s="127"/>
      <c r="B61" s="127" t="str">
        <f>IF(A61="","",VLOOKUP(A61,'BASE OS'!$A$2:$I1000,2,FALSE))</f>
        <v/>
      </c>
      <c r="C61" s="132"/>
      <c r="D61" s="127"/>
      <c r="E61" s="127"/>
      <c r="F61" s="127"/>
      <c r="G61" s="127"/>
      <c r="H61" s="130"/>
      <c r="I61" s="130"/>
      <c r="J61" s="130">
        <f t="shared" si="1"/>
        <v>0</v>
      </c>
      <c r="K61" s="130"/>
      <c r="L61" s="130"/>
      <c r="M61" s="130">
        <f t="shared" si="2"/>
        <v>0</v>
      </c>
      <c r="N61" s="130"/>
      <c r="O61" s="130"/>
      <c r="P61" s="127"/>
      <c r="Q61" s="127"/>
      <c r="R61" s="127"/>
      <c r="S61" s="127"/>
      <c r="T61" s="127" t="str">
        <f>IF(A61="","",VLOOKUP(A61,'BASE OS'!$A$2:$I1000,4,FALSE))</f>
        <v/>
      </c>
      <c r="U61" s="127"/>
      <c r="V61" s="127"/>
      <c r="W61" s="127" t="str">
        <f t="shared" si="3"/>
        <v/>
      </c>
      <c r="X61" s="127" t="str">
        <f t="shared" si="4"/>
        <v/>
      </c>
      <c r="Y61" s="127" t="str">
        <f t="shared" si="5"/>
        <v/>
      </c>
    </row>
    <row r="62">
      <c r="A62" s="127"/>
      <c r="B62" s="127" t="str">
        <f>IF(A62="","",VLOOKUP(A62,'BASE OS'!$A$2:$I1000,2,FALSE))</f>
        <v/>
      </c>
      <c r="C62" s="132"/>
      <c r="D62" s="127"/>
      <c r="E62" s="127"/>
      <c r="F62" s="127"/>
      <c r="G62" s="127"/>
      <c r="H62" s="130"/>
      <c r="I62" s="130"/>
      <c r="J62" s="130">
        <f t="shared" si="1"/>
        <v>0</v>
      </c>
      <c r="K62" s="130"/>
      <c r="L62" s="130"/>
      <c r="M62" s="130">
        <f t="shared" si="2"/>
        <v>0</v>
      </c>
      <c r="N62" s="130"/>
      <c r="O62" s="130"/>
      <c r="P62" s="127"/>
      <c r="Q62" s="127"/>
      <c r="R62" s="127"/>
      <c r="S62" s="127"/>
      <c r="T62" s="127" t="str">
        <f>IF(A62="","",VLOOKUP(A62,'BASE OS'!$A$2:$I1000,4,FALSE))</f>
        <v/>
      </c>
      <c r="U62" s="127"/>
      <c r="V62" s="127"/>
      <c r="W62" s="127" t="str">
        <f t="shared" si="3"/>
        <v/>
      </c>
      <c r="X62" s="127" t="str">
        <f t="shared" si="4"/>
        <v/>
      </c>
      <c r="Y62" s="127" t="str">
        <f t="shared" si="5"/>
        <v/>
      </c>
    </row>
    <row r="63">
      <c r="A63" s="127"/>
      <c r="B63" s="127" t="str">
        <f>IF(A63="","",VLOOKUP(A63,'BASE OS'!$A$2:$I1000,2,FALSE))</f>
        <v/>
      </c>
      <c r="C63" s="132"/>
      <c r="D63" s="127"/>
      <c r="E63" s="127"/>
      <c r="F63" s="127"/>
      <c r="G63" s="127"/>
      <c r="H63" s="130"/>
      <c r="I63" s="130"/>
      <c r="J63" s="130">
        <f t="shared" si="1"/>
        <v>0</v>
      </c>
      <c r="K63" s="130"/>
      <c r="L63" s="130"/>
      <c r="M63" s="130">
        <f t="shared" si="2"/>
        <v>0</v>
      </c>
      <c r="N63" s="130"/>
      <c r="O63" s="130"/>
      <c r="P63" s="127"/>
      <c r="Q63" s="127"/>
      <c r="R63" s="127"/>
      <c r="S63" s="127"/>
      <c r="T63" s="127" t="str">
        <f>IF(A63="","",VLOOKUP(A63,'BASE OS'!$A$2:$I1000,4,FALSE))</f>
        <v/>
      </c>
      <c r="U63" s="127"/>
      <c r="V63" s="127"/>
      <c r="W63" s="127" t="str">
        <f t="shared" si="3"/>
        <v/>
      </c>
      <c r="X63" s="127" t="str">
        <f t="shared" si="4"/>
        <v/>
      </c>
      <c r="Y63" s="127" t="str">
        <f t="shared" si="5"/>
        <v/>
      </c>
    </row>
    <row r="64">
      <c r="A64" s="127"/>
      <c r="B64" s="127" t="str">
        <f>IF(A64="","",VLOOKUP(A64,'BASE OS'!$A$2:$I1000,2,FALSE))</f>
        <v/>
      </c>
      <c r="C64" s="132"/>
      <c r="D64" s="127"/>
      <c r="E64" s="127"/>
      <c r="F64" s="127"/>
      <c r="G64" s="127"/>
      <c r="H64" s="130"/>
      <c r="I64" s="130"/>
      <c r="J64" s="130">
        <f t="shared" si="1"/>
        <v>0</v>
      </c>
      <c r="K64" s="130"/>
      <c r="L64" s="130"/>
      <c r="M64" s="130">
        <f t="shared" si="2"/>
        <v>0</v>
      </c>
      <c r="N64" s="130"/>
      <c r="O64" s="130"/>
      <c r="P64" s="127"/>
      <c r="Q64" s="127"/>
      <c r="R64" s="127"/>
      <c r="S64" s="127"/>
      <c r="T64" s="127" t="str">
        <f>IF(A64="","",VLOOKUP(A64,'BASE OS'!$A$2:$I1000,4,FALSE))</f>
        <v/>
      </c>
      <c r="U64" s="127"/>
      <c r="V64" s="127"/>
      <c r="W64" s="127" t="str">
        <f t="shared" si="3"/>
        <v/>
      </c>
      <c r="X64" s="127" t="str">
        <f t="shared" si="4"/>
        <v/>
      </c>
      <c r="Y64" s="127" t="str">
        <f t="shared" si="5"/>
        <v/>
      </c>
    </row>
    <row r="65">
      <c r="A65" s="127"/>
      <c r="B65" s="127" t="str">
        <f>IF(A65="","",VLOOKUP(A65,'BASE OS'!$A$2:$I1000,2,FALSE))</f>
        <v/>
      </c>
      <c r="C65" s="132"/>
      <c r="D65" s="127"/>
      <c r="E65" s="127"/>
      <c r="F65" s="127"/>
      <c r="G65" s="127"/>
      <c r="H65" s="130"/>
      <c r="I65" s="130"/>
      <c r="J65" s="130">
        <f t="shared" si="1"/>
        <v>0</v>
      </c>
      <c r="K65" s="130"/>
      <c r="L65" s="130"/>
      <c r="M65" s="130">
        <f t="shared" si="2"/>
        <v>0</v>
      </c>
      <c r="N65" s="130"/>
      <c r="O65" s="130"/>
      <c r="P65" s="127"/>
      <c r="Q65" s="127"/>
      <c r="R65" s="127"/>
      <c r="S65" s="127"/>
      <c r="T65" s="127" t="str">
        <f>IF(A65="","",VLOOKUP(A65,'BASE OS'!$A$2:$I1000,4,FALSE))</f>
        <v/>
      </c>
      <c r="U65" s="127"/>
      <c r="V65" s="127"/>
      <c r="W65" s="127" t="str">
        <f t="shared" si="3"/>
        <v/>
      </c>
      <c r="X65" s="127" t="str">
        <f t="shared" si="4"/>
        <v/>
      </c>
      <c r="Y65" s="127" t="str">
        <f t="shared" si="5"/>
        <v/>
      </c>
    </row>
    <row r="66">
      <c r="A66" s="127"/>
      <c r="B66" s="127" t="str">
        <f>IF(A66="","",VLOOKUP(A66,'BASE OS'!$A$2:$I1000,2,FALSE))</f>
        <v/>
      </c>
      <c r="C66" s="132"/>
      <c r="D66" s="127"/>
      <c r="E66" s="127"/>
      <c r="F66" s="127"/>
      <c r="G66" s="127"/>
      <c r="H66" s="130"/>
      <c r="I66" s="130"/>
      <c r="J66" s="130">
        <f t="shared" si="1"/>
        <v>0</v>
      </c>
      <c r="K66" s="130"/>
      <c r="L66" s="130"/>
      <c r="M66" s="130">
        <f t="shared" si="2"/>
        <v>0</v>
      </c>
      <c r="N66" s="130"/>
      <c r="O66" s="130"/>
      <c r="P66" s="127"/>
      <c r="Q66" s="127"/>
      <c r="R66" s="127"/>
      <c r="S66" s="127"/>
      <c r="T66" s="127" t="str">
        <f>IF(A66="","",VLOOKUP(A66,'BASE OS'!$A$2:$I1000,4,FALSE))</f>
        <v/>
      </c>
      <c r="U66" s="127"/>
      <c r="V66" s="127"/>
      <c r="W66" s="127" t="str">
        <f t="shared" si="3"/>
        <v/>
      </c>
      <c r="X66" s="127" t="str">
        <f t="shared" si="4"/>
        <v/>
      </c>
      <c r="Y66" s="127" t="str">
        <f t="shared" si="5"/>
        <v/>
      </c>
    </row>
    <row r="67">
      <c r="A67" s="127"/>
      <c r="B67" s="127" t="str">
        <f>IF(A67="","",VLOOKUP(A67,'BASE OS'!$A$2:$I1000,2,FALSE))</f>
        <v/>
      </c>
      <c r="C67" s="132"/>
      <c r="D67" s="127"/>
      <c r="E67" s="127"/>
      <c r="F67" s="127"/>
      <c r="G67" s="127"/>
      <c r="H67" s="130"/>
      <c r="I67" s="130"/>
      <c r="J67" s="130">
        <f t="shared" si="1"/>
        <v>0</v>
      </c>
      <c r="K67" s="130"/>
      <c r="L67" s="130"/>
      <c r="M67" s="130">
        <f t="shared" si="2"/>
        <v>0</v>
      </c>
      <c r="N67" s="130"/>
      <c r="O67" s="130"/>
      <c r="P67" s="127"/>
      <c r="Q67" s="127"/>
      <c r="R67" s="127"/>
      <c r="S67" s="127"/>
      <c r="T67" s="127" t="str">
        <f>IF(A67="","",VLOOKUP(A67,'BASE OS'!$A$2:$I1000,4,FALSE))</f>
        <v/>
      </c>
      <c r="U67" s="127"/>
      <c r="V67" s="127"/>
      <c r="W67" s="127" t="str">
        <f t="shared" si="3"/>
        <v/>
      </c>
      <c r="X67" s="127" t="str">
        <f t="shared" si="4"/>
        <v/>
      </c>
      <c r="Y67" s="127" t="str">
        <f t="shared" si="5"/>
        <v/>
      </c>
    </row>
    <row r="68">
      <c r="A68" s="127"/>
      <c r="B68" s="127" t="str">
        <f>IF(A68="","",VLOOKUP(A68,'BASE OS'!$A$2:$I1000,2,FALSE))</f>
        <v/>
      </c>
      <c r="C68" s="132"/>
      <c r="D68" s="127"/>
      <c r="E68" s="127"/>
      <c r="F68" s="127"/>
      <c r="G68" s="127"/>
      <c r="H68" s="130"/>
      <c r="I68" s="130"/>
      <c r="J68" s="130">
        <f t="shared" si="1"/>
        <v>0</v>
      </c>
      <c r="K68" s="130"/>
      <c r="L68" s="130"/>
      <c r="M68" s="130">
        <f t="shared" si="2"/>
        <v>0</v>
      </c>
      <c r="N68" s="130"/>
      <c r="O68" s="130"/>
      <c r="P68" s="127"/>
      <c r="Q68" s="127"/>
      <c r="R68" s="127"/>
      <c r="S68" s="127"/>
      <c r="T68" s="127" t="str">
        <f>IF(A68="","",VLOOKUP(A68,'BASE OS'!$A$2:$I1000,4,FALSE))</f>
        <v/>
      </c>
      <c r="U68" s="127"/>
      <c r="V68" s="127"/>
      <c r="W68" s="127" t="str">
        <f t="shared" si="3"/>
        <v/>
      </c>
      <c r="X68" s="127" t="str">
        <f t="shared" si="4"/>
        <v/>
      </c>
      <c r="Y68" s="127" t="str">
        <f t="shared" si="5"/>
        <v/>
      </c>
    </row>
    <row r="69">
      <c r="A69" s="127"/>
      <c r="B69" s="127" t="str">
        <f>IF(A69="","",VLOOKUP(A69,'BASE OS'!$A$2:$I1000,2,FALSE))</f>
        <v/>
      </c>
      <c r="C69" s="132"/>
      <c r="D69" s="127"/>
      <c r="E69" s="127"/>
      <c r="F69" s="127"/>
      <c r="G69" s="127"/>
      <c r="H69" s="130"/>
      <c r="I69" s="130"/>
      <c r="J69" s="130">
        <f t="shared" si="1"/>
        <v>0</v>
      </c>
      <c r="K69" s="130"/>
      <c r="L69" s="130"/>
      <c r="M69" s="130">
        <f t="shared" si="2"/>
        <v>0</v>
      </c>
      <c r="N69" s="130"/>
      <c r="O69" s="130"/>
      <c r="P69" s="127"/>
      <c r="Q69" s="127"/>
      <c r="R69" s="127"/>
      <c r="S69" s="127"/>
      <c r="T69" s="127" t="str">
        <f>IF(A69="","",VLOOKUP(A69,'BASE OS'!$A$2:$I1000,4,FALSE))</f>
        <v/>
      </c>
      <c r="U69" s="127"/>
      <c r="V69" s="127"/>
      <c r="W69" s="127" t="str">
        <f t="shared" si="3"/>
        <v/>
      </c>
      <c r="X69" s="127" t="str">
        <f t="shared" si="4"/>
        <v/>
      </c>
      <c r="Y69" s="127" t="str">
        <f t="shared" si="5"/>
        <v/>
      </c>
    </row>
    <row r="70">
      <c r="A70" s="127"/>
      <c r="B70" s="127" t="str">
        <f>IF(A70="","",VLOOKUP(A70,'BASE OS'!$A$2:$I1000,2,FALSE))</f>
        <v/>
      </c>
      <c r="C70" s="132"/>
      <c r="D70" s="127"/>
      <c r="E70" s="127"/>
      <c r="F70" s="127"/>
      <c r="G70" s="127"/>
      <c r="H70" s="130"/>
      <c r="I70" s="130"/>
      <c r="J70" s="130">
        <f t="shared" si="1"/>
        <v>0</v>
      </c>
      <c r="K70" s="130"/>
      <c r="L70" s="130"/>
      <c r="M70" s="130">
        <f t="shared" si="2"/>
        <v>0</v>
      </c>
      <c r="N70" s="130"/>
      <c r="O70" s="130"/>
      <c r="P70" s="127"/>
      <c r="Q70" s="127"/>
      <c r="R70" s="127"/>
      <c r="S70" s="127"/>
      <c r="T70" s="127" t="str">
        <f>IF(A70="","",VLOOKUP(A70,'BASE OS'!$A$2:$I1000,4,FALSE))</f>
        <v/>
      </c>
      <c r="U70" s="127"/>
      <c r="V70" s="127"/>
      <c r="W70" s="127" t="str">
        <f t="shared" si="3"/>
        <v/>
      </c>
      <c r="X70" s="127" t="str">
        <f t="shared" si="4"/>
        <v/>
      </c>
      <c r="Y70" s="127" t="str">
        <f t="shared" si="5"/>
        <v/>
      </c>
    </row>
    <row r="71">
      <c r="A71" s="127"/>
      <c r="B71" s="127" t="str">
        <f>IF(A71="","",VLOOKUP(A71,'BASE OS'!$A$2:$I1000,2,FALSE))</f>
        <v/>
      </c>
      <c r="C71" s="132"/>
      <c r="D71" s="127"/>
      <c r="E71" s="127"/>
      <c r="F71" s="127"/>
      <c r="G71" s="127"/>
      <c r="H71" s="130"/>
      <c r="I71" s="130"/>
      <c r="J71" s="130">
        <f t="shared" si="1"/>
        <v>0</v>
      </c>
      <c r="K71" s="130"/>
      <c r="L71" s="130"/>
      <c r="M71" s="130">
        <f t="shared" si="2"/>
        <v>0</v>
      </c>
      <c r="N71" s="130"/>
      <c r="O71" s="130"/>
      <c r="P71" s="127"/>
      <c r="Q71" s="127"/>
      <c r="R71" s="127"/>
      <c r="S71" s="127"/>
      <c r="T71" s="127" t="str">
        <f>IF(A71="","",VLOOKUP(A71,'BASE OS'!$A$2:$I1000,4,FALSE))</f>
        <v/>
      </c>
      <c r="U71" s="127"/>
      <c r="V71" s="127"/>
      <c r="W71" s="127" t="str">
        <f t="shared" si="3"/>
        <v/>
      </c>
      <c r="X71" s="127" t="str">
        <f t="shared" si="4"/>
        <v/>
      </c>
      <c r="Y71" s="127" t="str">
        <f t="shared" si="5"/>
        <v/>
      </c>
    </row>
    <row r="72">
      <c r="A72" s="127"/>
      <c r="B72" s="127" t="str">
        <f>IF(A72="","",VLOOKUP(A72,'BASE OS'!$A$2:$I1000,2,FALSE))</f>
        <v/>
      </c>
      <c r="C72" s="132"/>
      <c r="D72" s="127"/>
      <c r="E72" s="127"/>
      <c r="F72" s="127"/>
      <c r="G72" s="127"/>
      <c r="H72" s="130"/>
      <c r="I72" s="130"/>
      <c r="J72" s="130">
        <f t="shared" si="1"/>
        <v>0</v>
      </c>
      <c r="K72" s="130"/>
      <c r="L72" s="130"/>
      <c r="M72" s="130">
        <f t="shared" si="2"/>
        <v>0</v>
      </c>
      <c r="N72" s="130"/>
      <c r="O72" s="130"/>
      <c r="P72" s="127"/>
      <c r="Q72" s="127"/>
      <c r="R72" s="127"/>
      <c r="S72" s="127"/>
      <c r="T72" s="127" t="str">
        <f>IF(A72="","",VLOOKUP(A72,'BASE OS'!$A$2:$I1000,4,FALSE))</f>
        <v/>
      </c>
      <c r="U72" s="127"/>
      <c r="V72" s="127"/>
      <c r="W72" s="127" t="str">
        <f t="shared" si="3"/>
        <v/>
      </c>
      <c r="X72" s="127" t="str">
        <f t="shared" si="4"/>
        <v/>
      </c>
      <c r="Y72" s="127" t="str">
        <f t="shared" si="5"/>
        <v/>
      </c>
    </row>
    <row r="73">
      <c r="A73" s="127"/>
      <c r="B73" s="127" t="str">
        <f>IF(A73="","",VLOOKUP(A73,'BASE OS'!$A$2:$I1000,2,FALSE))</f>
        <v/>
      </c>
      <c r="C73" s="132"/>
      <c r="D73" s="127"/>
      <c r="E73" s="127"/>
      <c r="F73" s="127"/>
      <c r="G73" s="127"/>
      <c r="H73" s="130"/>
      <c r="I73" s="130"/>
      <c r="J73" s="130">
        <f t="shared" si="1"/>
        <v>0</v>
      </c>
      <c r="K73" s="130"/>
      <c r="L73" s="130"/>
      <c r="M73" s="130">
        <f t="shared" si="2"/>
        <v>0</v>
      </c>
      <c r="N73" s="130"/>
      <c r="O73" s="130"/>
      <c r="P73" s="127"/>
      <c r="Q73" s="127"/>
      <c r="R73" s="127"/>
      <c r="S73" s="127"/>
      <c r="T73" s="127" t="str">
        <f>IF(A73="","",VLOOKUP(A73,'BASE OS'!$A$2:$I1000,4,FALSE))</f>
        <v/>
      </c>
      <c r="U73" s="127"/>
      <c r="V73" s="127"/>
      <c r="W73" s="127" t="str">
        <f t="shared" si="3"/>
        <v/>
      </c>
      <c r="X73" s="127" t="str">
        <f t="shared" si="4"/>
        <v/>
      </c>
      <c r="Y73" s="127" t="str">
        <f t="shared" si="5"/>
        <v/>
      </c>
    </row>
    <row r="74">
      <c r="A74" s="127"/>
      <c r="B74" s="127" t="str">
        <f>IF(A74="","",VLOOKUP(A74,'BASE OS'!$A$2:$I1000,2,FALSE))</f>
        <v/>
      </c>
      <c r="C74" s="132"/>
      <c r="D74" s="127"/>
      <c r="E74" s="127"/>
      <c r="F74" s="127"/>
      <c r="G74" s="127"/>
      <c r="H74" s="130"/>
      <c r="I74" s="130"/>
      <c r="J74" s="130">
        <f t="shared" si="1"/>
        <v>0</v>
      </c>
      <c r="K74" s="130"/>
      <c r="L74" s="130"/>
      <c r="M74" s="130">
        <f t="shared" si="2"/>
        <v>0</v>
      </c>
      <c r="N74" s="130"/>
      <c r="O74" s="130"/>
      <c r="P74" s="127"/>
      <c r="Q74" s="127"/>
      <c r="R74" s="127"/>
      <c r="S74" s="127"/>
      <c r="T74" s="127" t="str">
        <f>IF(A74="","",VLOOKUP(A74,'BASE OS'!$A$2:$I1000,4,FALSE))</f>
        <v/>
      </c>
      <c r="U74" s="127"/>
      <c r="V74" s="127"/>
      <c r="W74" s="127" t="str">
        <f t="shared" si="3"/>
        <v/>
      </c>
      <c r="X74" s="127" t="str">
        <f t="shared" si="4"/>
        <v/>
      </c>
      <c r="Y74" s="127" t="str">
        <f t="shared" si="5"/>
        <v/>
      </c>
    </row>
    <row r="75">
      <c r="A75" s="127"/>
      <c r="B75" s="127" t="str">
        <f>IF(A75="","",VLOOKUP(A75,'BASE OS'!$A$2:$I1000,2,FALSE))</f>
        <v/>
      </c>
      <c r="C75" s="132"/>
      <c r="D75" s="127"/>
      <c r="E75" s="127"/>
      <c r="F75" s="127"/>
      <c r="G75" s="127"/>
      <c r="H75" s="130"/>
      <c r="I75" s="130"/>
      <c r="J75" s="130">
        <f t="shared" si="1"/>
        <v>0</v>
      </c>
      <c r="K75" s="130"/>
      <c r="L75" s="130"/>
      <c r="M75" s="130">
        <f t="shared" si="2"/>
        <v>0</v>
      </c>
      <c r="N75" s="130"/>
      <c r="O75" s="130"/>
      <c r="P75" s="127"/>
      <c r="Q75" s="127"/>
      <c r="R75" s="127"/>
      <c r="S75" s="127"/>
      <c r="T75" s="127" t="str">
        <f>IF(A75="","",VLOOKUP(A75,'BASE OS'!$A$2:$I1000,4,FALSE))</f>
        <v/>
      </c>
      <c r="U75" s="127"/>
      <c r="V75" s="127"/>
      <c r="W75" s="127" t="str">
        <f t="shared" si="3"/>
        <v/>
      </c>
      <c r="X75" s="127" t="str">
        <f t="shared" si="4"/>
        <v/>
      </c>
      <c r="Y75" s="127" t="str">
        <f t="shared" si="5"/>
        <v/>
      </c>
    </row>
    <row r="76">
      <c r="A76" s="127"/>
      <c r="B76" s="127" t="str">
        <f>IF(A76="","",VLOOKUP(A76,'BASE OS'!$A$2:$I1000,2,FALSE))</f>
        <v/>
      </c>
      <c r="C76" s="132"/>
      <c r="D76" s="127"/>
      <c r="E76" s="127"/>
      <c r="F76" s="127"/>
      <c r="G76" s="127"/>
      <c r="H76" s="130"/>
      <c r="I76" s="130"/>
      <c r="J76" s="130">
        <f t="shared" si="1"/>
        <v>0</v>
      </c>
      <c r="K76" s="130"/>
      <c r="L76" s="130"/>
      <c r="M76" s="130">
        <f t="shared" si="2"/>
        <v>0</v>
      </c>
      <c r="N76" s="130"/>
      <c r="O76" s="130"/>
      <c r="P76" s="127"/>
      <c r="Q76" s="127"/>
      <c r="R76" s="127"/>
      <c r="S76" s="127"/>
      <c r="T76" s="127" t="str">
        <f>IF(A76="","",VLOOKUP(A76,'BASE OS'!$A$2:$I1000,4,FALSE))</f>
        <v/>
      </c>
      <c r="U76" s="127"/>
      <c r="V76" s="127"/>
      <c r="W76" s="127" t="str">
        <f t="shared" si="3"/>
        <v/>
      </c>
      <c r="X76" s="127" t="str">
        <f t="shared" si="4"/>
        <v/>
      </c>
      <c r="Y76" s="127" t="str">
        <f t="shared" si="5"/>
        <v/>
      </c>
    </row>
    <row r="77">
      <c r="A77" s="127"/>
      <c r="B77" s="127" t="str">
        <f>IF(A77="","",VLOOKUP(A77,'BASE OS'!$A$2:$I1000,2,FALSE))</f>
        <v/>
      </c>
      <c r="C77" s="132"/>
      <c r="D77" s="127"/>
      <c r="E77" s="127"/>
      <c r="F77" s="127"/>
      <c r="G77" s="127"/>
      <c r="H77" s="130"/>
      <c r="I77" s="130"/>
      <c r="J77" s="130">
        <f t="shared" si="1"/>
        <v>0</v>
      </c>
      <c r="K77" s="130"/>
      <c r="L77" s="130"/>
      <c r="M77" s="130">
        <f t="shared" si="2"/>
        <v>0</v>
      </c>
      <c r="N77" s="130"/>
      <c r="O77" s="130"/>
      <c r="P77" s="127"/>
      <c r="Q77" s="127"/>
      <c r="R77" s="127"/>
      <c r="S77" s="127"/>
      <c r="T77" s="127" t="str">
        <f>IF(A77="","",VLOOKUP(A77,'BASE OS'!$A$2:$I1000,4,FALSE))</f>
        <v/>
      </c>
      <c r="U77" s="127"/>
      <c r="V77" s="127"/>
      <c r="W77" s="127" t="str">
        <f t="shared" si="3"/>
        <v/>
      </c>
      <c r="X77" s="127" t="str">
        <f t="shared" si="4"/>
        <v/>
      </c>
      <c r="Y77" s="127" t="str">
        <f t="shared" si="5"/>
        <v/>
      </c>
    </row>
    <row r="78">
      <c r="A78" s="127"/>
      <c r="B78" s="127" t="str">
        <f>IF(A78="","",VLOOKUP(A78,'BASE OS'!$A$2:$I1000,2,FALSE))</f>
        <v/>
      </c>
      <c r="C78" s="132"/>
      <c r="D78" s="127"/>
      <c r="E78" s="127"/>
      <c r="F78" s="127"/>
      <c r="G78" s="127"/>
      <c r="H78" s="130"/>
      <c r="I78" s="130"/>
      <c r="J78" s="130">
        <f t="shared" si="1"/>
        <v>0</v>
      </c>
      <c r="K78" s="130"/>
      <c r="L78" s="130"/>
      <c r="M78" s="130">
        <f t="shared" si="2"/>
        <v>0</v>
      </c>
      <c r="N78" s="130"/>
      <c r="O78" s="130"/>
      <c r="P78" s="127"/>
      <c r="Q78" s="127"/>
      <c r="R78" s="127"/>
      <c r="S78" s="127"/>
      <c r="T78" s="127" t="str">
        <f>IF(A78="","",VLOOKUP(A78,'BASE OS'!$A$2:$I1000,4,FALSE))</f>
        <v/>
      </c>
      <c r="U78" s="127"/>
      <c r="V78" s="127"/>
      <c r="W78" s="127" t="str">
        <f t="shared" si="3"/>
        <v/>
      </c>
      <c r="X78" s="127" t="str">
        <f t="shared" si="4"/>
        <v/>
      </c>
      <c r="Y78" s="127" t="str">
        <f t="shared" si="5"/>
        <v/>
      </c>
    </row>
    <row r="79">
      <c r="A79" s="127"/>
      <c r="B79" s="127" t="str">
        <f>IF(A79="","",VLOOKUP(A79,'BASE OS'!$A$2:$I1000,2,FALSE))</f>
        <v/>
      </c>
      <c r="C79" s="132"/>
      <c r="D79" s="127"/>
      <c r="E79" s="127"/>
      <c r="F79" s="127"/>
      <c r="G79" s="127"/>
      <c r="H79" s="130"/>
      <c r="I79" s="130"/>
      <c r="J79" s="130">
        <f t="shared" si="1"/>
        <v>0</v>
      </c>
      <c r="K79" s="130"/>
      <c r="L79" s="130"/>
      <c r="M79" s="130">
        <f t="shared" si="2"/>
        <v>0</v>
      </c>
      <c r="N79" s="130"/>
      <c r="O79" s="130"/>
      <c r="P79" s="127"/>
      <c r="Q79" s="127"/>
      <c r="R79" s="127"/>
      <c r="S79" s="127"/>
      <c r="T79" s="127" t="str">
        <f>IF(A79="","",VLOOKUP(A79,'BASE OS'!$A$2:$I1000,4,FALSE))</f>
        <v/>
      </c>
      <c r="U79" s="127"/>
      <c r="V79" s="127"/>
      <c r="W79" s="127" t="str">
        <f t="shared" si="3"/>
        <v/>
      </c>
      <c r="X79" s="127" t="str">
        <f t="shared" si="4"/>
        <v/>
      </c>
      <c r="Y79" s="127" t="str">
        <f t="shared" si="5"/>
        <v/>
      </c>
    </row>
    <row r="80">
      <c r="A80" s="127"/>
      <c r="B80" s="127" t="str">
        <f>IF(A80="","",VLOOKUP(A80,'BASE OS'!$A$2:$I1000,2,FALSE))</f>
        <v/>
      </c>
      <c r="C80" s="132"/>
      <c r="D80" s="127"/>
      <c r="E80" s="127"/>
      <c r="F80" s="127"/>
      <c r="G80" s="127"/>
      <c r="H80" s="130"/>
      <c r="I80" s="130"/>
      <c r="J80" s="130">
        <f t="shared" si="1"/>
        <v>0</v>
      </c>
      <c r="K80" s="130"/>
      <c r="L80" s="130"/>
      <c r="M80" s="130">
        <f t="shared" si="2"/>
        <v>0</v>
      </c>
      <c r="N80" s="130"/>
      <c r="O80" s="130"/>
      <c r="P80" s="127"/>
      <c r="Q80" s="127"/>
      <c r="R80" s="127"/>
      <c r="S80" s="127"/>
      <c r="T80" s="127" t="str">
        <f>IF(A80="","",VLOOKUP(A80,'BASE OS'!$A$2:$I1000,4,FALSE))</f>
        <v/>
      </c>
      <c r="U80" s="127"/>
      <c r="V80" s="127"/>
      <c r="W80" s="127" t="str">
        <f t="shared" si="3"/>
        <v/>
      </c>
      <c r="X80" s="127" t="str">
        <f t="shared" si="4"/>
        <v/>
      </c>
      <c r="Y80" s="127" t="str">
        <f t="shared" si="5"/>
        <v/>
      </c>
    </row>
    <row r="81">
      <c r="A81" s="127"/>
      <c r="B81" s="127" t="str">
        <f>IF(A81="","",VLOOKUP(A81,'BASE OS'!$A$2:$I1000,2,FALSE))</f>
        <v/>
      </c>
      <c r="C81" s="132"/>
      <c r="D81" s="127"/>
      <c r="E81" s="127"/>
      <c r="F81" s="127"/>
      <c r="G81" s="127"/>
      <c r="H81" s="130"/>
      <c r="I81" s="130"/>
      <c r="J81" s="130">
        <f t="shared" si="1"/>
        <v>0</v>
      </c>
      <c r="K81" s="130"/>
      <c r="L81" s="130"/>
      <c r="M81" s="130">
        <f t="shared" si="2"/>
        <v>0</v>
      </c>
      <c r="N81" s="130"/>
      <c r="O81" s="130"/>
      <c r="P81" s="127"/>
      <c r="Q81" s="127"/>
      <c r="R81" s="127"/>
      <c r="S81" s="127"/>
      <c r="T81" s="127" t="str">
        <f>IF(A81="","",VLOOKUP(A81,'BASE OS'!$A$2:$I1000,4,FALSE))</f>
        <v/>
      </c>
      <c r="U81" s="127"/>
      <c r="V81" s="127"/>
      <c r="W81" s="127" t="str">
        <f t="shared" si="3"/>
        <v/>
      </c>
      <c r="X81" s="127" t="str">
        <f t="shared" si="4"/>
        <v/>
      </c>
      <c r="Y81" s="127" t="str">
        <f t="shared" si="5"/>
        <v/>
      </c>
    </row>
    <row r="82">
      <c r="A82" s="127"/>
      <c r="B82" s="127" t="str">
        <f>IF(A82="","",VLOOKUP(A82,'BASE OS'!$A$2:$I1000,2,FALSE))</f>
        <v/>
      </c>
      <c r="C82" s="132"/>
      <c r="D82" s="127"/>
      <c r="E82" s="127"/>
      <c r="F82" s="127"/>
      <c r="G82" s="127"/>
      <c r="H82" s="130"/>
      <c r="I82" s="130"/>
      <c r="J82" s="130">
        <f t="shared" si="1"/>
        <v>0</v>
      </c>
      <c r="K82" s="130"/>
      <c r="L82" s="130"/>
      <c r="M82" s="130">
        <f t="shared" si="2"/>
        <v>0</v>
      </c>
      <c r="N82" s="130"/>
      <c r="O82" s="130"/>
      <c r="P82" s="127"/>
      <c r="Q82" s="127"/>
      <c r="R82" s="127"/>
      <c r="S82" s="127"/>
      <c r="T82" s="127" t="str">
        <f>IF(A82="","",VLOOKUP(A82,'BASE OS'!$A$2:$I1000,4,FALSE))</f>
        <v/>
      </c>
      <c r="U82" s="127"/>
      <c r="V82" s="127"/>
      <c r="W82" s="127" t="str">
        <f t="shared" si="3"/>
        <v/>
      </c>
      <c r="X82" s="127" t="str">
        <f t="shared" si="4"/>
        <v/>
      </c>
      <c r="Y82" s="127" t="str">
        <f t="shared" si="5"/>
        <v/>
      </c>
    </row>
    <row r="83">
      <c r="A83" s="127"/>
      <c r="B83" s="127" t="str">
        <f>IF(A83="","",VLOOKUP(A83,'BASE OS'!$A$2:$I1000,2,FALSE))</f>
        <v/>
      </c>
      <c r="C83" s="132"/>
      <c r="D83" s="127"/>
      <c r="E83" s="127"/>
      <c r="F83" s="127"/>
      <c r="G83" s="127"/>
      <c r="H83" s="130"/>
      <c r="I83" s="130"/>
      <c r="J83" s="130">
        <f t="shared" si="1"/>
        <v>0</v>
      </c>
      <c r="K83" s="130"/>
      <c r="L83" s="130"/>
      <c r="M83" s="130">
        <f t="shared" si="2"/>
        <v>0</v>
      </c>
      <c r="N83" s="130"/>
      <c r="O83" s="130"/>
      <c r="P83" s="127"/>
      <c r="Q83" s="127"/>
      <c r="R83" s="127"/>
      <c r="S83" s="127"/>
      <c r="T83" s="127" t="str">
        <f>IF(A83="","",VLOOKUP(A83,'BASE OS'!$A$2:$I1000,4,FALSE))</f>
        <v/>
      </c>
      <c r="U83" s="127"/>
      <c r="V83" s="127"/>
      <c r="W83" s="127" t="str">
        <f t="shared" si="3"/>
        <v/>
      </c>
      <c r="X83" s="127" t="str">
        <f t="shared" si="4"/>
        <v/>
      </c>
      <c r="Y83" s="127" t="str">
        <f t="shared" si="5"/>
        <v/>
      </c>
    </row>
    <row r="84">
      <c r="A84" s="127"/>
      <c r="B84" s="127" t="str">
        <f>IF(A84="","",VLOOKUP(A84,'BASE OS'!$A$2:$I1000,2,FALSE))</f>
        <v/>
      </c>
      <c r="C84" s="132"/>
      <c r="D84" s="127"/>
      <c r="E84" s="127"/>
      <c r="F84" s="127"/>
      <c r="G84" s="127"/>
      <c r="H84" s="130"/>
      <c r="I84" s="130"/>
      <c r="J84" s="130">
        <f t="shared" si="1"/>
        <v>0</v>
      </c>
      <c r="K84" s="130"/>
      <c r="L84" s="130"/>
      <c r="M84" s="130">
        <f t="shared" si="2"/>
        <v>0</v>
      </c>
      <c r="N84" s="130"/>
      <c r="O84" s="130"/>
      <c r="P84" s="127"/>
      <c r="Q84" s="127"/>
      <c r="R84" s="127"/>
      <c r="S84" s="127"/>
      <c r="T84" s="127" t="str">
        <f>IF(A84="","",VLOOKUP(A84,'BASE OS'!$A$2:$I1000,4,FALSE))</f>
        <v/>
      </c>
      <c r="U84" s="127"/>
      <c r="V84" s="127"/>
      <c r="W84" s="127" t="str">
        <f t="shared" si="3"/>
        <v/>
      </c>
      <c r="X84" s="127" t="str">
        <f t="shared" si="4"/>
        <v/>
      </c>
      <c r="Y84" s="127" t="str">
        <f t="shared" si="5"/>
        <v/>
      </c>
    </row>
    <row r="85">
      <c r="A85" s="127"/>
      <c r="B85" s="127" t="str">
        <f>IF(A85="","",VLOOKUP(A85,'BASE OS'!$A$2:$I1000,2,FALSE))</f>
        <v/>
      </c>
      <c r="C85" s="132"/>
      <c r="D85" s="127"/>
      <c r="E85" s="127"/>
      <c r="F85" s="127"/>
      <c r="G85" s="127"/>
      <c r="H85" s="130"/>
      <c r="I85" s="130"/>
      <c r="J85" s="130">
        <f t="shared" si="1"/>
        <v>0</v>
      </c>
      <c r="K85" s="130"/>
      <c r="L85" s="130"/>
      <c r="M85" s="130">
        <f t="shared" si="2"/>
        <v>0</v>
      </c>
      <c r="N85" s="130"/>
      <c r="O85" s="130"/>
      <c r="P85" s="127"/>
      <c r="Q85" s="127"/>
      <c r="R85" s="127"/>
      <c r="S85" s="127"/>
      <c r="T85" s="127" t="str">
        <f>IF(A85="","",VLOOKUP(A85,'BASE OS'!$A$2:$I1000,4,FALSE))</f>
        <v/>
      </c>
      <c r="U85" s="127"/>
      <c r="V85" s="127"/>
      <c r="W85" s="127" t="str">
        <f t="shared" si="3"/>
        <v/>
      </c>
      <c r="X85" s="127" t="str">
        <f t="shared" si="4"/>
        <v/>
      </c>
      <c r="Y85" s="127" t="str">
        <f t="shared" si="5"/>
        <v/>
      </c>
    </row>
    <row r="86">
      <c r="A86" s="127"/>
      <c r="B86" s="127" t="str">
        <f>IF(A86="","",VLOOKUP(A86,'BASE OS'!$A$2:$I1000,2,FALSE))</f>
        <v/>
      </c>
      <c r="C86" s="132"/>
      <c r="D86" s="127"/>
      <c r="E86" s="127"/>
      <c r="F86" s="127"/>
      <c r="G86" s="127"/>
      <c r="H86" s="130"/>
      <c r="I86" s="130"/>
      <c r="J86" s="130">
        <f t="shared" si="1"/>
        <v>0</v>
      </c>
      <c r="K86" s="130"/>
      <c r="L86" s="130"/>
      <c r="M86" s="130">
        <f t="shared" si="2"/>
        <v>0</v>
      </c>
      <c r="N86" s="130"/>
      <c r="O86" s="130"/>
      <c r="P86" s="127"/>
      <c r="Q86" s="127"/>
      <c r="R86" s="127"/>
      <c r="S86" s="127"/>
      <c r="T86" s="127" t="str">
        <f>IF(A86="","",VLOOKUP(A86,'BASE OS'!$A$2:$I1000,4,FALSE))</f>
        <v/>
      </c>
      <c r="U86" s="127"/>
      <c r="V86" s="127"/>
      <c r="W86" s="127" t="str">
        <f t="shared" si="3"/>
        <v/>
      </c>
      <c r="X86" s="127" t="str">
        <f t="shared" si="4"/>
        <v/>
      </c>
      <c r="Y86" s="127" t="str">
        <f t="shared" si="5"/>
        <v/>
      </c>
    </row>
    <row r="87">
      <c r="A87" s="127"/>
      <c r="B87" s="127" t="str">
        <f>IF(A87="","",VLOOKUP(A87,'BASE OS'!$A$2:$I1000,2,FALSE))</f>
        <v/>
      </c>
      <c r="C87" s="132"/>
      <c r="D87" s="127"/>
      <c r="E87" s="127"/>
      <c r="F87" s="127"/>
      <c r="G87" s="127"/>
      <c r="H87" s="130"/>
      <c r="I87" s="130"/>
      <c r="J87" s="130">
        <f t="shared" si="1"/>
        <v>0</v>
      </c>
      <c r="K87" s="130"/>
      <c r="L87" s="130"/>
      <c r="M87" s="130">
        <f t="shared" si="2"/>
        <v>0</v>
      </c>
      <c r="N87" s="130"/>
      <c r="O87" s="130"/>
      <c r="P87" s="127"/>
      <c r="Q87" s="127"/>
      <c r="R87" s="127"/>
      <c r="S87" s="127"/>
      <c r="T87" s="127" t="str">
        <f>IF(A87="","",VLOOKUP(A87,'BASE OS'!$A$2:$I1000,4,FALSE))</f>
        <v/>
      </c>
      <c r="U87" s="127"/>
      <c r="V87" s="127"/>
      <c r="W87" s="127" t="str">
        <f t="shared" si="3"/>
        <v/>
      </c>
      <c r="X87" s="127" t="str">
        <f t="shared" si="4"/>
        <v/>
      </c>
      <c r="Y87" s="127" t="str">
        <f t="shared" si="5"/>
        <v/>
      </c>
    </row>
    <row r="88">
      <c r="A88" s="127"/>
      <c r="B88" s="127" t="str">
        <f>IF(A88="","",VLOOKUP(A88,'BASE OS'!$A$2:$I1000,2,FALSE))</f>
        <v/>
      </c>
      <c r="C88" s="132"/>
      <c r="D88" s="127"/>
      <c r="E88" s="127"/>
      <c r="F88" s="127"/>
      <c r="G88" s="127"/>
      <c r="H88" s="130"/>
      <c r="I88" s="130"/>
      <c r="J88" s="130">
        <f t="shared" si="1"/>
        <v>0</v>
      </c>
      <c r="K88" s="130"/>
      <c r="L88" s="130"/>
      <c r="M88" s="130">
        <f t="shared" si="2"/>
        <v>0</v>
      </c>
      <c r="N88" s="130"/>
      <c r="O88" s="130"/>
      <c r="P88" s="127"/>
      <c r="Q88" s="127"/>
      <c r="R88" s="127"/>
      <c r="S88" s="127"/>
      <c r="T88" s="127" t="str">
        <f>IF(A88="","",VLOOKUP(A88,'BASE OS'!$A$2:$I1000,4,FALSE))</f>
        <v/>
      </c>
      <c r="U88" s="127"/>
      <c r="V88" s="127"/>
      <c r="W88" s="127" t="str">
        <f t="shared" si="3"/>
        <v/>
      </c>
      <c r="X88" s="127" t="str">
        <f t="shared" si="4"/>
        <v/>
      </c>
      <c r="Y88" s="127" t="str">
        <f t="shared" si="5"/>
        <v/>
      </c>
    </row>
    <row r="89">
      <c r="A89" s="127"/>
      <c r="B89" s="127" t="str">
        <f>IF(A89="","",VLOOKUP(A89,'BASE OS'!$A$2:$I1000,2,FALSE))</f>
        <v/>
      </c>
      <c r="C89" s="132"/>
      <c r="D89" s="127"/>
      <c r="E89" s="127"/>
      <c r="F89" s="127"/>
      <c r="G89" s="127"/>
      <c r="H89" s="130"/>
      <c r="I89" s="130"/>
      <c r="J89" s="130">
        <f t="shared" si="1"/>
        <v>0</v>
      </c>
      <c r="K89" s="130"/>
      <c r="L89" s="130"/>
      <c r="M89" s="130">
        <f t="shared" si="2"/>
        <v>0</v>
      </c>
      <c r="N89" s="130"/>
      <c r="O89" s="130"/>
      <c r="P89" s="127"/>
      <c r="Q89" s="127"/>
      <c r="R89" s="127"/>
      <c r="S89" s="127"/>
      <c r="T89" s="127" t="str">
        <f>IF(A89="","",VLOOKUP(A89,'BASE OS'!$A$2:$I1000,4,FALSE))</f>
        <v/>
      </c>
      <c r="U89" s="127"/>
      <c r="V89" s="127"/>
      <c r="W89" s="127" t="str">
        <f t="shared" si="3"/>
        <v/>
      </c>
      <c r="X89" s="127" t="str">
        <f t="shared" si="4"/>
        <v/>
      </c>
      <c r="Y89" s="127" t="str">
        <f t="shared" si="5"/>
        <v/>
      </c>
    </row>
    <row r="90">
      <c r="A90" s="127"/>
      <c r="B90" s="127" t="str">
        <f>IF(A90="","",VLOOKUP(A90,'BASE OS'!$A$2:$I1000,2,FALSE))</f>
        <v/>
      </c>
      <c r="C90" s="132"/>
      <c r="D90" s="127"/>
      <c r="E90" s="127"/>
      <c r="F90" s="127"/>
      <c r="G90" s="127"/>
      <c r="H90" s="130"/>
      <c r="I90" s="130"/>
      <c r="J90" s="130">
        <f t="shared" si="1"/>
        <v>0</v>
      </c>
      <c r="K90" s="130"/>
      <c r="L90" s="130"/>
      <c r="M90" s="130">
        <f t="shared" si="2"/>
        <v>0</v>
      </c>
      <c r="N90" s="130"/>
      <c r="O90" s="130"/>
      <c r="P90" s="127"/>
      <c r="Q90" s="127"/>
      <c r="R90" s="127"/>
      <c r="S90" s="127"/>
      <c r="T90" s="127" t="str">
        <f>IF(A90="","",VLOOKUP(A90,'BASE OS'!$A$2:$I1000,4,FALSE))</f>
        <v/>
      </c>
      <c r="U90" s="127"/>
      <c r="V90" s="127"/>
      <c r="W90" s="127" t="str">
        <f t="shared" si="3"/>
        <v/>
      </c>
      <c r="X90" s="127" t="str">
        <f t="shared" si="4"/>
        <v/>
      </c>
      <c r="Y90" s="127" t="str">
        <f t="shared" si="5"/>
        <v/>
      </c>
    </row>
    <row r="91">
      <c r="A91" s="127"/>
      <c r="B91" s="127" t="str">
        <f>IF(A91="","",VLOOKUP(A91,'BASE OS'!$A$2:$I1000,2,FALSE))</f>
        <v/>
      </c>
      <c r="C91" s="132"/>
      <c r="D91" s="127"/>
      <c r="E91" s="127"/>
      <c r="F91" s="127"/>
      <c r="G91" s="127"/>
      <c r="H91" s="130"/>
      <c r="I91" s="130"/>
      <c r="J91" s="130">
        <f t="shared" si="1"/>
        <v>0</v>
      </c>
      <c r="K91" s="130"/>
      <c r="L91" s="130"/>
      <c r="M91" s="130">
        <f t="shared" si="2"/>
        <v>0</v>
      </c>
      <c r="N91" s="130"/>
      <c r="O91" s="130"/>
      <c r="P91" s="127"/>
      <c r="Q91" s="127"/>
      <c r="R91" s="127"/>
      <c r="S91" s="127"/>
      <c r="T91" s="127" t="str">
        <f>IF(A91="","",VLOOKUP(A91,'BASE OS'!$A$2:$I1000,4,FALSE))</f>
        <v/>
      </c>
      <c r="U91" s="127"/>
      <c r="V91" s="127"/>
      <c r="W91" s="127" t="str">
        <f t="shared" si="3"/>
        <v/>
      </c>
      <c r="X91" s="127" t="str">
        <f t="shared" si="4"/>
        <v/>
      </c>
      <c r="Y91" s="127" t="str">
        <f t="shared" si="5"/>
        <v/>
      </c>
    </row>
    <row r="92">
      <c r="A92" s="127"/>
      <c r="B92" s="127" t="str">
        <f>IF(A92="","",VLOOKUP(A92,'BASE OS'!$A$2:$I1000,2,FALSE))</f>
        <v/>
      </c>
      <c r="C92" s="132"/>
      <c r="D92" s="127"/>
      <c r="E92" s="127"/>
      <c r="F92" s="127"/>
      <c r="G92" s="127"/>
      <c r="H92" s="130"/>
      <c r="I92" s="130"/>
      <c r="J92" s="130">
        <f t="shared" si="1"/>
        <v>0</v>
      </c>
      <c r="K92" s="130"/>
      <c r="L92" s="130"/>
      <c r="M92" s="130">
        <f t="shared" si="2"/>
        <v>0</v>
      </c>
      <c r="N92" s="130"/>
      <c r="O92" s="130"/>
      <c r="P92" s="127"/>
      <c r="Q92" s="127"/>
      <c r="R92" s="127"/>
      <c r="S92" s="127"/>
      <c r="T92" s="127" t="str">
        <f>IF(A92="","",VLOOKUP(A92,'BASE OS'!$A$2:$I1000,4,FALSE))</f>
        <v/>
      </c>
      <c r="U92" s="127"/>
      <c r="V92" s="127"/>
      <c r="W92" s="127" t="str">
        <f t="shared" si="3"/>
        <v/>
      </c>
      <c r="X92" s="127" t="str">
        <f t="shared" si="4"/>
        <v/>
      </c>
      <c r="Y92" s="127" t="str">
        <f t="shared" si="5"/>
        <v/>
      </c>
    </row>
    <row r="93">
      <c r="A93" s="127"/>
      <c r="B93" s="127" t="str">
        <f>IF(A93="","",VLOOKUP(A93,'BASE OS'!$A$2:$I1000,2,FALSE))</f>
        <v/>
      </c>
      <c r="C93" s="132"/>
      <c r="D93" s="127"/>
      <c r="E93" s="127"/>
      <c r="F93" s="127"/>
      <c r="G93" s="127"/>
      <c r="H93" s="130"/>
      <c r="I93" s="130"/>
      <c r="J93" s="130">
        <f t="shared" si="1"/>
        <v>0</v>
      </c>
      <c r="K93" s="130"/>
      <c r="L93" s="130"/>
      <c r="M93" s="130">
        <f t="shared" si="2"/>
        <v>0</v>
      </c>
      <c r="N93" s="130"/>
      <c r="O93" s="130"/>
      <c r="P93" s="127"/>
      <c r="Q93" s="127"/>
      <c r="R93" s="127"/>
      <c r="S93" s="127"/>
      <c r="T93" s="127" t="str">
        <f>IF(A93="","",VLOOKUP(A93,'BASE OS'!$A$2:$I1000,4,FALSE))</f>
        <v/>
      </c>
      <c r="U93" s="127"/>
      <c r="V93" s="127"/>
      <c r="W93" s="127" t="str">
        <f t="shared" si="3"/>
        <v/>
      </c>
      <c r="X93" s="127" t="str">
        <f t="shared" si="4"/>
        <v/>
      </c>
      <c r="Y93" s="127" t="str">
        <f t="shared" si="5"/>
        <v/>
      </c>
    </row>
    <row r="94">
      <c r="A94" s="127"/>
      <c r="B94" s="127" t="str">
        <f>IF(A94="","",VLOOKUP(A94,'BASE OS'!$A$2:$I1000,2,FALSE))</f>
        <v/>
      </c>
      <c r="C94" s="132"/>
      <c r="D94" s="127"/>
      <c r="E94" s="127"/>
      <c r="F94" s="127"/>
      <c r="G94" s="127"/>
      <c r="H94" s="130"/>
      <c r="I94" s="130"/>
      <c r="J94" s="130">
        <f t="shared" si="1"/>
        <v>0</v>
      </c>
      <c r="K94" s="130"/>
      <c r="L94" s="130"/>
      <c r="M94" s="130">
        <f t="shared" si="2"/>
        <v>0</v>
      </c>
      <c r="N94" s="130"/>
      <c r="O94" s="130"/>
      <c r="P94" s="127"/>
      <c r="Q94" s="127"/>
      <c r="R94" s="127"/>
      <c r="S94" s="127"/>
      <c r="T94" s="127" t="str">
        <f>IF(A94="","",VLOOKUP(A94,'BASE OS'!$A$2:$I1000,4,FALSE))</f>
        <v/>
      </c>
      <c r="U94" s="127"/>
      <c r="V94" s="127"/>
      <c r="W94" s="127" t="str">
        <f t="shared" si="3"/>
        <v/>
      </c>
      <c r="X94" s="127" t="str">
        <f t="shared" si="4"/>
        <v/>
      </c>
      <c r="Y94" s="127" t="str">
        <f t="shared" si="5"/>
        <v/>
      </c>
    </row>
    <row r="95">
      <c r="A95" s="127"/>
      <c r="B95" s="127" t="str">
        <f>IF(A95="","",VLOOKUP(A95,'BASE OS'!$A$2:$I1000,2,FALSE))</f>
        <v/>
      </c>
      <c r="C95" s="132"/>
      <c r="D95" s="127"/>
      <c r="E95" s="127"/>
      <c r="F95" s="127"/>
      <c r="G95" s="127"/>
      <c r="H95" s="130"/>
      <c r="I95" s="130"/>
      <c r="J95" s="130">
        <f t="shared" si="1"/>
        <v>0</v>
      </c>
      <c r="K95" s="130"/>
      <c r="L95" s="130"/>
      <c r="M95" s="130">
        <f t="shared" si="2"/>
        <v>0</v>
      </c>
      <c r="N95" s="130"/>
      <c r="O95" s="130"/>
      <c r="P95" s="127"/>
      <c r="Q95" s="127"/>
      <c r="R95" s="127"/>
      <c r="S95" s="127"/>
      <c r="T95" s="127" t="str">
        <f>IF(A95="","",VLOOKUP(A95,'BASE OS'!$A$2:$I1000,4,FALSE))</f>
        <v/>
      </c>
      <c r="U95" s="127"/>
      <c r="V95" s="127"/>
      <c r="W95" s="127" t="str">
        <f t="shared" si="3"/>
        <v/>
      </c>
      <c r="X95" s="127" t="str">
        <f t="shared" si="4"/>
        <v/>
      </c>
      <c r="Y95" s="127" t="str">
        <f t="shared" si="5"/>
        <v/>
      </c>
    </row>
    <row r="96">
      <c r="A96" s="127"/>
      <c r="B96" s="127" t="str">
        <f>IF(A96="","",VLOOKUP(A96,'BASE OS'!$A$2:$I1000,2,FALSE))</f>
        <v/>
      </c>
      <c r="C96" s="132"/>
      <c r="D96" s="127"/>
      <c r="E96" s="127"/>
      <c r="F96" s="127"/>
      <c r="G96" s="127"/>
      <c r="H96" s="130"/>
      <c r="I96" s="130"/>
      <c r="J96" s="130">
        <f t="shared" si="1"/>
        <v>0</v>
      </c>
      <c r="K96" s="130"/>
      <c r="L96" s="130"/>
      <c r="M96" s="130">
        <f t="shared" si="2"/>
        <v>0</v>
      </c>
      <c r="N96" s="130"/>
      <c r="O96" s="130"/>
      <c r="P96" s="127"/>
      <c r="Q96" s="127"/>
      <c r="R96" s="127"/>
      <c r="S96" s="127"/>
      <c r="T96" s="127" t="str">
        <f>IF(A96="","",VLOOKUP(A96,'BASE OS'!$A$2:$I1000,4,FALSE))</f>
        <v/>
      </c>
      <c r="U96" s="127"/>
      <c r="V96" s="127"/>
      <c r="W96" s="127" t="str">
        <f t="shared" si="3"/>
        <v/>
      </c>
      <c r="X96" s="127" t="str">
        <f t="shared" si="4"/>
        <v/>
      </c>
      <c r="Y96" s="127" t="str">
        <f t="shared" si="5"/>
        <v/>
      </c>
    </row>
    <row r="97">
      <c r="A97" s="127"/>
      <c r="B97" s="127" t="str">
        <f>IF(A97="","",VLOOKUP(A97,'BASE OS'!$A$2:$I1000,2,FALSE))</f>
        <v/>
      </c>
      <c r="C97" s="132"/>
      <c r="D97" s="127"/>
      <c r="E97" s="127"/>
      <c r="F97" s="127"/>
      <c r="G97" s="127"/>
      <c r="H97" s="130"/>
      <c r="I97" s="130"/>
      <c r="J97" s="130">
        <f t="shared" si="1"/>
        <v>0</v>
      </c>
      <c r="K97" s="130"/>
      <c r="L97" s="130"/>
      <c r="M97" s="130">
        <f t="shared" si="2"/>
        <v>0</v>
      </c>
      <c r="N97" s="130"/>
      <c r="O97" s="130"/>
      <c r="P97" s="127"/>
      <c r="Q97" s="127"/>
      <c r="R97" s="127"/>
      <c r="S97" s="127"/>
      <c r="T97" s="127" t="str">
        <f>IF(A97="","",VLOOKUP(A97,'BASE OS'!$A$2:$I1000,4,FALSE))</f>
        <v/>
      </c>
      <c r="U97" s="127"/>
      <c r="V97" s="127"/>
      <c r="W97" s="127" t="str">
        <f t="shared" si="3"/>
        <v/>
      </c>
      <c r="X97" s="127" t="str">
        <f t="shared" si="4"/>
        <v/>
      </c>
      <c r="Y97" s="127" t="str">
        <f t="shared" si="5"/>
        <v/>
      </c>
    </row>
    <row r="98">
      <c r="A98" s="127"/>
      <c r="B98" s="127" t="str">
        <f>IF(A98="","",VLOOKUP(A98,'BASE OS'!$A$2:$I1000,2,FALSE))</f>
        <v/>
      </c>
      <c r="C98" s="132"/>
      <c r="D98" s="127"/>
      <c r="E98" s="127"/>
      <c r="F98" s="127"/>
      <c r="G98" s="127"/>
      <c r="H98" s="130"/>
      <c r="I98" s="130"/>
      <c r="J98" s="130">
        <f t="shared" si="1"/>
        <v>0</v>
      </c>
      <c r="K98" s="130"/>
      <c r="L98" s="130"/>
      <c r="M98" s="130">
        <f t="shared" si="2"/>
        <v>0</v>
      </c>
      <c r="N98" s="130"/>
      <c r="O98" s="130"/>
      <c r="P98" s="127"/>
      <c r="Q98" s="127"/>
      <c r="R98" s="127"/>
      <c r="S98" s="127"/>
      <c r="T98" s="127" t="str">
        <f>IF(A98="","",VLOOKUP(A98,'BASE OS'!$A$2:$I1000,4,FALSE))</f>
        <v/>
      </c>
      <c r="U98" s="127"/>
      <c r="V98" s="127"/>
      <c r="W98" s="127" t="str">
        <f t="shared" si="3"/>
        <v/>
      </c>
      <c r="X98" s="127" t="str">
        <f t="shared" si="4"/>
        <v/>
      </c>
      <c r="Y98" s="127" t="str">
        <f t="shared" si="5"/>
        <v/>
      </c>
    </row>
    <row r="99">
      <c r="A99" s="127"/>
      <c r="B99" s="127" t="str">
        <f>IF(A99="","",VLOOKUP(A99,'BASE OS'!$A$2:$I1000,2,FALSE))</f>
        <v/>
      </c>
      <c r="C99" s="132"/>
      <c r="D99" s="127"/>
      <c r="E99" s="127"/>
      <c r="F99" s="127"/>
      <c r="G99" s="127"/>
      <c r="H99" s="130"/>
      <c r="I99" s="130"/>
      <c r="J99" s="130">
        <f t="shared" si="1"/>
        <v>0</v>
      </c>
      <c r="K99" s="130"/>
      <c r="L99" s="130"/>
      <c r="M99" s="130">
        <f t="shared" si="2"/>
        <v>0</v>
      </c>
      <c r="N99" s="130"/>
      <c r="O99" s="130"/>
      <c r="P99" s="127"/>
      <c r="Q99" s="127"/>
      <c r="R99" s="127"/>
      <c r="S99" s="127"/>
      <c r="T99" s="127" t="str">
        <f>IF(A99="","",VLOOKUP(A99,'BASE OS'!$A$2:$I1000,4,FALSE))</f>
        <v/>
      </c>
      <c r="U99" s="127"/>
      <c r="V99" s="127"/>
      <c r="W99" s="127" t="str">
        <f t="shared" si="3"/>
        <v/>
      </c>
      <c r="X99" s="127" t="str">
        <f t="shared" si="4"/>
        <v/>
      </c>
      <c r="Y99" s="127" t="str">
        <f t="shared" si="5"/>
        <v/>
      </c>
    </row>
    <row r="100">
      <c r="A100" s="127"/>
      <c r="B100" s="127" t="str">
        <f>IF(A100="","",VLOOKUP(A100,'BASE OS'!$A$2:$I1000,2,FALSE))</f>
        <v/>
      </c>
      <c r="C100" s="132"/>
      <c r="D100" s="127"/>
      <c r="E100" s="127"/>
      <c r="F100" s="127"/>
      <c r="G100" s="127"/>
      <c r="H100" s="130"/>
      <c r="I100" s="130"/>
      <c r="J100" s="130">
        <f t="shared" si="1"/>
        <v>0</v>
      </c>
      <c r="K100" s="130"/>
      <c r="L100" s="130"/>
      <c r="M100" s="130">
        <f t="shared" si="2"/>
        <v>0</v>
      </c>
      <c r="N100" s="130"/>
      <c r="O100" s="130"/>
      <c r="P100" s="127"/>
      <c r="Q100" s="127"/>
      <c r="R100" s="127"/>
      <c r="S100" s="127"/>
      <c r="T100" s="127" t="str">
        <f>IF(A100="","",VLOOKUP(A100,'BASE OS'!$A$2:$I1000,4,FALSE))</f>
        <v/>
      </c>
      <c r="U100" s="127"/>
      <c r="V100" s="127"/>
      <c r="W100" s="127" t="str">
        <f t="shared" si="3"/>
        <v/>
      </c>
      <c r="X100" s="127" t="str">
        <f t="shared" si="4"/>
        <v/>
      </c>
      <c r="Y100" s="127" t="str">
        <f t="shared" si="5"/>
        <v/>
      </c>
    </row>
    <row r="101">
      <c r="A101" s="127"/>
      <c r="B101" s="127" t="str">
        <f>IF(A101="","",VLOOKUP(A101,'BASE OS'!$A$2:$I1000,2,FALSE))</f>
        <v/>
      </c>
      <c r="C101" s="132"/>
      <c r="D101" s="127"/>
      <c r="E101" s="127"/>
      <c r="F101" s="127"/>
      <c r="G101" s="127"/>
      <c r="H101" s="130"/>
      <c r="I101" s="130"/>
      <c r="J101" s="130">
        <f t="shared" si="1"/>
        <v>0</v>
      </c>
      <c r="K101" s="130"/>
      <c r="L101" s="130"/>
      <c r="M101" s="130">
        <f t="shared" si="2"/>
        <v>0</v>
      </c>
      <c r="N101" s="130"/>
      <c r="O101" s="130"/>
      <c r="P101" s="127"/>
      <c r="Q101" s="127"/>
      <c r="R101" s="127"/>
      <c r="S101" s="127"/>
      <c r="T101" s="127" t="str">
        <f>IF(A101="","",VLOOKUP(A101,'BASE OS'!$A$2:$I1000,4,FALSE))</f>
        <v/>
      </c>
      <c r="U101" s="127"/>
      <c r="V101" s="127"/>
      <c r="W101" s="127" t="str">
        <f t="shared" si="3"/>
        <v/>
      </c>
      <c r="X101" s="127" t="str">
        <f t="shared" si="4"/>
        <v/>
      </c>
      <c r="Y101" s="127" t="str">
        <f t="shared" si="5"/>
        <v/>
      </c>
    </row>
    <row r="102">
      <c r="A102" s="127"/>
      <c r="B102" s="127" t="str">
        <f>IF(A102="","",VLOOKUP(A102,'BASE OS'!$A$2:$I1000,2,FALSE))</f>
        <v/>
      </c>
      <c r="C102" s="132"/>
      <c r="D102" s="127"/>
      <c r="E102" s="127"/>
      <c r="F102" s="127"/>
      <c r="G102" s="127"/>
      <c r="H102" s="130"/>
      <c r="I102" s="130"/>
      <c r="J102" s="130">
        <f t="shared" si="1"/>
        <v>0</v>
      </c>
      <c r="K102" s="130"/>
      <c r="L102" s="130"/>
      <c r="M102" s="130">
        <f t="shared" si="2"/>
        <v>0</v>
      </c>
      <c r="N102" s="130"/>
      <c r="O102" s="130"/>
      <c r="P102" s="127"/>
      <c r="Q102" s="127"/>
      <c r="R102" s="127"/>
      <c r="S102" s="127"/>
      <c r="T102" s="127" t="str">
        <f>IF(A102="","",VLOOKUP(A102,'BASE OS'!$A$2:$I1000,4,FALSE))</f>
        <v/>
      </c>
      <c r="U102" s="127"/>
      <c r="V102" s="127"/>
      <c r="W102" s="127" t="str">
        <f t="shared" si="3"/>
        <v/>
      </c>
      <c r="X102" s="127" t="str">
        <f t="shared" si="4"/>
        <v/>
      </c>
      <c r="Y102" s="127" t="str">
        <f t="shared" si="5"/>
        <v/>
      </c>
    </row>
    <row r="103">
      <c r="A103" s="127"/>
      <c r="B103" s="127" t="str">
        <f>IF(A103="","",VLOOKUP(A103,'BASE OS'!$A$2:$I1000,2,FALSE))</f>
        <v/>
      </c>
      <c r="C103" s="132"/>
      <c r="D103" s="127"/>
      <c r="E103" s="127"/>
      <c r="F103" s="127"/>
      <c r="G103" s="127"/>
      <c r="H103" s="130"/>
      <c r="I103" s="130"/>
      <c r="J103" s="130">
        <f t="shared" si="1"/>
        <v>0</v>
      </c>
      <c r="K103" s="130"/>
      <c r="L103" s="130"/>
      <c r="M103" s="130">
        <f t="shared" si="2"/>
        <v>0</v>
      </c>
      <c r="N103" s="130"/>
      <c r="O103" s="130"/>
      <c r="P103" s="127"/>
      <c r="Q103" s="127"/>
      <c r="R103" s="127"/>
      <c r="S103" s="127"/>
      <c r="T103" s="127" t="str">
        <f>IF(A103="","",VLOOKUP(A103,'BASE OS'!$A$2:$I1000,4,FALSE))</f>
        <v/>
      </c>
      <c r="U103" s="127"/>
      <c r="V103" s="127"/>
      <c r="W103" s="127" t="str">
        <f t="shared" si="3"/>
        <v/>
      </c>
      <c r="X103" s="127" t="str">
        <f t="shared" si="4"/>
        <v/>
      </c>
      <c r="Y103" s="127" t="str">
        <f t="shared" si="5"/>
        <v/>
      </c>
    </row>
    <row r="104">
      <c r="A104" s="127"/>
      <c r="B104" s="127" t="str">
        <f>IF(A104="","",VLOOKUP(A104,'BASE OS'!$A$2:$I1000,2,FALSE))</f>
        <v/>
      </c>
      <c r="C104" s="132"/>
      <c r="D104" s="127"/>
      <c r="E104" s="127"/>
      <c r="F104" s="127"/>
      <c r="G104" s="127"/>
      <c r="H104" s="130"/>
      <c r="I104" s="130"/>
      <c r="J104" s="130">
        <f t="shared" si="1"/>
        <v>0</v>
      </c>
      <c r="K104" s="130"/>
      <c r="L104" s="130"/>
      <c r="M104" s="130">
        <f t="shared" si="2"/>
        <v>0</v>
      </c>
      <c r="N104" s="130"/>
      <c r="O104" s="130"/>
      <c r="P104" s="127"/>
      <c r="Q104" s="127"/>
      <c r="R104" s="127"/>
      <c r="S104" s="127"/>
      <c r="T104" s="127" t="str">
        <f>IF(A104="","",VLOOKUP(A104,'BASE OS'!$A$2:$I1000,4,FALSE))</f>
        <v/>
      </c>
      <c r="U104" s="127"/>
      <c r="V104" s="127"/>
      <c r="W104" s="127" t="str">
        <f t="shared" si="3"/>
        <v/>
      </c>
      <c r="X104" s="127" t="str">
        <f t="shared" si="4"/>
        <v/>
      </c>
      <c r="Y104" s="127" t="str">
        <f t="shared" si="5"/>
        <v/>
      </c>
    </row>
    <row r="105">
      <c r="A105" s="127"/>
      <c r="B105" s="127" t="str">
        <f>IF(A105="","",VLOOKUP(A105,'BASE OS'!$A$2:$I1000,2,FALSE))</f>
        <v/>
      </c>
      <c r="C105" s="132"/>
      <c r="D105" s="127"/>
      <c r="E105" s="127"/>
      <c r="F105" s="127"/>
      <c r="G105" s="127"/>
      <c r="H105" s="130"/>
      <c r="I105" s="130"/>
      <c r="J105" s="130">
        <f t="shared" si="1"/>
        <v>0</v>
      </c>
      <c r="K105" s="130"/>
      <c r="L105" s="130"/>
      <c r="M105" s="130">
        <f t="shared" si="2"/>
        <v>0</v>
      </c>
      <c r="N105" s="130"/>
      <c r="O105" s="130"/>
      <c r="P105" s="127"/>
      <c r="Q105" s="127"/>
      <c r="R105" s="127"/>
      <c r="S105" s="127"/>
      <c r="T105" s="127" t="str">
        <f>IF(A105="","",VLOOKUP(A105,'BASE OS'!$A$2:$I1000,4,FALSE))</f>
        <v/>
      </c>
      <c r="U105" s="127"/>
      <c r="V105" s="127"/>
      <c r="W105" s="127" t="str">
        <f t="shared" si="3"/>
        <v/>
      </c>
      <c r="X105" s="127" t="str">
        <f t="shared" si="4"/>
        <v/>
      </c>
      <c r="Y105" s="127" t="str">
        <f t="shared" si="5"/>
        <v/>
      </c>
    </row>
    <row r="106">
      <c r="A106" s="127"/>
      <c r="B106" s="127" t="str">
        <f>IF(A106="","",VLOOKUP(A106,'BASE OS'!$A$2:$I1000,2,FALSE))</f>
        <v/>
      </c>
      <c r="C106" s="132"/>
      <c r="D106" s="127"/>
      <c r="E106" s="127"/>
      <c r="F106" s="127"/>
      <c r="G106" s="127"/>
      <c r="H106" s="130"/>
      <c r="I106" s="130"/>
      <c r="J106" s="130">
        <f t="shared" si="1"/>
        <v>0</v>
      </c>
      <c r="K106" s="130"/>
      <c r="L106" s="130"/>
      <c r="M106" s="130">
        <f t="shared" si="2"/>
        <v>0</v>
      </c>
      <c r="N106" s="130"/>
      <c r="O106" s="130"/>
      <c r="P106" s="127"/>
      <c r="Q106" s="127"/>
      <c r="R106" s="127"/>
      <c r="S106" s="127"/>
      <c r="T106" s="127" t="str">
        <f>IF(A106="","",VLOOKUP(A106,'BASE OS'!$A$2:$I1000,4,FALSE))</f>
        <v/>
      </c>
      <c r="U106" s="127"/>
      <c r="V106" s="127"/>
      <c r="W106" s="127" t="str">
        <f t="shared" si="3"/>
        <v/>
      </c>
      <c r="X106" s="127" t="str">
        <f t="shared" si="4"/>
        <v/>
      </c>
      <c r="Y106" s="127" t="str">
        <f t="shared" si="5"/>
        <v/>
      </c>
    </row>
    <row r="107">
      <c r="A107" s="127"/>
      <c r="B107" s="127" t="str">
        <f>IF(A107="","",VLOOKUP(A107,'BASE OS'!$A$2:$I1000,2,FALSE))</f>
        <v/>
      </c>
      <c r="C107" s="132"/>
      <c r="D107" s="127"/>
      <c r="E107" s="127"/>
      <c r="F107" s="127"/>
      <c r="G107" s="127"/>
      <c r="H107" s="130"/>
      <c r="I107" s="130"/>
      <c r="J107" s="130">
        <f t="shared" si="1"/>
        <v>0</v>
      </c>
      <c r="K107" s="130"/>
      <c r="L107" s="130"/>
      <c r="M107" s="130">
        <f t="shared" si="2"/>
        <v>0</v>
      </c>
      <c r="N107" s="130"/>
      <c r="O107" s="130"/>
      <c r="P107" s="127"/>
      <c r="Q107" s="127"/>
      <c r="R107" s="127"/>
      <c r="S107" s="127"/>
      <c r="T107" s="127" t="str">
        <f>IF(A107="","",VLOOKUP(A107,'BASE OS'!$A$2:$I1000,4,FALSE))</f>
        <v/>
      </c>
      <c r="U107" s="127"/>
      <c r="V107" s="127"/>
      <c r="W107" s="127" t="str">
        <f t="shared" si="3"/>
        <v/>
      </c>
      <c r="X107" s="127" t="str">
        <f t="shared" si="4"/>
        <v/>
      </c>
      <c r="Y107" s="127" t="str">
        <f t="shared" si="5"/>
        <v/>
      </c>
    </row>
    <row r="108">
      <c r="A108" s="127"/>
      <c r="B108" s="127" t="str">
        <f>IF(A108="","",VLOOKUP(A108,'BASE OS'!$A$2:$I1000,2,FALSE))</f>
        <v/>
      </c>
      <c r="C108" s="132"/>
      <c r="D108" s="127"/>
      <c r="E108" s="127"/>
      <c r="F108" s="127"/>
      <c r="G108" s="127"/>
      <c r="H108" s="130"/>
      <c r="I108" s="130"/>
      <c r="J108" s="130">
        <f t="shared" si="1"/>
        <v>0</v>
      </c>
      <c r="K108" s="130"/>
      <c r="L108" s="130"/>
      <c r="M108" s="130">
        <f t="shared" si="2"/>
        <v>0</v>
      </c>
      <c r="N108" s="130"/>
      <c r="O108" s="130"/>
      <c r="P108" s="127"/>
      <c r="Q108" s="127"/>
      <c r="R108" s="127"/>
      <c r="S108" s="127"/>
      <c r="T108" s="127" t="str">
        <f>IF(A108="","",VLOOKUP(A108,'BASE OS'!$A$2:$I1000,4,FALSE))</f>
        <v/>
      </c>
      <c r="U108" s="127"/>
      <c r="V108" s="127"/>
      <c r="W108" s="127" t="str">
        <f t="shared" si="3"/>
        <v/>
      </c>
      <c r="X108" s="127" t="str">
        <f t="shared" si="4"/>
        <v/>
      </c>
      <c r="Y108" s="127" t="str">
        <f t="shared" si="5"/>
        <v/>
      </c>
    </row>
    <row r="109">
      <c r="A109" s="127"/>
      <c r="B109" s="127" t="str">
        <f>IF(A109="","",VLOOKUP(A109,'BASE OS'!$A$2:$I1000,2,FALSE))</f>
        <v/>
      </c>
      <c r="C109" s="132"/>
      <c r="D109" s="127"/>
      <c r="E109" s="127"/>
      <c r="F109" s="127"/>
      <c r="G109" s="127"/>
      <c r="H109" s="130"/>
      <c r="I109" s="130"/>
      <c r="J109" s="130">
        <f t="shared" si="1"/>
        <v>0</v>
      </c>
      <c r="K109" s="130"/>
      <c r="L109" s="130"/>
      <c r="M109" s="130">
        <f t="shared" si="2"/>
        <v>0</v>
      </c>
      <c r="N109" s="130"/>
      <c r="O109" s="130"/>
      <c r="P109" s="127"/>
      <c r="Q109" s="127"/>
      <c r="R109" s="127"/>
      <c r="S109" s="127"/>
      <c r="T109" s="127" t="str">
        <f>IF(A109="","",VLOOKUP(A109,'BASE OS'!$A$2:$I1000,4,FALSE))</f>
        <v/>
      </c>
      <c r="U109" s="127"/>
      <c r="V109" s="127"/>
      <c r="W109" s="127" t="str">
        <f t="shared" si="3"/>
        <v/>
      </c>
      <c r="X109" s="127" t="str">
        <f t="shared" si="4"/>
        <v/>
      </c>
      <c r="Y109" s="127" t="str">
        <f t="shared" si="5"/>
        <v/>
      </c>
    </row>
    <row r="110">
      <c r="A110" s="127"/>
      <c r="B110" s="127" t="str">
        <f>IF(A110="","",VLOOKUP(A110,'BASE OS'!$A$2:$I1000,2,FALSE))</f>
        <v/>
      </c>
      <c r="C110" s="132"/>
      <c r="D110" s="127"/>
      <c r="E110" s="127"/>
      <c r="F110" s="127"/>
      <c r="G110" s="127"/>
      <c r="H110" s="130"/>
      <c r="I110" s="130"/>
      <c r="J110" s="130">
        <f t="shared" si="1"/>
        <v>0</v>
      </c>
      <c r="K110" s="130"/>
      <c r="L110" s="130"/>
      <c r="M110" s="130">
        <f t="shared" si="2"/>
        <v>0</v>
      </c>
      <c r="N110" s="130"/>
      <c r="O110" s="130"/>
      <c r="P110" s="127"/>
      <c r="Q110" s="127"/>
      <c r="R110" s="127"/>
      <c r="S110" s="127"/>
      <c r="T110" s="127" t="str">
        <f>IF(A110="","",VLOOKUP(A110,'BASE OS'!$A$2:$I1000,4,FALSE))</f>
        <v/>
      </c>
      <c r="U110" s="127"/>
      <c r="V110" s="127"/>
      <c r="W110" s="127" t="str">
        <f t="shared" si="3"/>
        <v/>
      </c>
      <c r="X110" s="127" t="str">
        <f t="shared" si="4"/>
        <v/>
      </c>
      <c r="Y110" s="127" t="str">
        <f t="shared" si="5"/>
        <v/>
      </c>
    </row>
    <row r="111">
      <c r="A111" s="127"/>
      <c r="B111" s="127" t="str">
        <f>IF(A111="","",VLOOKUP(A111,'BASE OS'!$A$2:$I1000,2,FALSE))</f>
        <v/>
      </c>
      <c r="C111" s="132"/>
      <c r="D111" s="127"/>
      <c r="E111" s="127"/>
      <c r="F111" s="127"/>
      <c r="G111" s="127"/>
      <c r="H111" s="130"/>
      <c r="I111" s="130"/>
      <c r="J111" s="130">
        <f t="shared" si="1"/>
        <v>0</v>
      </c>
      <c r="K111" s="130"/>
      <c r="L111" s="130"/>
      <c r="M111" s="130">
        <f t="shared" si="2"/>
        <v>0</v>
      </c>
      <c r="N111" s="130"/>
      <c r="O111" s="130"/>
      <c r="P111" s="127"/>
      <c r="Q111" s="127"/>
      <c r="R111" s="127"/>
      <c r="S111" s="127"/>
      <c r="T111" s="127" t="str">
        <f>IF(A111="","",VLOOKUP(A111,'BASE OS'!$A$2:$I1000,4,FALSE))</f>
        <v/>
      </c>
      <c r="U111" s="127"/>
      <c r="V111" s="127"/>
      <c r="W111" s="127" t="str">
        <f t="shared" si="3"/>
        <v/>
      </c>
      <c r="X111" s="127" t="str">
        <f t="shared" si="4"/>
        <v/>
      </c>
      <c r="Y111" s="127" t="str">
        <f t="shared" si="5"/>
        <v/>
      </c>
    </row>
    <row r="112">
      <c r="A112" s="127"/>
      <c r="B112" s="127" t="str">
        <f>IF(A112="","",VLOOKUP(A112,'BASE OS'!$A$2:$I1000,2,FALSE))</f>
        <v/>
      </c>
      <c r="C112" s="132"/>
      <c r="D112" s="127"/>
      <c r="E112" s="127"/>
      <c r="F112" s="127"/>
      <c r="G112" s="127"/>
      <c r="H112" s="130"/>
      <c r="I112" s="130"/>
      <c r="J112" s="130">
        <f t="shared" si="1"/>
        <v>0</v>
      </c>
      <c r="K112" s="130"/>
      <c r="L112" s="130"/>
      <c r="M112" s="130">
        <f t="shared" si="2"/>
        <v>0</v>
      </c>
      <c r="N112" s="130"/>
      <c r="O112" s="130"/>
      <c r="P112" s="127"/>
      <c r="Q112" s="127"/>
      <c r="R112" s="127"/>
      <c r="S112" s="127"/>
      <c r="T112" s="127" t="str">
        <f>IF(A112="","",VLOOKUP(A112,'BASE OS'!$A$2:$I1000,4,FALSE))</f>
        <v/>
      </c>
      <c r="U112" s="127"/>
      <c r="V112" s="127"/>
      <c r="W112" s="127" t="str">
        <f t="shared" si="3"/>
        <v/>
      </c>
      <c r="X112" s="127" t="str">
        <f t="shared" si="4"/>
        <v/>
      </c>
      <c r="Y112" s="127" t="str">
        <f t="shared" si="5"/>
        <v/>
      </c>
    </row>
    <row r="113">
      <c r="A113" s="127"/>
      <c r="B113" s="127" t="str">
        <f>IF(A113="","",VLOOKUP(A113,'BASE OS'!$A$2:$I1000,2,FALSE))</f>
        <v/>
      </c>
      <c r="C113" s="132"/>
      <c r="D113" s="127"/>
      <c r="E113" s="127"/>
      <c r="F113" s="127"/>
      <c r="G113" s="127"/>
      <c r="H113" s="130"/>
      <c r="I113" s="130"/>
      <c r="J113" s="130">
        <f t="shared" si="1"/>
        <v>0</v>
      </c>
      <c r="K113" s="130"/>
      <c r="L113" s="130"/>
      <c r="M113" s="130">
        <f t="shared" si="2"/>
        <v>0</v>
      </c>
      <c r="N113" s="130"/>
      <c r="O113" s="130"/>
      <c r="P113" s="127"/>
      <c r="Q113" s="127"/>
      <c r="R113" s="127"/>
      <c r="S113" s="127"/>
      <c r="T113" s="127" t="str">
        <f>IF(A113="","",VLOOKUP(A113,'BASE OS'!$A$2:$I1000,4,FALSE))</f>
        <v/>
      </c>
      <c r="U113" s="127"/>
      <c r="V113" s="127"/>
      <c r="W113" s="127" t="str">
        <f t="shared" si="3"/>
        <v/>
      </c>
      <c r="X113" s="127" t="str">
        <f t="shared" si="4"/>
        <v/>
      </c>
      <c r="Y113" s="127" t="str">
        <f t="shared" si="5"/>
        <v/>
      </c>
    </row>
    <row r="114">
      <c r="A114" s="127"/>
      <c r="B114" s="127" t="str">
        <f>IF(A114="","",VLOOKUP(A114,'BASE OS'!$A$2:$I1000,2,FALSE))</f>
        <v/>
      </c>
      <c r="C114" s="132"/>
      <c r="D114" s="127"/>
      <c r="E114" s="127"/>
      <c r="F114" s="127"/>
      <c r="G114" s="127"/>
      <c r="H114" s="130"/>
      <c r="I114" s="130"/>
      <c r="J114" s="130">
        <f t="shared" si="1"/>
        <v>0</v>
      </c>
      <c r="K114" s="130"/>
      <c r="L114" s="130"/>
      <c r="M114" s="130">
        <f t="shared" si="2"/>
        <v>0</v>
      </c>
      <c r="N114" s="130"/>
      <c r="O114" s="130"/>
      <c r="P114" s="127"/>
      <c r="Q114" s="127"/>
      <c r="R114" s="127"/>
      <c r="S114" s="127"/>
      <c r="T114" s="127" t="str">
        <f>IF(A114="","",VLOOKUP(A114,'BASE OS'!$A$2:$I1000,4,FALSE))</f>
        <v/>
      </c>
      <c r="U114" s="127"/>
      <c r="V114" s="127"/>
      <c r="W114" s="127" t="str">
        <f t="shared" si="3"/>
        <v/>
      </c>
      <c r="X114" s="127" t="str">
        <f t="shared" si="4"/>
        <v/>
      </c>
      <c r="Y114" s="127" t="str">
        <f t="shared" si="5"/>
        <v/>
      </c>
    </row>
    <row r="115">
      <c r="A115" s="127"/>
      <c r="B115" s="127" t="str">
        <f>IF(A115="","",VLOOKUP(A115,'BASE OS'!$A$2:$I1000,2,FALSE))</f>
        <v/>
      </c>
      <c r="C115" s="132"/>
      <c r="D115" s="127"/>
      <c r="E115" s="127"/>
      <c r="F115" s="127"/>
      <c r="G115" s="127"/>
      <c r="H115" s="130"/>
      <c r="I115" s="130"/>
      <c r="J115" s="130">
        <f t="shared" si="1"/>
        <v>0</v>
      </c>
      <c r="K115" s="130"/>
      <c r="L115" s="130"/>
      <c r="M115" s="130">
        <f t="shared" si="2"/>
        <v>0</v>
      </c>
      <c r="N115" s="130"/>
      <c r="O115" s="130"/>
      <c r="P115" s="127"/>
      <c r="Q115" s="127"/>
      <c r="R115" s="127"/>
      <c r="S115" s="127"/>
      <c r="T115" s="127" t="str">
        <f>IF(A115="","",VLOOKUP(A115,'BASE OS'!$A$2:$I1000,4,FALSE))</f>
        <v/>
      </c>
      <c r="U115" s="127"/>
      <c r="V115" s="127"/>
      <c r="W115" s="127" t="str">
        <f t="shared" si="3"/>
        <v/>
      </c>
      <c r="X115" s="127" t="str">
        <f t="shared" si="4"/>
        <v/>
      </c>
      <c r="Y115" s="127" t="str">
        <f t="shared" si="5"/>
        <v/>
      </c>
    </row>
    <row r="116">
      <c r="A116" s="127"/>
      <c r="B116" s="127" t="str">
        <f>IF(A116="","",VLOOKUP(A116,'BASE OS'!$A$2:$I1000,2,FALSE))</f>
        <v/>
      </c>
      <c r="C116" s="132"/>
      <c r="D116" s="127"/>
      <c r="E116" s="127"/>
      <c r="F116" s="127"/>
      <c r="G116" s="127"/>
      <c r="H116" s="130"/>
      <c r="I116" s="130"/>
      <c r="J116" s="130">
        <f t="shared" si="1"/>
        <v>0</v>
      </c>
      <c r="K116" s="130"/>
      <c r="L116" s="130"/>
      <c r="M116" s="130">
        <f t="shared" si="2"/>
        <v>0</v>
      </c>
      <c r="N116" s="130"/>
      <c r="O116" s="130"/>
      <c r="P116" s="127"/>
      <c r="Q116" s="127"/>
      <c r="R116" s="127"/>
      <c r="S116" s="127"/>
      <c r="T116" s="127" t="str">
        <f>IF(A116="","",VLOOKUP(A116,'BASE OS'!$A$2:$I1000,4,FALSE))</f>
        <v/>
      </c>
      <c r="U116" s="127"/>
      <c r="V116" s="127"/>
      <c r="W116" s="127" t="str">
        <f t="shared" si="3"/>
        <v/>
      </c>
      <c r="X116" s="127" t="str">
        <f t="shared" si="4"/>
        <v/>
      </c>
      <c r="Y116" s="127" t="str">
        <f t="shared" si="5"/>
        <v/>
      </c>
    </row>
    <row r="117">
      <c r="A117" s="127"/>
      <c r="B117" s="127" t="str">
        <f>IF(A117="","",VLOOKUP(A117,'BASE OS'!$A$2:$I1000,2,FALSE))</f>
        <v/>
      </c>
      <c r="C117" s="132"/>
      <c r="D117" s="127"/>
      <c r="E117" s="127"/>
      <c r="F117" s="127"/>
      <c r="G117" s="127"/>
      <c r="H117" s="130"/>
      <c r="I117" s="130"/>
      <c r="J117" s="130">
        <f t="shared" si="1"/>
        <v>0</v>
      </c>
      <c r="K117" s="130"/>
      <c r="L117" s="130"/>
      <c r="M117" s="130">
        <f t="shared" si="2"/>
        <v>0</v>
      </c>
      <c r="N117" s="130"/>
      <c r="O117" s="130"/>
      <c r="P117" s="127"/>
      <c r="Q117" s="127"/>
      <c r="R117" s="127"/>
      <c r="S117" s="127"/>
      <c r="T117" s="127" t="str">
        <f>IF(A117="","",VLOOKUP(A117,'BASE OS'!$A$2:$I1000,4,FALSE))</f>
        <v/>
      </c>
      <c r="U117" s="127"/>
      <c r="V117" s="127"/>
      <c r="W117" s="127" t="str">
        <f t="shared" si="3"/>
        <v/>
      </c>
      <c r="X117" s="127" t="str">
        <f t="shared" si="4"/>
        <v/>
      </c>
      <c r="Y117" s="127" t="str">
        <f t="shared" si="5"/>
        <v/>
      </c>
    </row>
    <row r="118">
      <c r="A118" s="127"/>
      <c r="B118" s="127" t="str">
        <f>IF(A118="","",VLOOKUP(A118,'BASE OS'!$A$2:$I1000,2,FALSE))</f>
        <v/>
      </c>
      <c r="C118" s="132"/>
      <c r="D118" s="127"/>
      <c r="E118" s="127"/>
      <c r="F118" s="127"/>
      <c r="G118" s="127"/>
      <c r="H118" s="130"/>
      <c r="I118" s="130"/>
      <c r="J118" s="130">
        <f t="shared" si="1"/>
        <v>0</v>
      </c>
      <c r="K118" s="130"/>
      <c r="L118" s="130"/>
      <c r="M118" s="130">
        <f t="shared" si="2"/>
        <v>0</v>
      </c>
      <c r="N118" s="130"/>
      <c r="O118" s="130"/>
      <c r="P118" s="127"/>
      <c r="Q118" s="127"/>
      <c r="R118" s="127"/>
      <c r="S118" s="127"/>
      <c r="T118" s="127" t="str">
        <f>IF(A118="","",VLOOKUP(A118,'BASE OS'!$A$2:$I1000,4,FALSE))</f>
        <v/>
      </c>
      <c r="U118" s="127"/>
      <c r="V118" s="127"/>
      <c r="W118" s="127" t="str">
        <f t="shared" si="3"/>
        <v/>
      </c>
      <c r="X118" s="127" t="str">
        <f t="shared" si="4"/>
        <v/>
      </c>
      <c r="Y118" s="127" t="str">
        <f t="shared" si="5"/>
        <v/>
      </c>
    </row>
    <row r="119">
      <c r="A119" s="127"/>
      <c r="B119" s="127" t="str">
        <f>IF(A119="","",VLOOKUP(A119,'BASE OS'!$A$2:$I1000,2,FALSE))</f>
        <v/>
      </c>
      <c r="C119" s="132"/>
      <c r="D119" s="127"/>
      <c r="E119" s="127"/>
      <c r="F119" s="127"/>
      <c r="G119" s="127"/>
      <c r="H119" s="130"/>
      <c r="I119" s="130"/>
      <c r="J119" s="130">
        <f t="shared" si="1"/>
        <v>0</v>
      </c>
      <c r="K119" s="130"/>
      <c r="L119" s="130"/>
      <c r="M119" s="130">
        <f t="shared" si="2"/>
        <v>0</v>
      </c>
      <c r="N119" s="130"/>
      <c r="O119" s="130"/>
      <c r="P119" s="127"/>
      <c r="Q119" s="127"/>
      <c r="R119" s="127"/>
      <c r="S119" s="127"/>
      <c r="T119" s="127" t="str">
        <f>IF(A119="","",VLOOKUP(A119,'BASE OS'!$A$2:$I1000,4,FALSE))</f>
        <v/>
      </c>
      <c r="U119" s="127"/>
      <c r="V119" s="127"/>
      <c r="W119" s="127" t="str">
        <f t="shared" si="3"/>
        <v/>
      </c>
      <c r="X119" s="127" t="str">
        <f t="shared" si="4"/>
        <v/>
      </c>
      <c r="Y119" s="127" t="str">
        <f t="shared" si="5"/>
        <v/>
      </c>
    </row>
    <row r="120">
      <c r="A120" s="127"/>
      <c r="B120" s="127" t="str">
        <f>IF(A120="","",VLOOKUP(A120,'BASE OS'!$A$2:$I1000,2,FALSE))</f>
        <v/>
      </c>
      <c r="C120" s="132"/>
      <c r="D120" s="127"/>
      <c r="E120" s="127"/>
      <c r="F120" s="127"/>
      <c r="G120" s="127"/>
      <c r="H120" s="130"/>
      <c r="I120" s="130"/>
      <c r="J120" s="130">
        <f t="shared" si="1"/>
        <v>0</v>
      </c>
      <c r="K120" s="130"/>
      <c r="L120" s="130"/>
      <c r="M120" s="130">
        <f t="shared" si="2"/>
        <v>0</v>
      </c>
      <c r="N120" s="130"/>
      <c r="O120" s="130"/>
      <c r="P120" s="127"/>
      <c r="Q120" s="127"/>
      <c r="R120" s="127"/>
      <c r="S120" s="127"/>
      <c r="T120" s="127" t="str">
        <f>IF(A120="","",VLOOKUP(A120,'BASE OS'!$A$2:$I1000,4,FALSE))</f>
        <v/>
      </c>
      <c r="U120" s="127"/>
      <c r="V120" s="127"/>
      <c r="W120" s="127" t="str">
        <f t="shared" si="3"/>
        <v/>
      </c>
      <c r="X120" s="127" t="str">
        <f t="shared" si="4"/>
        <v/>
      </c>
      <c r="Y120" s="127" t="str">
        <f t="shared" si="5"/>
        <v/>
      </c>
    </row>
    <row r="121">
      <c r="A121" s="127"/>
      <c r="B121" s="127" t="str">
        <f>IF(A121="","",VLOOKUP(A121,'BASE OS'!$A$2:$I1000,2,FALSE))</f>
        <v/>
      </c>
      <c r="C121" s="132"/>
      <c r="D121" s="127"/>
      <c r="E121" s="127"/>
      <c r="F121" s="127"/>
      <c r="G121" s="127"/>
      <c r="H121" s="130"/>
      <c r="I121" s="130"/>
      <c r="J121" s="130">
        <f t="shared" si="1"/>
        <v>0</v>
      </c>
      <c r="K121" s="130"/>
      <c r="L121" s="130"/>
      <c r="M121" s="130">
        <f t="shared" si="2"/>
        <v>0</v>
      </c>
      <c r="N121" s="130"/>
      <c r="O121" s="130"/>
      <c r="P121" s="127"/>
      <c r="Q121" s="127"/>
      <c r="R121" s="127"/>
      <c r="S121" s="127"/>
      <c r="T121" s="127" t="str">
        <f>IF(A121="","",VLOOKUP(A121,'BASE OS'!$A$2:$I1000,4,FALSE))</f>
        <v/>
      </c>
      <c r="U121" s="127"/>
      <c r="V121" s="127"/>
      <c r="W121" s="127" t="str">
        <f t="shared" si="3"/>
        <v/>
      </c>
      <c r="X121" s="127" t="str">
        <f t="shared" si="4"/>
        <v/>
      </c>
      <c r="Y121" s="127" t="str">
        <f t="shared" si="5"/>
        <v/>
      </c>
    </row>
    <row r="122">
      <c r="A122" s="127"/>
      <c r="B122" s="127" t="str">
        <f>IF(A122="","",VLOOKUP(A122,'BASE OS'!$A$2:$I1000,2,FALSE))</f>
        <v/>
      </c>
      <c r="C122" s="132"/>
      <c r="D122" s="127"/>
      <c r="E122" s="127"/>
      <c r="F122" s="127"/>
      <c r="G122" s="127"/>
      <c r="H122" s="130"/>
      <c r="I122" s="130"/>
      <c r="J122" s="130">
        <f t="shared" si="1"/>
        <v>0</v>
      </c>
      <c r="K122" s="130"/>
      <c r="L122" s="130"/>
      <c r="M122" s="130">
        <f t="shared" si="2"/>
        <v>0</v>
      </c>
      <c r="N122" s="130"/>
      <c r="O122" s="130"/>
      <c r="P122" s="127"/>
      <c r="Q122" s="127"/>
      <c r="R122" s="127"/>
      <c r="S122" s="127"/>
      <c r="T122" s="127" t="str">
        <f>IF(A122="","",VLOOKUP(A122,'BASE OS'!$A$2:$I1000,4,FALSE))</f>
        <v/>
      </c>
      <c r="U122" s="127"/>
      <c r="V122" s="127"/>
      <c r="W122" s="127" t="str">
        <f t="shared" si="3"/>
        <v/>
      </c>
      <c r="X122" s="127" t="str">
        <f t="shared" si="4"/>
        <v/>
      </c>
      <c r="Y122" s="127" t="str">
        <f t="shared" si="5"/>
        <v/>
      </c>
    </row>
    <row r="123">
      <c r="A123" s="127"/>
      <c r="B123" s="127" t="str">
        <f>IF(A123="","",VLOOKUP(A123,'BASE OS'!$A$2:$I1000,2,FALSE))</f>
        <v/>
      </c>
      <c r="C123" s="132"/>
      <c r="D123" s="127"/>
      <c r="E123" s="127"/>
      <c r="F123" s="127"/>
      <c r="G123" s="127"/>
      <c r="H123" s="130"/>
      <c r="I123" s="130"/>
      <c r="J123" s="130">
        <f t="shared" si="1"/>
        <v>0</v>
      </c>
      <c r="K123" s="130"/>
      <c r="L123" s="130"/>
      <c r="M123" s="130">
        <f t="shared" si="2"/>
        <v>0</v>
      </c>
      <c r="N123" s="130"/>
      <c r="O123" s="130"/>
      <c r="P123" s="127"/>
      <c r="Q123" s="127"/>
      <c r="R123" s="127"/>
      <c r="S123" s="127"/>
      <c r="T123" s="127" t="str">
        <f>IF(A123="","",VLOOKUP(A123,'BASE OS'!$A$2:$I1000,4,FALSE))</f>
        <v/>
      </c>
      <c r="U123" s="127"/>
      <c r="V123" s="127"/>
      <c r="W123" s="127" t="str">
        <f t="shared" si="3"/>
        <v/>
      </c>
      <c r="X123" s="127" t="str">
        <f t="shared" si="4"/>
        <v/>
      </c>
      <c r="Y123" s="127" t="str">
        <f t="shared" si="5"/>
        <v/>
      </c>
    </row>
    <row r="124">
      <c r="A124" s="127"/>
      <c r="B124" s="127" t="str">
        <f>IF(A124="","",VLOOKUP(A124,'BASE OS'!$A$2:$I1000,2,FALSE))</f>
        <v/>
      </c>
      <c r="C124" s="132"/>
      <c r="D124" s="127"/>
      <c r="E124" s="127"/>
      <c r="F124" s="127"/>
      <c r="G124" s="127"/>
      <c r="H124" s="130"/>
      <c r="I124" s="130"/>
      <c r="J124" s="130">
        <f t="shared" si="1"/>
        <v>0</v>
      </c>
      <c r="K124" s="130"/>
      <c r="L124" s="130"/>
      <c r="M124" s="130">
        <f t="shared" si="2"/>
        <v>0</v>
      </c>
      <c r="N124" s="130"/>
      <c r="O124" s="130"/>
      <c r="P124" s="127"/>
      <c r="Q124" s="127"/>
      <c r="R124" s="127"/>
      <c r="S124" s="127"/>
      <c r="T124" s="127" t="str">
        <f>IF(A124="","",VLOOKUP(A124,'BASE OS'!$A$2:$I1000,4,FALSE))</f>
        <v/>
      </c>
      <c r="U124" s="127"/>
      <c r="V124" s="127"/>
      <c r="W124" s="127" t="str">
        <f t="shared" si="3"/>
        <v/>
      </c>
      <c r="X124" s="127" t="str">
        <f t="shared" si="4"/>
        <v/>
      </c>
      <c r="Y124" s="127" t="str">
        <f t="shared" si="5"/>
        <v/>
      </c>
    </row>
    <row r="125">
      <c r="A125" s="127"/>
      <c r="B125" s="127" t="str">
        <f>IF(A125="","",VLOOKUP(A125,'BASE OS'!$A$2:$I1000,2,FALSE))</f>
        <v/>
      </c>
      <c r="C125" s="132"/>
      <c r="D125" s="127"/>
      <c r="E125" s="127"/>
      <c r="F125" s="127"/>
      <c r="G125" s="127"/>
      <c r="H125" s="130"/>
      <c r="I125" s="130"/>
      <c r="J125" s="130">
        <f t="shared" si="1"/>
        <v>0</v>
      </c>
      <c r="K125" s="130"/>
      <c r="L125" s="130"/>
      <c r="M125" s="130">
        <f t="shared" si="2"/>
        <v>0</v>
      </c>
      <c r="N125" s="130"/>
      <c r="O125" s="130"/>
      <c r="P125" s="127"/>
      <c r="Q125" s="127"/>
      <c r="R125" s="127"/>
      <c r="S125" s="127"/>
      <c r="T125" s="127" t="str">
        <f>IF(A125="","",VLOOKUP(A125,'BASE OS'!$A$2:$I1000,4,FALSE))</f>
        <v/>
      </c>
      <c r="U125" s="127"/>
      <c r="V125" s="127"/>
      <c r="W125" s="127" t="str">
        <f t="shared" si="3"/>
        <v/>
      </c>
      <c r="X125" s="127" t="str">
        <f t="shared" si="4"/>
        <v/>
      </c>
      <c r="Y125" s="127" t="str">
        <f t="shared" si="5"/>
        <v/>
      </c>
    </row>
    <row r="126">
      <c r="A126" s="127"/>
      <c r="B126" s="127" t="str">
        <f>IF(A126="","",VLOOKUP(A126,'BASE OS'!$A$2:$I1000,2,FALSE))</f>
        <v/>
      </c>
      <c r="C126" s="132"/>
      <c r="D126" s="127"/>
      <c r="E126" s="127"/>
      <c r="F126" s="127"/>
      <c r="G126" s="127"/>
      <c r="H126" s="130"/>
      <c r="I126" s="130"/>
      <c r="J126" s="130">
        <f t="shared" si="1"/>
        <v>0</v>
      </c>
      <c r="K126" s="130"/>
      <c r="L126" s="130"/>
      <c r="M126" s="130">
        <f t="shared" si="2"/>
        <v>0</v>
      </c>
      <c r="N126" s="130"/>
      <c r="O126" s="130"/>
      <c r="P126" s="127"/>
      <c r="Q126" s="127"/>
      <c r="R126" s="127"/>
      <c r="S126" s="127"/>
      <c r="T126" s="127" t="str">
        <f>IF(A126="","",VLOOKUP(A126,'BASE OS'!$A$2:$I1000,4,FALSE))</f>
        <v/>
      </c>
      <c r="U126" s="127"/>
      <c r="V126" s="127"/>
      <c r="W126" s="127" t="str">
        <f t="shared" si="3"/>
        <v/>
      </c>
      <c r="X126" s="127" t="str">
        <f t="shared" si="4"/>
        <v/>
      </c>
      <c r="Y126" s="127" t="str">
        <f t="shared" si="5"/>
        <v/>
      </c>
    </row>
    <row r="127">
      <c r="A127" s="127"/>
      <c r="B127" s="127" t="str">
        <f>IF(A127="","",VLOOKUP(A127,'BASE OS'!$A$2:$I1000,2,FALSE))</f>
        <v/>
      </c>
      <c r="C127" s="132"/>
      <c r="D127" s="127"/>
      <c r="E127" s="127"/>
      <c r="F127" s="127"/>
      <c r="G127" s="127"/>
      <c r="H127" s="130"/>
      <c r="I127" s="130"/>
      <c r="J127" s="130">
        <f t="shared" si="1"/>
        <v>0</v>
      </c>
      <c r="K127" s="130"/>
      <c r="L127" s="130"/>
      <c r="M127" s="130">
        <f t="shared" si="2"/>
        <v>0</v>
      </c>
      <c r="N127" s="130"/>
      <c r="O127" s="130"/>
      <c r="P127" s="127"/>
      <c r="Q127" s="127"/>
      <c r="R127" s="127"/>
      <c r="S127" s="127"/>
      <c r="T127" s="127" t="str">
        <f>IF(A127="","",VLOOKUP(A127,'BASE OS'!$A$2:$I1000,4,FALSE))</f>
        <v/>
      </c>
      <c r="U127" s="127"/>
      <c r="V127" s="127"/>
      <c r="W127" s="127" t="str">
        <f t="shared" si="3"/>
        <v/>
      </c>
      <c r="X127" s="127" t="str">
        <f t="shared" si="4"/>
        <v/>
      </c>
      <c r="Y127" s="127" t="str">
        <f t="shared" si="5"/>
        <v/>
      </c>
    </row>
    <row r="128">
      <c r="A128" s="127"/>
      <c r="B128" s="127" t="str">
        <f>IF(A128="","",VLOOKUP(A128,'BASE OS'!$A$2:$I1000,2,FALSE))</f>
        <v/>
      </c>
      <c r="C128" s="132"/>
      <c r="D128" s="127"/>
      <c r="E128" s="127"/>
      <c r="F128" s="127"/>
      <c r="G128" s="127"/>
      <c r="H128" s="130"/>
      <c r="I128" s="130"/>
      <c r="J128" s="130">
        <f t="shared" si="1"/>
        <v>0</v>
      </c>
      <c r="K128" s="130"/>
      <c r="L128" s="130"/>
      <c r="M128" s="130">
        <f t="shared" si="2"/>
        <v>0</v>
      </c>
      <c r="N128" s="130"/>
      <c r="O128" s="130"/>
      <c r="P128" s="127"/>
      <c r="Q128" s="127"/>
      <c r="R128" s="127"/>
      <c r="S128" s="127"/>
      <c r="T128" s="127" t="str">
        <f>IF(A128="","",VLOOKUP(A128,'BASE OS'!$A$2:$I1000,4,FALSE))</f>
        <v/>
      </c>
      <c r="U128" s="127"/>
      <c r="V128" s="127"/>
      <c r="W128" s="127" t="str">
        <f t="shared" si="3"/>
        <v/>
      </c>
      <c r="X128" s="127" t="str">
        <f t="shared" si="4"/>
        <v/>
      </c>
      <c r="Y128" s="127" t="str">
        <f t="shared" si="5"/>
        <v/>
      </c>
    </row>
    <row r="129">
      <c r="A129" s="127"/>
      <c r="B129" s="127" t="str">
        <f>IF(A129="","",VLOOKUP(A129,'BASE OS'!$A$2:$I1000,2,FALSE))</f>
        <v/>
      </c>
      <c r="C129" s="132"/>
      <c r="D129" s="127"/>
      <c r="E129" s="127"/>
      <c r="F129" s="127"/>
      <c r="G129" s="127"/>
      <c r="H129" s="130"/>
      <c r="I129" s="130"/>
      <c r="J129" s="130">
        <f t="shared" si="1"/>
        <v>0</v>
      </c>
      <c r="K129" s="130"/>
      <c r="L129" s="130"/>
      <c r="M129" s="130">
        <f t="shared" si="2"/>
        <v>0</v>
      </c>
      <c r="N129" s="130"/>
      <c r="O129" s="130"/>
      <c r="P129" s="127"/>
      <c r="Q129" s="127"/>
      <c r="R129" s="127"/>
      <c r="S129" s="127"/>
      <c r="T129" s="127" t="str">
        <f>IF(A129="","",VLOOKUP(A129,'BASE OS'!$A$2:$I1000,4,FALSE))</f>
        <v/>
      </c>
      <c r="U129" s="127"/>
      <c r="V129" s="127"/>
      <c r="W129" s="127" t="str">
        <f t="shared" si="3"/>
        <v/>
      </c>
      <c r="X129" s="127" t="str">
        <f t="shared" si="4"/>
        <v/>
      </c>
      <c r="Y129" s="127" t="str">
        <f t="shared" si="5"/>
        <v/>
      </c>
    </row>
    <row r="130">
      <c r="A130" s="127"/>
      <c r="B130" s="127" t="str">
        <f>IF(A130="","",VLOOKUP(A130,'BASE OS'!$A$2:$I1000,2,FALSE))</f>
        <v/>
      </c>
      <c r="C130" s="132"/>
      <c r="D130" s="127"/>
      <c r="E130" s="127"/>
      <c r="F130" s="127"/>
      <c r="G130" s="127"/>
      <c r="H130" s="130"/>
      <c r="I130" s="130"/>
      <c r="J130" s="130">
        <f t="shared" si="1"/>
        <v>0</v>
      </c>
      <c r="K130" s="130"/>
      <c r="L130" s="130"/>
      <c r="M130" s="130">
        <f t="shared" si="2"/>
        <v>0</v>
      </c>
      <c r="N130" s="130"/>
      <c r="O130" s="130"/>
      <c r="P130" s="127"/>
      <c r="Q130" s="127"/>
      <c r="R130" s="127"/>
      <c r="S130" s="127"/>
      <c r="T130" s="127" t="str">
        <f>IF(A130="","",VLOOKUP(A130,'BASE OS'!$A$2:$I1000,4,FALSE))</f>
        <v/>
      </c>
      <c r="U130" s="127"/>
      <c r="V130" s="127"/>
      <c r="W130" s="127" t="str">
        <f t="shared" si="3"/>
        <v/>
      </c>
      <c r="X130" s="127" t="str">
        <f t="shared" si="4"/>
        <v/>
      </c>
      <c r="Y130" s="127" t="str">
        <f t="shared" si="5"/>
        <v/>
      </c>
    </row>
    <row r="131">
      <c r="A131" s="127"/>
      <c r="B131" s="127" t="str">
        <f>IF(A131="","",VLOOKUP(A131,'BASE OS'!$A$2:$I1000,2,FALSE))</f>
        <v/>
      </c>
      <c r="C131" s="132"/>
      <c r="D131" s="127"/>
      <c r="E131" s="127"/>
      <c r="F131" s="127"/>
      <c r="G131" s="127"/>
      <c r="H131" s="130"/>
      <c r="I131" s="130"/>
      <c r="J131" s="130">
        <f t="shared" si="1"/>
        <v>0</v>
      </c>
      <c r="K131" s="130"/>
      <c r="L131" s="130"/>
      <c r="M131" s="130">
        <f t="shared" si="2"/>
        <v>0</v>
      </c>
      <c r="N131" s="130"/>
      <c r="O131" s="130"/>
      <c r="P131" s="127"/>
      <c r="Q131" s="127"/>
      <c r="R131" s="127"/>
      <c r="S131" s="127"/>
      <c r="T131" s="127" t="str">
        <f>IF(A131="","",VLOOKUP(A131,'BASE OS'!$A$2:$I1000,4,FALSE))</f>
        <v/>
      </c>
      <c r="U131" s="127"/>
      <c r="V131" s="127"/>
      <c r="W131" s="127" t="str">
        <f t="shared" si="3"/>
        <v/>
      </c>
      <c r="X131" s="127" t="str">
        <f t="shared" si="4"/>
        <v/>
      </c>
      <c r="Y131" s="127" t="str">
        <f t="shared" si="5"/>
        <v/>
      </c>
    </row>
    <row r="132">
      <c r="A132" s="127"/>
      <c r="B132" s="127" t="str">
        <f>IF(A132="","",VLOOKUP(A132,'BASE OS'!$A$2:$I1000,2,FALSE))</f>
        <v/>
      </c>
      <c r="C132" s="132"/>
      <c r="D132" s="127"/>
      <c r="E132" s="127"/>
      <c r="F132" s="127"/>
      <c r="G132" s="127"/>
      <c r="H132" s="130"/>
      <c r="I132" s="130"/>
      <c r="J132" s="130">
        <f t="shared" si="1"/>
        <v>0</v>
      </c>
      <c r="K132" s="130"/>
      <c r="L132" s="130"/>
      <c r="M132" s="130">
        <f t="shared" si="2"/>
        <v>0</v>
      </c>
      <c r="N132" s="130"/>
      <c r="O132" s="130"/>
      <c r="P132" s="127"/>
      <c r="Q132" s="127"/>
      <c r="R132" s="127"/>
      <c r="S132" s="127"/>
      <c r="T132" s="127" t="str">
        <f>IF(A132="","",VLOOKUP(A132,'BASE OS'!$A$2:$I1000,4,FALSE))</f>
        <v/>
      </c>
      <c r="U132" s="127"/>
      <c r="V132" s="127"/>
      <c r="W132" s="127" t="str">
        <f t="shared" si="3"/>
        <v/>
      </c>
      <c r="X132" s="127" t="str">
        <f t="shared" si="4"/>
        <v/>
      </c>
      <c r="Y132" s="127" t="str">
        <f t="shared" si="5"/>
        <v/>
      </c>
    </row>
    <row r="133">
      <c r="A133" s="127"/>
      <c r="B133" s="127" t="str">
        <f>IF(A133="","",VLOOKUP(A133,'BASE OS'!$A$2:$I1000,2,FALSE))</f>
        <v/>
      </c>
      <c r="C133" s="132"/>
      <c r="D133" s="127"/>
      <c r="E133" s="127"/>
      <c r="F133" s="127"/>
      <c r="G133" s="127"/>
      <c r="H133" s="130"/>
      <c r="I133" s="130"/>
      <c r="J133" s="130">
        <f t="shared" si="1"/>
        <v>0</v>
      </c>
      <c r="K133" s="130"/>
      <c r="L133" s="130"/>
      <c r="M133" s="130">
        <f t="shared" si="2"/>
        <v>0</v>
      </c>
      <c r="N133" s="130"/>
      <c r="O133" s="130"/>
      <c r="P133" s="127"/>
      <c r="Q133" s="127"/>
      <c r="R133" s="127"/>
      <c r="S133" s="127"/>
      <c r="T133" s="127" t="str">
        <f>IF(A133="","",VLOOKUP(A133,'BASE OS'!$A$2:$I1000,4,FALSE))</f>
        <v/>
      </c>
      <c r="U133" s="127"/>
      <c r="V133" s="127"/>
      <c r="W133" s="127" t="str">
        <f t="shared" si="3"/>
        <v/>
      </c>
      <c r="X133" s="127" t="str">
        <f t="shared" si="4"/>
        <v/>
      </c>
      <c r="Y133" s="127" t="str">
        <f t="shared" si="5"/>
        <v/>
      </c>
    </row>
    <row r="134">
      <c r="A134" s="127"/>
      <c r="B134" s="127" t="str">
        <f>IF(A134="","",VLOOKUP(A134,'BASE OS'!$A$2:$I1000,2,FALSE))</f>
        <v/>
      </c>
      <c r="C134" s="132"/>
      <c r="D134" s="127"/>
      <c r="E134" s="127"/>
      <c r="F134" s="127"/>
      <c r="G134" s="127"/>
      <c r="H134" s="130"/>
      <c r="I134" s="130"/>
      <c r="J134" s="130">
        <f t="shared" si="1"/>
        <v>0</v>
      </c>
      <c r="K134" s="130"/>
      <c r="L134" s="130"/>
      <c r="M134" s="130">
        <f t="shared" si="2"/>
        <v>0</v>
      </c>
      <c r="N134" s="130"/>
      <c r="O134" s="130"/>
      <c r="P134" s="127"/>
      <c r="Q134" s="127"/>
      <c r="R134" s="127"/>
      <c r="S134" s="127"/>
      <c r="T134" s="127" t="str">
        <f>IF(A134="","",VLOOKUP(A134,'BASE OS'!$A$2:$I1000,4,FALSE))</f>
        <v/>
      </c>
      <c r="U134" s="127"/>
      <c r="V134" s="127"/>
      <c r="W134" s="127" t="str">
        <f t="shared" si="3"/>
        <v/>
      </c>
      <c r="X134" s="127" t="str">
        <f t="shared" si="4"/>
        <v/>
      </c>
      <c r="Y134" s="127" t="str">
        <f t="shared" si="5"/>
        <v/>
      </c>
    </row>
    <row r="135">
      <c r="A135" s="127"/>
      <c r="B135" s="127" t="str">
        <f>IF(A135="","",VLOOKUP(A135,'BASE OS'!$A$2:$I1000,2,FALSE))</f>
        <v/>
      </c>
      <c r="C135" s="132"/>
      <c r="D135" s="127"/>
      <c r="E135" s="127"/>
      <c r="F135" s="127"/>
      <c r="G135" s="127"/>
      <c r="H135" s="130"/>
      <c r="I135" s="130"/>
      <c r="J135" s="130">
        <f t="shared" si="1"/>
        <v>0</v>
      </c>
      <c r="K135" s="130"/>
      <c r="L135" s="130"/>
      <c r="M135" s="130">
        <f t="shared" si="2"/>
        <v>0</v>
      </c>
      <c r="N135" s="130"/>
      <c r="O135" s="130"/>
      <c r="P135" s="127"/>
      <c r="Q135" s="127"/>
      <c r="R135" s="127"/>
      <c r="S135" s="127"/>
      <c r="T135" s="127" t="str">
        <f>IF(A135="","",VLOOKUP(A135,'BASE OS'!$A$2:$I1000,4,FALSE))</f>
        <v/>
      </c>
      <c r="U135" s="127"/>
      <c r="V135" s="127"/>
      <c r="W135" s="127" t="str">
        <f t="shared" si="3"/>
        <v/>
      </c>
      <c r="X135" s="127" t="str">
        <f t="shared" si="4"/>
        <v/>
      </c>
      <c r="Y135" s="127" t="str">
        <f t="shared" si="5"/>
        <v/>
      </c>
    </row>
    <row r="136">
      <c r="A136" s="127"/>
      <c r="B136" s="127" t="str">
        <f>IF(A136="","",VLOOKUP(A136,'BASE OS'!$A$2:$I1000,2,FALSE))</f>
        <v/>
      </c>
      <c r="C136" s="132"/>
      <c r="D136" s="127"/>
      <c r="E136" s="127"/>
      <c r="F136" s="127"/>
      <c r="G136" s="127"/>
      <c r="H136" s="130"/>
      <c r="I136" s="130"/>
      <c r="J136" s="130">
        <f t="shared" si="1"/>
        <v>0</v>
      </c>
      <c r="K136" s="130"/>
      <c r="L136" s="130"/>
      <c r="M136" s="130">
        <f t="shared" si="2"/>
        <v>0</v>
      </c>
      <c r="N136" s="130"/>
      <c r="O136" s="130"/>
      <c r="P136" s="127"/>
      <c r="Q136" s="127"/>
      <c r="R136" s="127"/>
      <c r="S136" s="127"/>
      <c r="T136" s="127" t="str">
        <f>IF(A136="","",VLOOKUP(A136,'BASE OS'!$A$2:$I1000,4,FALSE))</f>
        <v/>
      </c>
      <c r="U136" s="127"/>
      <c r="V136" s="127"/>
      <c r="W136" s="127" t="str">
        <f t="shared" si="3"/>
        <v/>
      </c>
      <c r="X136" s="127" t="str">
        <f t="shared" si="4"/>
        <v/>
      </c>
      <c r="Y136" s="127" t="str">
        <f t="shared" si="5"/>
        <v/>
      </c>
    </row>
    <row r="137">
      <c r="A137" s="127"/>
      <c r="B137" s="127" t="str">
        <f>IF(A137="","",VLOOKUP(A137,'BASE OS'!$A$2:$I1000,2,FALSE))</f>
        <v/>
      </c>
      <c r="C137" s="132"/>
      <c r="D137" s="127"/>
      <c r="E137" s="127"/>
      <c r="F137" s="127"/>
      <c r="G137" s="127"/>
      <c r="H137" s="130"/>
      <c r="I137" s="130"/>
      <c r="J137" s="130">
        <f t="shared" si="1"/>
        <v>0</v>
      </c>
      <c r="K137" s="130"/>
      <c r="L137" s="130"/>
      <c r="M137" s="130">
        <f t="shared" si="2"/>
        <v>0</v>
      </c>
      <c r="N137" s="130"/>
      <c r="O137" s="130"/>
      <c r="P137" s="127"/>
      <c r="Q137" s="127"/>
      <c r="R137" s="127"/>
      <c r="S137" s="127"/>
      <c r="T137" s="127" t="str">
        <f>IF(A137="","",VLOOKUP(A137,'BASE OS'!$A$2:$I1000,4,FALSE))</f>
        <v/>
      </c>
      <c r="U137" s="127"/>
      <c r="V137" s="127"/>
      <c r="W137" s="127" t="str">
        <f t="shared" si="3"/>
        <v/>
      </c>
      <c r="X137" s="127" t="str">
        <f t="shared" si="4"/>
        <v/>
      </c>
      <c r="Y137" s="127" t="str">
        <f t="shared" si="5"/>
        <v/>
      </c>
    </row>
    <row r="138">
      <c r="A138" s="127"/>
      <c r="B138" s="127" t="str">
        <f>IF(A138="","",VLOOKUP(A138,'BASE OS'!$A$2:$I1000,2,FALSE))</f>
        <v/>
      </c>
      <c r="C138" s="132"/>
      <c r="D138" s="127"/>
      <c r="E138" s="127"/>
      <c r="F138" s="127"/>
      <c r="G138" s="127"/>
      <c r="H138" s="130"/>
      <c r="I138" s="130"/>
      <c r="J138" s="130">
        <f t="shared" si="1"/>
        <v>0</v>
      </c>
      <c r="K138" s="130"/>
      <c r="L138" s="130"/>
      <c r="M138" s="130">
        <f t="shared" si="2"/>
        <v>0</v>
      </c>
      <c r="N138" s="130"/>
      <c r="O138" s="130"/>
      <c r="P138" s="127"/>
      <c r="Q138" s="127"/>
      <c r="R138" s="127"/>
      <c r="S138" s="127"/>
      <c r="T138" s="127" t="str">
        <f>IF(A138="","",VLOOKUP(A138,'BASE OS'!$A$2:$I1000,4,FALSE))</f>
        <v/>
      </c>
      <c r="U138" s="127"/>
      <c r="V138" s="127"/>
      <c r="W138" s="127" t="str">
        <f t="shared" si="3"/>
        <v/>
      </c>
      <c r="X138" s="127" t="str">
        <f t="shared" si="4"/>
        <v/>
      </c>
      <c r="Y138" s="127" t="str">
        <f t="shared" si="5"/>
        <v/>
      </c>
    </row>
    <row r="139">
      <c r="A139" s="127"/>
      <c r="B139" s="127" t="str">
        <f>IF(A139="","",VLOOKUP(A139,'BASE OS'!$A$2:$I1000,2,FALSE))</f>
        <v/>
      </c>
      <c r="C139" s="132"/>
      <c r="D139" s="127"/>
      <c r="E139" s="127"/>
      <c r="F139" s="127"/>
      <c r="G139" s="127"/>
      <c r="H139" s="130"/>
      <c r="I139" s="130"/>
      <c r="J139" s="130">
        <f t="shared" si="1"/>
        <v>0</v>
      </c>
      <c r="K139" s="130"/>
      <c r="L139" s="130"/>
      <c r="M139" s="130">
        <f t="shared" si="2"/>
        <v>0</v>
      </c>
      <c r="N139" s="130"/>
      <c r="O139" s="130"/>
      <c r="P139" s="127"/>
      <c r="Q139" s="127"/>
      <c r="R139" s="127"/>
      <c r="S139" s="127"/>
      <c r="T139" s="127" t="str">
        <f>IF(A139="","",VLOOKUP(A139,'BASE OS'!$A$2:$I1000,4,FALSE))</f>
        <v/>
      </c>
      <c r="U139" s="127"/>
      <c r="V139" s="127"/>
      <c r="W139" s="127" t="str">
        <f t="shared" si="3"/>
        <v/>
      </c>
      <c r="X139" s="127" t="str">
        <f t="shared" si="4"/>
        <v/>
      </c>
      <c r="Y139" s="127" t="str">
        <f t="shared" si="5"/>
        <v/>
      </c>
    </row>
    <row r="140">
      <c r="A140" s="127"/>
      <c r="B140" s="127" t="str">
        <f>IF(A140="","",VLOOKUP(A140,'BASE OS'!$A$2:$I1000,2,FALSE))</f>
        <v/>
      </c>
      <c r="C140" s="132"/>
      <c r="D140" s="127"/>
      <c r="E140" s="127"/>
      <c r="F140" s="127"/>
      <c r="G140" s="127"/>
      <c r="H140" s="130"/>
      <c r="I140" s="130"/>
      <c r="J140" s="130">
        <f t="shared" si="1"/>
        <v>0</v>
      </c>
      <c r="K140" s="130"/>
      <c r="L140" s="130"/>
      <c r="M140" s="130">
        <f t="shared" si="2"/>
        <v>0</v>
      </c>
      <c r="N140" s="130"/>
      <c r="O140" s="130"/>
      <c r="P140" s="127"/>
      <c r="Q140" s="127"/>
      <c r="R140" s="127"/>
      <c r="S140" s="127"/>
      <c r="T140" s="127" t="str">
        <f>IF(A140="","",VLOOKUP(A140,'BASE OS'!$A$2:$I1000,4,FALSE))</f>
        <v/>
      </c>
      <c r="U140" s="127"/>
      <c r="V140" s="127"/>
      <c r="W140" s="127" t="str">
        <f t="shared" si="3"/>
        <v/>
      </c>
      <c r="X140" s="127" t="str">
        <f t="shared" si="4"/>
        <v/>
      </c>
      <c r="Y140" s="127" t="str">
        <f t="shared" si="5"/>
        <v/>
      </c>
    </row>
    <row r="141">
      <c r="A141" s="127"/>
      <c r="B141" s="127" t="str">
        <f>IF(A141="","",VLOOKUP(A141,'BASE OS'!$A$2:$I1000,2,FALSE))</f>
        <v/>
      </c>
      <c r="C141" s="132"/>
      <c r="D141" s="127"/>
      <c r="E141" s="127"/>
      <c r="F141" s="127"/>
      <c r="G141" s="127"/>
      <c r="H141" s="130"/>
      <c r="I141" s="130"/>
      <c r="J141" s="130">
        <f t="shared" si="1"/>
        <v>0</v>
      </c>
      <c r="K141" s="130"/>
      <c r="L141" s="130"/>
      <c r="M141" s="130">
        <f t="shared" si="2"/>
        <v>0</v>
      </c>
      <c r="N141" s="130"/>
      <c r="O141" s="130"/>
      <c r="P141" s="127"/>
      <c r="Q141" s="127"/>
      <c r="R141" s="127"/>
      <c r="S141" s="127"/>
      <c r="T141" s="127" t="str">
        <f>IF(A141="","",VLOOKUP(A141,'BASE OS'!$A$2:$I1000,4,FALSE))</f>
        <v/>
      </c>
      <c r="U141" s="127"/>
      <c r="V141" s="127"/>
      <c r="W141" s="127" t="str">
        <f t="shared" si="3"/>
        <v/>
      </c>
      <c r="X141" s="127" t="str">
        <f t="shared" si="4"/>
        <v/>
      </c>
      <c r="Y141" s="127" t="str">
        <f t="shared" si="5"/>
        <v/>
      </c>
    </row>
    <row r="142">
      <c r="A142" s="127"/>
      <c r="B142" s="127" t="str">
        <f>IF(A142="","",VLOOKUP(A142,'BASE OS'!$A$2:$I1000,2,FALSE))</f>
        <v/>
      </c>
      <c r="C142" s="132"/>
      <c r="D142" s="127"/>
      <c r="E142" s="127"/>
      <c r="F142" s="127"/>
      <c r="G142" s="127"/>
      <c r="H142" s="130"/>
      <c r="I142" s="130"/>
      <c r="J142" s="130">
        <f t="shared" si="1"/>
        <v>0</v>
      </c>
      <c r="K142" s="130"/>
      <c r="L142" s="130"/>
      <c r="M142" s="130">
        <f t="shared" si="2"/>
        <v>0</v>
      </c>
      <c r="N142" s="130"/>
      <c r="O142" s="130"/>
      <c r="P142" s="127"/>
      <c r="Q142" s="127"/>
      <c r="R142" s="127"/>
      <c r="S142" s="127"/>
      <c r="T142" s="127" t="str">
        <f>IF(A142="","",VLOOKUP(A142,'BASE OS'!$A$2:$I1000,4,FALSE))</f>
        <v/>
      </c>
      <c r="U142" s="127"/>
      <c r="V142" s="127"/>
      <c r="W142" s="127" t="str">
        <f t="shared" si="3"/>
        <v/>
      </c>
      <c r="X142" s="127" t="str">
        <f t="shared" si="4"/>
        <v/>
      </c>
      <c r="Y142" s="127" t="str">
        <f t="shared" si="5"/>
        <v/>
      </c>
    </row>
    <row r="143">
      <c r="A143" s="127"/>
      <c r="B143" s="127" t="str">
        <f>IF(A143="","",VLOOKUP(A143,'BASE OS'!$A$2:$I1000,2,FALSE))</f>
        <v/>
      </c>
      <c r="C143" s="132"/>
      <c r="D143" s="127"/>
      <c r="E143" s="127"/>
      <c r="F143" s="127"/>
      <c r="G143" s="127"/>
      <c r="H143" s="130"/>
      <c r="I143" s="130"/>
      <c r="J143" s="130">
        <f t="shared" si="1"/>
        <v>0</v>
      </c>
      <c r="K143" s="130"/>
      <c r="L143" s="130"/>
      <c r="M143" s="130">
        <f t="shared" si="2"/>
        <v>0</v>
      </c>
      <c r="N143" s="130"/>
      <c r="O143" s="130"/>
      <c r="P143" s="127"/>
      <c r="Q143" s="127"/>
      <c r="R143" s="127"/>
      <c r="S143" s="127"/>
      <c r="T143" s="127" t="str">
        <f>IF(A143="","",VLOOKUP(A143,'BASE OS'!$A$2:$I1000,4,FALSE))</f>
        <v/>
      </c>
      <c r="U143" s="127"/>
      <c r="V143" s="127"/>
      <c r="W143" s="127" t="str">
        <f t="shared" si="3"/>
        <v/>
      </c>
      <c r="X143" s="127" t="str">
        <f t="shared" si="4"/>
        <v/>
      </c>
      <c r="Y143" s="127" t="str">
        <f t="shared" si="5"/>
        <v/>
      </c>
    </row>
    <row r="144">
      <c r="A144" s="127"/>
      <c r="B144" s="127" t="str">
        <f>IF(A144="","",VLOOKUP(A144,'BASE OS'!$A$2:$I1000,2,FALSE))</f>
        <v/>
      </c>
      <c r="C144" s="132"/>
      <c r="D144" s="127"/>
      <c r="E144" s="127"/>
      <c r="F144" s="127"/>
      <c r="G144" s="127"/>
      <c r="H144" s="130"/>
      <c r="I144" s="130"/>
      <c r="J144" s="130">
        <f t="shared" si="1"/>
        <v>0</v>
      </c>
      <c r="K144" s="130"/>
      <c r="L144" s="130"/>
      <c r="M144" s="130">
        <f t="shared" si="2"/>
        <v>0</v>
      </c>
      <c r="N144" s="130"/>
      <c r="O144" s="130"/>
      <c r="P144" s="127"/>
      <c r="Q144" s="127"/>
      <c r="R144" s="127"/>
      <c r="S144" s="127"/>
      <c r="T144" s="127" t="str">
        <f>IF(A144="","",VLOOKUP(A144,'BASE OS'!$A$2:$I1000,4,FALSE))</f>
        <v/>
      </c>
      <c r="U144" s="127"/>
      <c r="V144" s="127"/>
      <c r="W144" s="127" t="str">
        <f t="shared" si="3"/>
        <v/>
      </c>
      <c r="X144" s="127" t="str">
        <f t="shared" si="4"/>
        <v/>
      </c>
      <c r="Y144" s="127" t="str">
        <f t="shared" si="5"/>
        <v/>
      </c>
    </row>
    <row r="145">
      <c r="A145" s="127"/>
      <c r="B145" s="127" t="str">
        <f>IF(A145="","",VLOOKUP(A145,'BASE OS'!$A$2:$I1000,2,FALSE))</f>
        <v/>
      </c>
      <c r="C145" s="132"/>
      <c r="D145" s="127"/>
      <c r="E145" s="127"/>
      <c r="F145" s="127"/>
      <c r="G145" s="127"/>
      <c r="H145" s="130"/>
      <c r="I145" s="130"/>
      <c r="J145" s="130">
        <f t="shared" si="1"/>
        <v>0</v>
      </c>
      <c r="K145" s="130"/>
      <c r="L145" s="130"/>
      <c r="M145" s="130">
        <f t="shared" si="2"/>
        <v>0</v>
      </c>
      <c r="N145" s="130"/>
      <c r="O145" s="130"/>
      <c r="P145" s="127"/>
      <c r="Q145" s="127"/>
      <c r="R145" s="127"/>
      <c r="S145" s="127"/>
      <c r="T145" s="127" t="str">
        <f>IF(A145="","",VLOOKUP(A145,'BASE OS'!$A$2:$I1000,4,FALSE))</f>
        <v/>
      </c>
      <c r="U145" s="127"/>
      <c r="V145" s="127"/>
      <c r="W145" s="127" t="str">
        <f t="shared" si="3"/>
        <v/>
      </c>
      <c r="X145" s="127" t="str">
        <f t="shared" si="4"/>
        <v/>
      </c>
      <c r="Y145" s="127" t="str">
        <f t="shared" si="5"/>
        <v/>
      </c>
    </row>
    <row r="146">
      <c r="A146" s="127"/>
      <c r="B146" s="127" t="str">
        <f>IF(A146="","",VLOOKUP(A146,'BASE OS'!$A$2:$I1000,2,FALSE))</f>
        <v/>
      </c>
      <c r="C146" s="132"/>
      <c r="D146" s="127"/>
      <c r="E146" s="127"/>
      <c r="F146" s="127"/>
      <c r="G146" s="127"/>
      <c r="H146" s="130"/>
      <c r="I146" s="130"/>
      <c r="J146" s="130">
        <f t="shared" si="1"/>
        <v>0</v>
      </c>
      <c r="K146" s="130"/>
      <c r="L146" s="130"/>
      <c r="M146" s="130">
        <f t="shared" si="2"/>
        <v>0</v>
      </c>
      <c r="N146" s="130"/>
      <c r="O146" s="130"/>
      <c r="P146" s="127"/>
      <c r="Q146" s="127"/>
      <c r="R146" s="127"/>
      <c r="S146" s="127"/>
      <c r="T146" s="127" t="str">
        <f>IF(A146="","",VLOOKUP(A146,'BASE OS'!$A$2:$I1000,4,FALSE))</f>
        <v/>
      </c>
      <c r="U146" s="127"/>
      <c r="V146" s="127"/>
      <c r="W146" s="127" t="str">
        <f t="shared" si="3"/>
        <v/>
      </c>
      <c r="X146" s="127" t="str">
        <f t="shared" si="4"/>
        <v/>
      </c>
      <c r="Y146" s="127" t="str">
        <f t="shared" si="5"/>
        <v/>
      </c>
    </row>
    <row r="147">
      <c r="A147" s="127"/>
      <c r="B147" s="127" t="str">
        <f>IF(A147="","",VLOOKUP(A147,'BASE OS'!$A$2:$I1000,2,FALSE))</f>
        <v/>
      </c>
      <c r="C147" s="132"/>
      <c r="D147" s="127"/>
      <c r="E147" s="127"/>
      <c r="F147" s="127"/>
      <c r="G147" s="127"/>
      <c r="H147" s="130"/>
      <c r="I147" s="130"/>
      <c r="J147" s="130">
        <f t="shared" si="1"/>
        <v>0</v>
      </c>
      <c r="K147" s="130"/>
      <c r="L147" s="130"/>
      <c r="M147" s="130">
        <f t="shared" si="2"/>
        <v>0</v>
      </c>
      <c r="N147" s="130"/>
      <c r="O147" s="130"/>
      <c r="P147" s="127"/>
      <c r="Q147" s="127"/>
      <c r="R147" s="127"/>
      <c r="S147" s="127"/>
      <c r="T147" s="127" t="str">
        <f>IF(A147="","",VLOOKUP(A147,'BASE OS'!$A$2:$I1000,4,FALSE))</f>
        <v/>
      </c>
      <c r="U147" s="127"/>
      <c r="V147" s="127"/>
      <c r="W147" s="127" t="str">
        <f t="shared" si="3"/>
        <v/>
      </c>
      <c r="X147" s="127" t="str">
        <f t="shared" si="4"/>
        <v/>
      </c>
      <c r="Y147" s="127" t="str">
        <f t="shared" si="5"/>
        <v/>
      </c>
    </row>
    <row r="148">
      <c r="A148" s="127"/>
      <c r="B148" s="127" t="str">
        <f>IF(A148="","",VLOOKUP(A148,'BASE OS'!$A$2:$I1000,2,FALSE))</f>
        <v/>
      </c>
      <c r="C148" s="132"/>
      <c r="D148" s="127"/>
      <c r="E148" s="127"/>
      <c r="F148" s="127"/>
      <c r="G148" s="127"/>
      <c r="H148" s="130"/>
      <c r="I148" s="130"/>
      <c r="J148" s="130">
        <f t="shared" si="1"/>
        <v>0</v>
      </c>
      <c r="K148" s="130"/>
      <c r="L148" s="130"/>
      <c r="M148" s="130">
        <f t="shared" si="2"/>
        <v>0</v>
      </c>
      <c r="N148" s="130"/>
      <c r="O148" s="130"/>
      <c r="P148" s="127"/>
      <c r="Q148" s="127"/>
      <c r="R148" s="127"/>
      <c r="S148" s="127"/>
      <c r="T148" s="127" t="str">
        <f>IF(A148="","",VLOOKUP(A148,'BASE OS'!$A$2:$I1000,4,FALSE))</f>
        <v/>
      </c>
      <c r="U148" s="127"/>
      <c r="V148" s="127"/>
      <c r="W148" s="127" t="str">
        <f t="shared" si="3"/>
        <v/>
      </c>
      <c r="X148" s="127" t="str">
        <f t="shared" si="4"/>
        <v/>
      </c>
      <c r="Y148" s="127" t="str">
        <f t="shared" si="5"/>
        <v/>
      </c>
    </row>
    <row r="149">
      <c r="A149" s="127"/>
      <c r="B149" s="127" t="str">
        <f>IF(A149="","",VLOOKUP(A149,'BASE OS'!$A$2:$I1000,2,FALSE))</f>
        <v/>
      </c>
      <c r="C149" s="132"/>
      <c r="D149" s="127"/>
      <c r="E149" s="127"/>
      <c r="F149" s="127"/>
      <c r="G149" s="127"/>
      <c r="H149" s="130"/>
      <c r="I149" s="130"/>
      <c r="J149" s="130">
        <f t="shared" si="1"/>
        <v>0</v>
      </c>
      <c r="K149" s="130"/>
      <c r="L149" s="130"/>
      <c r="M149" s="130">
        <f t="shared" si="2"/>
        <v>0</v>
      </c>
      <c r="N149" s="130"/>
      <c r="O149" s="130"/>
      <c r="P149" s="127"/>
      <c r="Q149" s="127"/>
      <c r="R149" s="127"/>
      <c r="S149" s="127"/>
      <c r="T149" s="127" t="str">
        <f>IF(A149="","",VLOOKUP(A149,'BASE OS'!$A$2:$I1000,4,FALSE))</f>
        <v/>
      </c>
      <c r="U149" s="127"/>
      <c r="V149" s="127"/>
      <c r="W149" s="127" t="str">
        <f t="shared" si="3"/>
        <v/>
      </c>
      <c r="X149" s="127" t="str">
        <f t="shared" si="4"/>
        <v/>
      </c>
      <c r="Y149" s="127" t="str">
        <f t="shared" si="5"/>
        <v/>
      </c>
    </row>
    <row r="150">
      <c r="A150" s="127"/>
      <c r="B150" s="127" t="str">
        <f>IF(A150="","",VLOOKUP(A150,'BASE OS'!$A$2:$I1000,2,FALSE))</f>
        <v/>
      </c>
      <c r="C150" s="132"/>
      <c r="D150" s="127"/>
      <c r="E150" s="127"/>
      <c r="F150" s="127"/>
      <c r="G150" s="127"/>
      <c r="H150" s="130"/>
      <c r="I150" s="130"/>
      <c r="J150" s="130">
        <f t="shared" si="1"/>
        <v>0</v>
      </c>
      <c r="K150" s="130"/>
      <c r="L150" s="130"/>
      <c r="M150" s="130">
        <f t="shared" si="2"/>
        <v>0</v>
      </c>
      <c r="N150" s="130"/>
      <c r="O150" s="130"/>
      <c r="P150" s="127"/>
      <c r="Q150" s="127"/>
      <c r="R150" s="127"/>
      <c r="S150" s="127"/>
      <c r="T150" s="127" t="str">
        <f>IF(A150="","",VLOOKUP(A150,'BASE OS'!$A$2:$I1000,4,FALSE))</f>
        <v/>
      </c>
      <c r="U150" s="127"/>
      <c r="V150" s="127"/>
      <c r="W150" s="127" t="str">
        <f t="shared" si="3"/>
        <v/>
      </c>
      <c r="X150" s="127" t="str">
        <f t="shared" si="4"/>
        <v/>
      </c>
      <c r="Y150" s="127" t="str">
        <f t="shared" si="5"/>
        <v/>
      </c>
    </row>
    <row r="151">
      <c r="A151" s="127"/>
      <c r="B151" s="127" t="str">
        <f>IF(A151="","",VLOOKUP(A151,'BASE OS'!$A$2:$I1000,2,FALSE))</f>
        <v/>
      </c>
      <c r="C151" s="132"/>
      <c r="D151" s="127"/>
      <c r="E151" s="127"/>
      <c r="F151" s="127"/>
      <c r="G151" s="127"/>
      <c r="H151" s="130"/>
      <c r="I151" s="130"/>
      <c r="J151" s="130">
        <f t="shared" si="1"/>
        <v>0</v>
      </c>
      <c r="K151" s="130"/>
      <c r="L151" s="130"/>
      <c r="M151" s="130">
        <f t="shared" si="2"/>
        <v>0</v>
      </c>
      <c r="N151" s="130"/>
      <c r="O151" s="130"/>
      <c r="P151" s="127"/>
      <c r="Q151" s="127"/>
      <c r="R151" s="127"/>
      <c r="S151" s="127"/>
      <c r="T151" s="127" t="str">
        <f>IF(A151="","",VLOOKUP(A151,'BASE OS'!$A$2:$I1000,4,FALSE))</f>
        <v/>
      </c>
      <c r="U151" s="127"/>
      <c r="V151" s="127"/>
      <c r="W151" s="127" t="str">
        <f t="shared" si="3"/>
        <v/>
      </c>
      <c r="X151" s="127" t="str">
        <f t="shared" si="4"/>
        <v/>
      </c>
      <c r="Y151" s="127" t="str">
        <f t="shared" si="5"/>
        <v/>
      </c>
    </row>
    <row r="152">
      <c r="A152" s="127"/>
      <c r="B152" s="127" t="str">
        <f>IF(A152="","",VLOOKUP(A152,'BASE OS'!$A$2:$I1000,2,FALSE))</f>
        <v/>
      </c>
      <c r="C152" s="132"/>
      <c r="D152" s="127"/>
      <c r="E152" s="127"/>
      <c r="F152" s="127"/>
      <c r="G152" s="127"/>
      <c r="H152" s="130"/>
      <c r="I152" s="130"/>
      <c r="J152" s="130">
        <f t="shared" si="1"/>
        <v>0</v>
      </c>
      <c r="K152" s="130"/>
      <c r="L152" s="130"/>
      <c r="M152" s="130">
        <f t="shared" si="2"/>
        <v>0</v>
      </c>
      <c r="N152" s="130"/>
      <c r="O152" s="130"/>
      <c r="P152" s="127"/>
      <c r="Q152" s="127"/>
      <c r="R152" s="127"/>
      <c r="S152" s="127"/>
      <c r="T152" s="127" t="str">
        <f>IF(A152="","",VLOOKUP(A152,'BASE OS'!$A$2:$I1000,4,FALSE))</f>
        <v/>
      </c>
      <c r="U152" s="127"/>
      <c r="V152" s="127"/>
      <c r="W152" s="127" t="str">
        <f t="shared" si="3"/>
        <v/>
      </c>
      <c r="X152" s="127" t="str">
        <f t="shared" si="4"/>
        <v/>
      </c>
      <c r="Y152" s="127" t="str">
        <f t="shared" si="5"/>
        <v/>
      </c>
    </row>
    <row r="153">
      <c r="A153" s="127"/>
      <c r="B153" s="127" t="str">
        <f>IF(A153="","",VLOOKUP(A153,'BASE OS'!$A$2:$I1000,2,FALSE))</f>
        <v/>
      </c>
      <c r="C153" s="132"/>
      <c r="D153" s="127"/>
      <c r="E153" s="127"/>
      <c r="F153" s="127"/>
      <c r="G153" s="127"/>
      <c r="H153" s="130"/>
      <c r="I153" s="130"/>
      <c r="J153" s="130">
        <f t="shared" si="1"/>
        <v>0</v>
      </c>
      <c r="K153" s="130"/>
      <c r="L153" s="130"/>
      <c r="M153" s="130">
        <f t="shared" si="2"/>
        <v>0</v>
      </c>
      <c r="N153" s="130"/>
      <c r="O153" s="130"/>
      <c r="P153" s="127"/>
      <c r="Q153" s="127"/>
      <c r="R153" s="127"/>
      <c r="S153" s="127"/>
      <c r="T153" s="127" t="str">
        <f>IF(A153="","",VLOOKUP(A153,'BASE OS'!$A$2:$I1000,4,FALSE))</f>
        <v/>
      </c>
      <c r="U153" s="127"/>
      <c r="V153" s="127"/>
      <c r="W153" s="127" t="str">
        <f t="shared" si="3"/>
        <v/>
      </c>
      <c r="X153" s="127" t="str">
        <f t="shared" si="4"/>
        <v/>
      </c>
      <c r="Y153" s="127" t="str">
        <f t="shared" si="5"/>
        <v/>
      </c>
    </row>
    <row r="154">
      <c r="A154" s="127"/>
      <c r="B154" s="127" t="str">
        <f>IF(A154="","",VLOOKUP(A154,'BASE OS'!$A$2:$I1000,2,FALSE))</f>
        <v/>
      </c>
      <c r="C154" s="132"/>
      <c r="D154" s="127"/>
      <c r="E154" s="127"/>
      <c r="F154" s="127"/>
      <c r="G154" s="127"/>
      <c r="H154" s="130"/>
      <c r="I154" s="130"/>
      <c r="J154" s="130">
        <f t="shared" si="1"/>
        <v>0</v>
      </c>
      <c r="K154" s="130"/>
      <c r="L154" s="130"/>
      <c r="M154" s="130">
        <f t="shared" si="2"/>
        <v>0</v>
      </c>
      <c r="N154" s="130"/>
      <c r="O154" s="130"/>
      <c r="P154" s="127"/>
      <c r="Q154" s="127"/>
      <c r="R154" s="127"/>
      <c r="S154" s="127"/>
      <c r="T154" s="127" t="str">
        <f>IF(A154="","",VLOOKUP(A154,'BASE OS'!$A$2:$I1000,4,FALSE))</f>
        <v/>
      </c>
      <c r="U154" s="127"/>
      <c r="V154" s="127"/>
      <c r="W154" s="127" t="str">
        <f t="shared" si="3"/>
        <v/>
      </c>
      <c r="X154" s="127" t="str">
        <f t="shared" si="4"/>
        <v/>
      </c>
      <c r="Y154" s="127" t="str">
        <f t="shared" si="5"/>
        <v/>
      </c>
    </row>
    <row r="155">
      <c r="A155" s="127"/>
      <c r="B155" s="127" t="str">
        <f>IF(A155="","",VLOOKUP(A155,'BASE OS'!$A$2:$I1000,2,FALSE))</f>
        <v/>
      </c>
      <c r="C155" s="132"/>
      <c r="D155" s="127"/>
      <c r="E155" s="127"/>
      <c r="F155" s="127"/>
      <c r="G155" s="127"/>
      <c r="H155" s="130"/>
      <c r="I155" s="130"/>
      <c r="J155" s="130">
        <f t="shared" si="1"/>
        <v>0</v>
      </c>
      <c r="K155" s="130"/>
      <c r="L155" s="130"/>
      <c r="M155" s="130">
        <f t="shared" si="2"/>
        <v>0</v>
      </c>
      <c r="N155" s="130"/>
      <c r="O155" s="130"/>
      <c r="P155" s="127"/>
      <c r="Q155" s="127"/>
      <c r="R155" s="127"/>
      <c r="S155" s="127"/>
      <c r="T155" s="127" t="str">
        <f>IF(A155="","",VLOOKUP(A155,'BASE OS'!$A$2:$I1000,4,FALSE))</f>
        <v/>
      </c>
      <c r="U155" s="127"/>
      <c r="V155" s="127"/>
      <c r="W155" s="127" t="str">
        <f t="shared" si="3"/>
        <v/>
      </c>
      <c r="X155" s="127" t="str">
        <f t="shared" si="4"/>
        <v/>
      </c>
      <c r="Y155" s="127" t="str">
        <f t="shared" si="5"/>
        <v/>
      </c>
    </row>
    <row r="156">
      <c r="A156" s="127"/>
      <c r="B156" s="127" t="str">
        <f>IF(A156="","",VLOOKUP(A156,'BASE OS'!$A$2:$I1000,2,FALSE))</f>
        <v/>
      </c>
      <c r="C156" s="132"/>
      <c r="D156" s="127"/>
      <c r="E156" s="127"/>
      <c r="F156" s="127"/>
      <c r="G156" s="127"/>
      <c r="H156" s="130"/>
      <c r="I156" s="130"/>
      <c r="J156" s="130">
        <f t="shared" si="1"/>
        <v>0</v>
      </c>
      <c r="K156" s="130"/>
      <c r="L156" s="130"/>
      <c r="M156" s="130">
        <f t="shared" si="2"/>
        <v>0</v>
      </c>
      <c r="N156" s="130"/>
      <c r="O156" s="130"/>
      <c r="P156" s="127"/>
      <c r="Q156" s="127"/>
      <c r="R156" s="127"/>
      <c r="S156" s="127"/>
      <c r="T156" s="127" t="str">
        <f>IF(A156="","",VLOOKUP(A156,'BASE OS'!$A$2:$I1000,4,FALSE))</f>
        <v/>
      </c>
      <c r="U156" s="127"/>
      <c r="V156" s="127"/>
      <c r="W156" s="127" t="str">
        <f t="shared" si="3"/>
        <v/>
      </c>
      <c r="X156" s="127" t="str">
        <f t="shared" si="4"/>
        <v/>
      </c>
      <c r="Y156" s="127" t="str">
        <f t="shared" si="5"/>
        <v/>
      </c>
    </row>
    <row r="157">
      <c r="A157" s="127"/>
      <c r="B157" s="127" t="str">
        <f>IF(A157="","",VLOOKUP(A157,'BASE OS'!$A$2:$I1000,2,FALSE))</f>
        <v/>
      </c>
      <c r="C157" s="132"/>
      <c r="D157" s="127"/>
      <c r="E157" s="127"/>
      <c r="F157" s="127"/>
      <c r="G157" s="127"/>
      <c r="H157" s="130"/>
      <c r="I157" s="130"/>
      <c r="J157" s="130">
        <f t="shared" si="1"/>
        <v>0</v>
      </c>
      <c r="K157" s="130"/>
      <c r="L157" s="130"/>
      <c r="M157" s="130">
        <f t="shared" si="2"/>
        <v>0</v>
      </c>
      <c r="N157" s="130"/>
      <c r="O157" s="130"/>
      <c r="P157" s="127"/>
      <c r="Q157" s="127"/>
      <c r="R157" s="127"/>
      <c r="S157" s="127"/>
      <c r="T157" s="127" t="str">
        <f>IF(A157="","",VLOOKUP(A157,'BASE OS'!$A$2:$I1000,4,FALSE))</f>
        <v/>
      </c>
      <c r="U157" s="127"/>
      <c r="V157" s="127"/>
      <c r="W157" s="127" t="str">
        <f t="shared" si="3"/>
        <v/>
      </c>
      <c r="X157" s="127" t="str">
        <f t="shared" si="4"/>
        <v/>
      </c>
      <c r="Y157" s="127" t="str">
        <f t="shared" si="5"/>
        <v/>
      </c>
    </row>
    <row r="158">
      <c r="A158" s="127"/>
      <c r="B158" s="127" t="str">
        <f>IF(A158="","",VLOOKUP(A158,'BASE OS'!$A$2:$I1000,2,FALSE))</f>
        <v/>
      </c>
      <c r="C158" s="132"/>
      <c r="D158" s="127"/>
      <c r="E158" s="127"/>
      <c r="F158" s="127"/>
      <c r="G158" s="127"/>
      <c r="H158" s="130"/>
      <c r="I158" s="130"/>
      <c r="J158" s="130">
        <f t="shared" si="1"/>
        <v>0</v>
      </c>
      <c r="K158" s="130"/>
      <c r="L158" s="130"/>
      <c r="M158" s="130">
        <f t="shared" si="2"/>
        <v>0</v>
      </c>
      <c r="N158" s="130"/>
      <c r="O158" s="130"/>
      <c r="P158" s="127"/>
      <c r="Q158" s="127"/>
      <c r="R158" s="127"/>
      <c r="S158" s="127"/>
      <c r="T158" s="127" t="str">
        <f>IF(A158="","",VLOOKUP(A158,'BASE OS'!$A$2:$I1000,4,FALSE))</f>
        <v/>
      </c>
      <c r="U158" s="127"/>
      <c r="V158" s="127"/>
      <c r="W158" s="127" t="str">
        <f t="shared" si="3"/>
        <v/>
      </c>
      <c r="X158" s="127" t="str">
        <f t="shared" si="4"/>
        <v/>
      </c>
      <c r="Y158" s="127" t="str">
        <f t="shared" si="5"/>
        <v/>
      </c>
    </row>
    <row r="159">
      <c r="A159" s="127"/>
      <c r="B159" s="127" t="str">
        <f>IF(A159="","",VLOOKUP(A159,'BASE OS'!$A$2:$I1000,2,FALSE))</f>
        <v/>
      </c>
      <c r="C159" s="132"/>
      <c r="D159" s="127"/>
      <c r="E159" s="127"/>
      <c r="F159" s="127"/>
      <c r="G159" s="127"/>
      <c r="H159" s="130"/>
      <c r="I159" s="130"/>
      <c r="J159" s="130">
        <f t="shared" si="1"/>
        <v>0</v>
      </c>
      <c r="K159" s="130"/>
      <c r="L159" s="130"/>
      <c r="M159" s="130">
        <f t="shared" si="2"/>
        <v>0</v>
      </c>
      <c r="N159" s="130"/>
      <c r="O159" s="130"/>
      <c r="P159" s="127"/>
      <c r="Q159" s="127"/>
      <c r="R159" s="127"/>
      <c r="S159" s="127"/>
      <c r="T159" s="127" t="str">
        <f>IF(A159="","",VLOOKUP(A159,'BASE OS'!$A$2:$I1000,4,FALSE))</f>
        <v/>
      </c>
      <c r="U159" s="127"/>
      <c r="V159" s="127"/>
      <c r="W159" s="127" t="str">
        <f t="shared" si="3"/>
        <v/>
      </c>
      <c r="X159" s="127" t="str">
        <f t="shared" si="4"/>
        <v/>
      </c>
      <c r="Y159" s="127" t="str">
        <f t="shared" si="5"/>
        <v/>
      </c>
    </row>
    <row r="160">
      <c r="A160" s="127"/>
      <c r="B160" s="127" t="str">
        <f>IF(A160="","",VLOOKUP(A160,'BASE OS'!$A$2:$I1000,2,FALSE))</f>
        <v/>
      </c>
      <c r="C160" s="132"/>
      <c r="D160" s="127"/>
      <c r="E160" s="127"/>
      <c r="F160" s="127"/>
      <c r="G160" s="127"/>
      <c r="H160" s="130"/>
      <c r="I160" s="130"/>
      <c r="J160" s="130">
        <f t="shared" si="1"/>
        <v>0</v>
      </c>
      <c r="K160" s="130"/>
      <c r="L160" s="130"/>
      <c r="M160" s="130">
        <f t="shared" si="2"/>
        <v>0</v>
      </c>
      <c r="N160" s="130"/>
      <c r="O160" s="130"/>
      <c r="P160" s="127"/>
      <c r="Q160" s="127"/>
      <c r="R160" s="127"/>
      <c r="S160" s="127"/>
      <c r="T160" s="127" t="str">
        <f>IF(A160="","",VLOOKUP(A160,'BASE OS'!$A$2:$I1000,4,FALSE))</f>
        <v/>
      </c>
      <c r="U160" s="127"/>
      <c r="V160" s="127"/>
      <c r="W160" s="127" t="str">
        <f t="shared" si="3"/>
        <v/>
      </c>
      <c r="X160" s="127" t="str">
        <f t="shared" si="4"/>
        <v/>
      </c>
      <c r="Y160" s="127" t="str">
        <f t="shared" si="5"/>
        <v/>
      </c>
    </row>
    <row r="161">
      <c r="A161" s="127"/>
      <c r="B161" s="127" t="str">
        <f>IF(A161="","",VLOOKUP(A161,'BASE OS'!$A$2:$I1000,2,FALSE))</f>
        <v/>
      </c>
      <c r="C161" s="132"/>
      <c r="D161" s="127"/>
      <c r="E161" s="127"/>
      <c r="F161" s="127"/>
      <c r="G161" s="127"/>
      <c r="H161" s="130"/>
      <c r="I161" s="130"/>
      <c r="J161" s="130">
        <f t="shared" si="1"/>
        <v>0</v>
      </c>
      <c r="K161" s="130"/>
      <c r="L161" s="130"/>
      <c r="M161" s="130">
        <f t="shared" si="2"/>
        <v>0</v>
      </c>
      <c r="N161" s="130"/>
      <c r="O161" s="130"/>
      <c r="P161" s="127"/>
      <c r="Q161" s="127"/>
      <c r="R161" s="127"/>
      <c r="S161" s="127"/>
      <c r="T161" s="127" t="str">
        <f>IF(A161="","",VLOOKUP(A161,'BASE OS'!$A$2:$I1000,4,FALSE))</f>
        <v/>
      </c>
      <c r="U161" s="127"/>
      <c r="V161" s="127"/>
      <c r="W161" s="127" t="str">
        <f t="shared" si="3"/>
        <v/>
      </c>
      <c r="X161" s="127" t="str">
        <f t="shared" si="4"/>
        <v/>
      </c>
      <c r="Y161" s="127" t="str">
        <f t="shared" si="5"/>
        <v/>
      </c>
    </row>
    <row r="162">
      <c r="A162" s="127"/>
      <c r="B162" s="127" t="str">
        <f>IF(A162="","",VLOOKUP(A162,'BASE OS'!$A$2:$I1000,2,FALSE))</f>
        <v/>
      </c>
      <c r="C162" s="132"/>
      <c r="D162" s="127"/>
      <c r="E162" s="127"/>
      <c r="F162" s="127"/>
      <c r="G162" s="127"/>
      <c r="H162" s="130"/>
      <c r="I162" s="130"/>
      <c r="J162" s="130">
        <f t="shared" si="1"/>
        <v>0</v>
      </c>
      <c r="K162" s="130"/>
      <c r="L162" s="130"/>
      <c r="M162" s="130">
        <f t="shared" si="2"/>
        <v>0</v>
      </c>
      <c r="N162" s="130"/>
      <c r="O162" s="130"/>
      <c r="P162" s="127"/>
      <c r="Q162" s="127"/>
      <c r="R162" s="127"/>
      <c r="S162" s="127"/>
      <c r="T162" s="127" t="str">
        <f>IF(A162="","",VLOOKUP(A162,'BASE OS'!$A$2:$I1000,4,FALSE))</f>
        <v/>
      </c>
      <c r="U162" s="127"/>
      <c r="V162" s="127"/>
      <c r="W162" s="127" t="str">
        <f t="shared" si="3"/>
        <v/>
      </c>
      <c r="X162" s="127" t="str">
        <f t="shared" si="4"/>
        <v/>
      </c>
      <c r="Y162" s="127" t="str">
        <f t="shared" si="5"/>
        <v/>
      </c>
    </row>
    <row r="163">
      <c r="A163" s="127"/>
      <c r="B163" s="127" t="str">
        <f>IF(A163="","",VLOOKUP(A163,'BASE OS'!$A$2:$I1000,2,FALSE))</f>
        <v/>
      </c>
      <c r="C163" s="132"/>
      <c r="D163" s="127"/>
      <c r="E163" s="127"/>
      <c r="F163" s="127"/>
      <c r="G163" s="127"/>
      <c r="H163" s="130"/>
      <c r="I163" s="130"/>
      <c r="J163" s="130">
        <f t="shared" si="1"/>
        <v>0</v>
      </c>
      <c r="K163" s="130"/>
      <c r="L163" s="130"/>
      <c r="M163" s="130">
        <f t="shared" si="2"/>
        <v>0</v>
      </c>
      <c r="N163" s="130"/>
      <c r="O163" s="130"/>
      <c r="P163" s="127"/>
      <c r="Q163" s="127"/>
      <c r="R163" s="127"/>
      <c r="S163" s="127"/>
      <c r="T163" s="127" t="str">
        <f>IF(A163="","",VLOOKUP(A163,'BASE OS'!$A$2:$I1000,4,FALSE))</f>
        <v/>
      </c>
      <c r="U163" s="127"/>
      <c r="V163" s="127"/>
      <c r="W163" s="127" t="str">
        <f t="shared" si="3"/>
        <v/>
      </c>
      <c r="X163" s="127" t="str">
        <f t="shared" si="4"/>
        <v/>
      </c>
      <c r="Y163" s="127" t="str">
        <f t="shared" si="5"/>
        <v/>
      </c>
    </row>
    <row r="164">
      <c r="A164" s="127"/>
      <c r="B164" s="127" t="str">
        <f>IF(A164="","",VLOOKUP(A164,'BASE OS'!$A$2:$I1000,2,FALSE))</f>
        <v/>
      </c>
      <c r="C164" s="132"/>
      <c r="D164" s="127"/>
      <c r="E164" s="127"/>
      <c r="F164" s="127"/>
      <c r="G164" s="127"/>
      <c r="H164" s="130"/>
      <c r="I164" s="130"/>
      <c r="J164" s="130">
        <f t="shared" si="1"/>
        <v>0</v>
      </c>
      <c r="K164" s="130"/>
      <c r="L164" s="130"/>
      <c r="M164" s="130">
        <f t="shared" si="2"/>
        <v>0</v>
      </c>
      <c r="N164" s="130"/>
      <c r="O164" s="130"/>
      <c r="P164" s="127"/>
      <c r="Q164" s="127"/>
      <c r="R164" s="127"/>
      <c r="S164" s="127"/>
      <c r="T164" s="127" t="str">
        <f>IF(A164="","",VLOOKUP(A164,'BASE OS'!$A$2:$I1000,4,FALSE))</f>
        <v/>
      </c>
      <c r="U164" s="127"/>
      <c r="V164" s="127"/>
      <c r="W164" s="127" t="str">
        <f t="shared" si="3"/>
        <v/>
      </c>
      <c r="X164" s="127" t="str">
        <f t="shared" si="4"/>
        <v/>
      </c>
      <c r="Y164" s="127" t="str">
        <f t="shared" si="5"/>
        <v/>
      </c>
    </row>
    <row r="165">
      <c r="A165" s="127"/>
      <c r="B165" s="127" t="str">
        <f>IF(A165="","",VLOOKUP(A165,'BASE OS'!$A$2:$I1000,2,FALSE))</f>
        <v/>
      </c>
      <c r="C165" s="132"/>
      <c r="D165" s="127"/>
      <c r="E165" s="127"/>
      <c r="F165" s="127"/>
      <c r="G165" s="127"/>
      <c r="H165" s="130"/>
      <c r="I165" s="130"/>
      <c r="J165" s="130">
        <f t="shared" si="1"/>
        <v>0</v>
      </c>
      <c r="K165" s="130"/>
      <c r="L165" s="130"/>
      <c r="M165" s="130">
        <f t="shared" si="2"/>
        <v>0</v>
      </c>
      <c r="N165" s="130"/>
      <c r="O165" s="130"/>
      <c r="P165" s="127"/>
      <c r="Q165" s="127"/>
      <c r="R165" s="127"/>
      <c r="S165" s="127"/>
      <c r="T165" s="127" t="str">
        <f>IF(A165="","",VLOOKUP(A165,'BASE OS'!$A$2:$I1000,4,FALSE))</f>
        <v/>
      </c>
      <c r="U165" s="127"/>
      <c r="V165" s="127"/>
      <c r="W165" s="127" t="str">
        <f t="shared" si="3"/>
        <v/>
      </c>
      <c r="X165" s="127" t="str">
        <f t="shared" si="4"/>
        <v/>
      </c>
      <c r="Y165" s="127" t="str">
        <f t="shared" si="5"/>
        <v/>
      </c>
    </row>
    <row r="166">
      <c r="A166" s="127"/>
      <c r="B166" s="127" t="str">
        <f>IF(A166="","",VLOOKUP(A166,'BASE OS'!$A$2:$I1000,2,FALSE))</f>
        <v/>
      </c>
      <c r="C166" s="132"/>
      <c r="D166" s="127"/>
      <c r="E166" s="127"/>
      <c r="F166" s="127"/>
      <c r="G166" s="127"/>
      <c r="H166" s="130"/>
      <c r="I166" s="130"/>
      <c r="J166" s="130">
        <f t="shared" si="1"/>
        <v>0</v>
      </c>
      <c r="K166" s="130"/>
      <c r="L166" s="130"/>
      <c r="M166" s="130">
        <f t="shared" si="2"/>
        <v>0</v>
      </c>
      <c r="N166" s="130"/>
      <c r="O166" s="130"/>
      <c r="P166" s="127"/>
      <c r="Q166" s="127"/>
      <c r="R166" s="127"/>
      <c r="S166" s="127"/>
      <c r="T166" s="127" t="str">
        <f>IF(A166="","",VLOOKUP(A166,'BASE OS'!$A$2:$I1000,4,FALSE))</f>
        <v/>
      </c>
      <c r="U166" s="127"/>
      <c r="V166" s="127"/>
      <c r="W166" s="127" t="str">
        <f t="shared" si="3"/>
        <v/>
      </c>
      <c r="X166" s="127" t="str">
        <f t="shared" si="4"/>
        <v/>
      </c>
      <c r="Y166" s="127" t="str">
        <f t="shared" si="5"/>
        <v/>
      </c>
    </row>
    <row r="167">
      <c r="A167" s="127"/>
      <c r="B167" s="127" t="str">
        <f>IF(A167="","",VLOOKUP(A167,'BASE OS'!$A$2:$I1000,2,FALSE))</f>
        <v/>
      </c>
      <c r="C167" s="132"/>
      <c r="D167" s="127"/>
      <c r="E167" s="127"/>
      <c r="F167" s="127"/>
      <c r="G167" s="127"/>
      <c r="H167" s="130"/>
      <c r="I167" s="130"/>
      <c r="J167" s="130">
        <f t="shared" si="1"/>
        <v>0</v>
      </c>
      <c r="K167" s="130"/>
      <c r="L167" s="130"/>
      <c r="M167" s="130">
        <f t="shared" si="2"/>
        <v>0</v>
      </c>
      <c r="N167" s="130"/>
      <c r="O167" s="130"/>
      <c r="P167" s="127"/>
      <c r="Q167" s="127"/>
      <c r="R167" s="127"/>
      <c r="S167" s="127"/>
      <c r="T167" s="127" t="str">
        <f>IF(A167="","",VLOOKUP(A167,'BASE OS'!$A$2:$I1000,4,FALSE))</f>
        <v/>
      </c>
      <c r="U167" s="127"/>
      <c r="V167" s="127"/>
      <c r="W167" s="127" t="str">
        <f t="shared" si="3"/>
        <v/>
      </c>
      <c r="X167" s="127" t="str">
        <f t="shared" si="4"/>
        <v/>
      </c>
      <c r="Y167" s="127" t="str">
        <f t="shared" si="5"/>
        <v/>
      </c>
    </row>
    <row r="168">
      <c r="A168" s="127"/>
      <c r="B168" s="127" t="str">
        <f>IF(A168="","",VLOOKUP(A168,'BASE OS'!$A$2:$I1000,2,FALSE))</f>
        <v/>
      </c>
      <c r="C168" s="132"/>
      <c r="D168" s="127"/>
      <c r="E168" s="127"/>
      <c r="F168" s="127"/>
      <c r="G168" s="127"/>
      <c r="H168" s="130"/>
      <c r="I168" s="130"/>
      <c r="J168" s="130">
        <f t="shared" si="1"/>
        <v>0</v>
      </c>
      <c r="K168" s="130"/>
      <c r="L168" s="130"/>
      <c r="M168" s="130">
        <f t="shared" si="2"/>
        <v>0</v>
      </c>
      <c r="N168" s="130"/>
      <c r="O168" s="130"/>
      <c r="P168" s="127"/>
      <c r="Q168" s="127"/>
      <c r="R168" s="127"/>
      <c r="S168" s="127"/>
      <c r="T168" s="127" t="str">
        <f>IF(A168="","",VLOOKUP(A168,'BASE OS'!$A$2:$I1000,4,FALSE))</f>
        <v/>
      </c>
      <c r="U168" s="127"/>
      <c r="V168" s="127"/>
      <c r="W168" s="127" t="str">
        <f t="shared" si="3"/>
        <v/>
      </c>
      <c r="X168" s="127" t="str">
        <f t="shared" si="4"/>
        <v/>
      </c>
      <c r="Y168" s="127" t="str">
        <f t="shared" si="5"/>
        <v/>
      </c>
    </row>
    <row r="169">
      <c r="A169" s="127"/>
      <c r="B169" s="127" t="str">
        <f>IF(A169="","",VLOOKUP(A169,'BASE OS'!$A$2:$I1000,2,FALSE))</f>
        <v/>
      </c>
      <c r="C169" s="132"/>
      <c r="D169" s="127"/>
      <c r="E169" s="127"/>
      <c r="F169" s="127"/>
      <c r="G169" s="127"/>
      <c r="H169" s="130"/>
      <c r="I169" s="130"/>
      <c r="J169" s="130">
        <f t="shared" si="1"/>
        <v>0</v>
      </c>
      <c r="K169" s="130"/>
      <c r="L169" s="130"/>
      <c r="M169" s="130">
        <f t="shared" si="2"/>
        <v>0</v>
      </c>
      <c r="N169" s="130"/>
      <c r="O169" s="130"/>
      <c r="P169" s="127"/>
      <c r="Q169" s="127"/>
      <c r="R169" s="127"/>
      <c r="S169" s="127"/>
      <c r="T169" s="127" t="str">
        <f>IF(A169="","",VLOOKUP(A169,'BASE OS'!$A$2:$I1000,4,FALSE))</f>
        <v/>
      </c>
      <c r="U169" s="127"/>
      <c r="V169" s="127"/>
      <c r="W169" s="127" t="str">
        <f t="shared" si="3"/>
        <v/>
      </c>
      <c r="X169" s="127" t="str">
        <f t="shared" si="4"/>
        <v/>
      </c>
      <c r="Y169" s="127" t="str">
        <f t="shared" si="5"/>
        <v/>
      </c>
    </row>
    <row r="170">
      <c r="A170" s="127"/>
      <c r="B170" s="127" t="str">
        <f>IF(A170="","",VLOOKUP(A170,'BASE OS'!$A$2:$I1000,2,FALSE))</f>
        <v/>
      </c>
      <c r="C170" s="132"/>
      <c r="D170" s="127"/>
      <c r="E170" s="127"/>
      <c r="F170" s="127"/>
      <c r="G170" s="127"/>
      <c r="H170" s="130"/>
      <c r="I170" s="130"/>
      <c r="J170" s="130">
        <f t="shared" si="1"/>
        <v>0</v>
      </c>
      <c r="K170" s="130"/>
      <c r="L170" s="130"/>
      <c r="M170" s="130">
        <f t="shared" si="2"/>
        <v>0</v>
      </c>
      <c r="N170" s="130"/>
      <c r="O170" s="130"/>
      <c r="P170" s="127"/>
      <c r="Q170" s="127"/>
      <c r="R170" s="127"/>
      <c r="S170" s="127"/>
      <c r="T170" s="127" t="str">
        <f>IF(A170="","",VLOOKUP(A170,'BASE OS'!$A$2:$I1000,4,FALSE))</f>
        <v/>
      </c>
      <c r="U170" s="127"/>
      <c r="V170" s="127"/>
      <c r="W170" s="127" t="str">
        <f t="shared" si="3"/>
        <v/>
      </c>
      <c r="X170" s="127" t="str">
        <f t="shared" si="4"/>
        <v/>
      </c>
      <c r="Y170" s="127" t="str">
        <f t="shared" si="5"/>
        <v/>
      </c>
    </row>
    <row r="171">
      <c r="A171" s="127"/>
      <c r="B171" s="127" t="str">
        <f>IF(A171="","",VLOOKUP(A171,'BASE OS'!$A$2:$I1000,2,FALSE))</f>
        <v/>
      </c>
      <c r="C171" s="132"/>
      <c r="D171" s="127"/>
      <c r="E171" s="127"/>
      <c r="F171" s="127"/>
      <c r="G171" s="127"/>
      <c r="H171" s="130"/>
      <c r="I171" s="130"/>
      <c r="J171" s="130">
        <f t="shared" si="1"/>
        <v>0</v>
      </c>
      <c r="K171" s="130"/>
      <c r="L171" s="130"/>
      <c r="M171" s="130">
        <f t="shared" si="2"/>
        <v>0</v>
      </c>
      <c r="N171" s="130"/>
      <c r="O171" s="130"/>
      <c r="P171" s="127"/>
      <c r="Q171" s="127"/>
      <c r="R171" s="127"/>
      <c r="S171" s="127"/>
      <c r="T171" s="127" t="str">
        <f>IF(A171="","",VLOOKUP(A171,'BASE OS'!$A$2:$I1000,4,FALSE))</f>
        <v/>
      </c>
      <c r="U171" s="127"/>
      <c r="V171" s="127"/>
      <c r="W171" s="127" t="str">
        <f t="shared" si="3"/>
        <v/>
      </c>
      <c r="X171" s="127" t="str">
        <f t="shared" si="4"/>
        <v/>
      </c>
      <c r="Y171" s="127" t="str">
        <f t="shared" si="5"/>
        <v/>
      </c>
    </row>
    <row r="172">
      <c r="A172" s="127"/>
      <c r="B172" s="127" t="str">
        <f>IF(A172="","",VLOOKUP(A172,'BASE OS'!$A$2:$I1000,2,FALSE))</f>
        <v/>
      </c>
      <c r="C172" s="132"/>
      <c r="D172" s="127"/>
      <c r="E172" s="127"/>
      <c r="F172" s="127"/>
      <c r="G172" s="127"/>
      <c r="H172" s="130"/>
      <c r="I172" s="130"/>
      <c r="J172" s="130">
        <f t="shared" si="1"/>
        <v>0</v>
      </c>
      <c r="K172" s="130"/>
      <c r="L172" s="130"/>
      <c r="M172" s="130">
        <f t="shared" si="2"/>
        <v>0</v>
      </c>
      <c r="N172" s="130"/>
      <c r="O172" s="130"/>
      <c r="P172" s="127"/>
      <c r="Q172" s="127"/>
      <c r="R172" s="127"/>
      <c r="S172" s="127"/>
      <c r="T172" s="127" t="str">
        <f>IF(A172="","",VLOOKUP(A172,'BASE OS'!$A$2:$I1000,4,FALSE))</f>
        <v/>
      </c>
      <c r="U172" s="127"/>
      <c r="V172" s="127"/>
      <c r="W172" s="127" t="str">
        <f t="shared" si="3"/>
        <v/>
      </c>
      <c r="X172" s="127" t="str">
        <f t="shared" si="4"/>
        <v/>
      </c>
      <c r="Y172" s="127" t="str">
        <f t="shared" si="5"/>
        <v/>
      </c>
    </row>
    <row r="173">
      <c r="A173" s="127"/>
      <c r="B173" s="127" t="str">
        <f>IF(A173="","",VLOOKUP(A173,'BASE OS'!$A$2:$I1000,2,FALSE))</f>
        <v/>
      </c>
      <c r="C173" s="132"/>
      <c r="D173" s="127"/>
      <c r="E173" s="127"/>
      <c r="F173" s="127"/>
      <c r="G173" s="127"/>
      <c r="H173" s="130"/>
      <c r="I173" s="130"/>
      <c r="J173" s="130">
        <f t="shared" si="1"/>
        <v>0</v>
      </c>
      <c r="K173" s="130"/>
      <c r="L173" s="130"/>
      <c r="M173" s="130">
        <f t="shared" si="2"/>
        <v>0</v>
      </c>
      <c r="N173" s="130"/>
      <c r="O173" s="130"/>
      <c r="P173" s="127"/>
      <c r="Q173" s="127"/>
      <c r="R173" s="127"/>
      <c r="S173" s="127"/>
      <c r="T173" s="127" t="str">
        <f>IF(A173="","",VLOOKUP(A173,'BASE OS'!$A$2:$I1000,4,FALSE))</f>
        <v/>
      </c>
      <c r="U173" s="127"/>
      <c r="V173" s="127"/>
      <c r="W173" s="127" t="str">
        <f t="shared" si="3"/>
        <v/>
      </c>
      <c r="X173" s="127" t="str">
        <f t="shared" si="4"/>
        <v/>
      </c>
      <c r="Y173" s="127" t="str">
        <f t="shared" si="5"/>
        <v/>
      </c>
    </row>
    <row r="174">
      <c r="A174" s="127"/>
      <c r="B174" s="127" t="str">
        <f>IF(A174="","",VLOOKUP(A174,'BASE OS'!$A$2:$I1000,2,FALSE))</f>
        <v/>
      </c>
      <c r="C174" s="132"/>
      <c r="D174" s="127"/>
      <c r="E174" s="127"/>
      <c r="F174" s="127"/>
      <c r="G174" s="127"/>
      <c r="H174" s="130"/>
      <c r="I174" s="130"/>
      <c r="J174" s="130">
        <f t="shared" si="1"/>
        <v>0</v>
      </c>
      <c r="K174" s="130"/>
      <c r="L174" s="130"/>
      <c r="M174" s="130">
        <f t="shared" si="2"/>
        <v>0</v>
      </c>
      <c r="N174" s="130"/>
      <c r="O174" s="130"/>
      <c r="P174" s="127"/>
      <c r="Q174" s="127"/>
      <c r="R174" s="127"/>
      <c r="S174" s="127"/>
      <c r="T174" s="127" t="str">
        <f>IF(A174="","",VLOOKUP(A174,'BASE OS'!$A$2:$I1000,4,FALSE))</f>
        <v/>
      </c>
      <c r="U174" s="127"/>
      <c r="V174" s="127"/>
      <c r="W174" s="127" t="str">
        <f t="shared" si="3"/>
        <v/>
      </c>
      <c r="X174" s="127" t="str">
        <f t="shared" si="4"/>
        <v/>
      </c>
      <c r="Y174" s="127" t="str">
        <f t="shared" si="5"/>
        <v/>
      </c>
    </row>
    <row r="175">
      <c r="A175" s="127"/>
      <c r="B175" s="127" t="str">
        <f>IF(A175="","",VLOOKUP(A175,'BASE OS'!$A$2:$I1000,2,FALSE))</f>
        <v/>
      </c>
      <c r="C175" s="132"/>
      <c r="D175" s="127"/>
      <c r="E175" s="127"/>
      <c r="F175" s="127"/>
      <c r="G175" s="127"/>
      <c r="H175" s="130"/>
      <c r="I175" s="130"/>
      <c r="J175" s="130">
        <f t="shared" si="1"/>
        <v>0</v>
      </c>
      <c r="K175" s="130"/>
      <c r="L175" s="130"/>
      <c r="M175" s="130">
        <f t="shared" si="2"/>
        <v>0</v>
      </c>
      <c r="N175" s="130"/>
      <c r="O175" s="130"/>
      <c r="P175" s="127"/>
      <c r="Q175" s="127"/>
      <c r="R175" s="127"/>
      <c r="S175" s="127"/>
      <c r="T175" s="127" t="str">
        <f>IF(A175="","",VLOOKUP(A175,'BASE OS'!$A$2:$I1000,4,FALSE))</f>
        <v/>
      </c>
      <c r="U175" s="127"/>
      <c r="V175" s="127"/>
      <c r="W175" s="127" t="str">
        <f t="shared" si="3"/>
        <v/>
      </c>
      <c r="X175" s="127" t="str">
        <f t="shared" si="4"/>
        <v/>
      </c>
      <c r="Y175" s="127" t="str">
        <f t="shared" si="5"/>
        <v/>
      </c>
    </row>
    <row r="176">
      <c r="A176" s="127"/>
      <c r="B176" s="127" t="str">
        <f>IF(A176="","",VLOOKUP(A176,'BASE OS'!$A$2:$I1000,2,FALSE))</f>
        <v/>
      </c>
      <c r="C176" s="132"/>
      <c r="D176" s="127"/>
      <c r="E176" s="127"/>
      <c r="F176" s="127"/>
      <c r="G176" s="127"/>
      <c r="H176" s="130"/>
      <c r="I176" s="130"/>
      <c r="J176" s="130">
        <f t="shared" si="1"/>
        <v>0</v>
      </c>
      <c r="K176" s="130"/>
      <c r="L176" s="130"/>
      <c r="M176" s="130">
        <f t="shared" si="2"/>
        <v>0</v>
      </c>
      <c r="N176" s="130"/>
      <c r="O176" s="130"/>
      <c r="P176" s="127"/>
      <c r="Q176" s="127"/>
      <c r="R176" s="127"/>
      <c r="S176" s="127"/>
      <c r="T176" s="127" t="str">
        <f>IF(A176="","",VLOOKUP(A176,'BASE OS'!$A$2:$I1000,4,FALSE))</f>
        <v/>
      </c>
      <c r="U176" s="127"/>
      <c r="V176" s="127"/>
      <c r="W176" s="127" t="str">
        <f t="shared" si="3"/>
        <v/>
      </c>
      <c r="X176" s="127" t="str">
        <f t="shared" si="4"/>
        <v/>
      </c>
      <c r="Y176" s="127" t="str">
        <f t="shared" si="5"/>
        <v/>
      </c>
    </row>
    <row r="177">
      <c r="A177" s="127"/>
      <c r="B177" s="127" t="str">
        <f>IF(A177="","",VLOOKUP(A177,'BASE OS'!$A$2:$I1000,2,FALSE))</f>
        <v/>
      </c>
      <c r="C177" s="132"/>
      <c r="D177" s="127"/>
      <c r="E177" s="127"/>
      <c r="F177" s="127"/>
      <c r="G177" s="127"/>
      <c r="H177" s="130"/>
      <c r="I177" s="130"/>
      <c r="J177" s="130">
        <f t="shared" si="1"/>
        <v>0</v>
      </c>
      <c r="K177" s="130"/>
      <c r="L177" s="130"/>
      <c r="M177" s="130">
        <f t="shared" si="2"/>
        <v>0</v>
      </c>
      <c r="N177" s="130"/>
      <c r="O177" s="130"/>
      <c r="P177" s="127"/>
      <c r="Q177" s="127"/>
      <c r="R177" s="127"/>
      <c r="S177" s="127"/>
      <c r="T177" s="127" t="str">
        <f>IF(A177="","",VLOOKUP(A177,'BASE OS'!$A$2:$I1000,4,FALSE))</f>
        <v/>
      </c>
      <c r="U177" s="127"/>
      <c r="V177" s="127"/>
      <c r="W177" s="127" t="str">
        <f t="shared" si="3"/>
        <v/>
      </c>
      <c r="X177" s="127" t="str">
        <f t="shared" si="4"/>
        <v/>
      </c>
      <c r="Y177" s="127" t="str">
        <f t="shared" si="5"/>
        <v/>
      </c>
    </row>
    <row r="178">
      <c r="A178" s="127"/>
      <c r="B178" s="127" t="str">
        <f>IF(A178="","",VLOOKUP(A178,'BASE OS'!$A$2:$I1000,2,FALSE))</f>
        <v/>
      </c>
      <c r="C178" s="132"/>
      <c r="D178" s="127"/>
      <c r="E178" s="127"/>
      <c r="F178" s="127"/>
      <c r="G178" s="127"/>
      <c r="H178" s="130"/>
      <c r="I178" s="130"/>
      <c r="J178" s="130">
        <f t="shared" si="1"/>
        <v>0</v>
      </c>
      <c r="K178" s="130"/>
      <c r="L178" s="130"/>
      <c r="M178" s="130">
        <f t="shared" si="2"/>
        <v>0</v>
      </c>
      <c r="N178" s="130"/>
      <c r="O178" s="130"/>
      <c r="P178" s="127"/>
      <c r="Q178" s="127"/>
      <c r="R178" s="127"/>
      <c r="S178" s="127"/>
      <c r="T178" s="127" t="str">
        <f>IF(A178="","",VLOOKUP(A178,'BASE OS'!$A$2:$I1000,4,FALSE))</f>
        <v/>
      </c>
      <c r="U178" s="127"/>
      <c r="V178" s="127"/>
      <c r="W178" s="127" t="str">
        <f t="shared" si="3"/>
        <v/>
      </c>
      <c r="X178" s="127" t="str">
        <f t="shared" si="4"/>
        <v/>
      </c>
      <c r="Y178" s="127" t="str">
        <f t="shared" si="5"/>
        <v/>
      </c>
    </row>
    <row r="179">
      <c r="A179" s="127"/>
      <c r="B179" s="127" t="str">
        <f>IF(A179="","",VLOOKUP(A179,'BASE OS'!$A$2:$I1000,2,FALSE))</f>
        <v/>
      </c>
      <c r="C179" s="132"/>
      <c r="D179" s="127"/>
      <c r="E179" s="127"/>
      <c r="F179" s="127"/>
      <c r="G179" s="127"/>
      <c r="H179" s="130"/>
      <c r="I179" s="130"/>
      <c r="J179" s="130">
        <f t="shared" si="1"/>
        <v>0</v>
      </c>
      <c r="K179" s="130"/>
      <c r="L179" s="130"/>
      <c r="M179" s="130">
        <f t="shared" si="2"/>
        <v>0</v>
      </c>
      <c r="N179" s="130"/>
      <c r="O179" s="130"/>
      <c r="P179" s="127"/>
      <c r="Q179" s="127"/>
      <c r="R179" s="127"/>
      <c r="S179" s="127"/>
      <c r="T179" s="127" t="str">
        <f>IF(A179="","",VLOOKUP(A179,'BASE OS'!$A$2:$I1000,4,FALSE))</f>
        <v/>
      </c>
      <c r="U179" s="127"/>
      <c r="V179" s="127"/>
      <c r="W179" s="127" t="str">
        <f t="shared" si="3"/>
        <v/>
      </c>
      <c r="X179" s="127" t="str">
        <f t="shared" si="4"/>
        <v/>
      </c>
      <c r="Y179" s="127" t="str">
        <f t="shared" si="5"/>
        <v/>
      </c>
    </row>
    <row r="180">
      <c r="A180" s="127"/>
      <c r="B180" s="127" t="str">
        <f>IF(A180="","",VLOOKUP(A180,'BASE OS'!$A$2:$I1000,2,FALSE))</f>
        <v/>
      </c>
      <c r="C180" s="132"/>
      <c r="D180" s="127"/>
      <c r="E180" s="127"/>
      <c r="F180" s="127"/>
      <c r="G180" s="127"/>
      <c r="H180" s="130"/>
      <c r="I180" s="130"/>
      <c r="J180" s="130">
        <f t="shared" si="1"/>
        <v>0</v>
      </c>
      <c r="K180" s="130"/>
      <c r="L180" s="130"/>
      <c r="M180" s="130">
        <f t="shared" si="2"/>
        <v>0</v>
      </c>
      <c r="N180" s="130"/>
      <c r="O180" s="130"/>
      <c r="P180" s="127"/>
      <c r="Q180" s="127"/>
      <c r="R180" s="127"/>
      <c r="S180" s="127"/>
      <c r="T180" s="127" t="str">
        <f>IF(A180="","",VLOOKUP(A180,'BASE OS'!$A$2:$I1000,4,FALSE))</f>
        <v/>
      </c>
      <c r="U180" s="127"/>
      <c r="V180" s="127"/>
      <c r="W180" s="127" t="str">
        <f t="shared" si="3"/>
        <v/>
      </c>
      <c r="X180" s="127" t="str">
        <f t="shared" si="4"/>
        <v/>
      </c>
      <c r="Y180" s="127" t="str">
        <f t="shared" si="5"/>
        <v/>
      </c>
    </row>
    <row r="181">
      <c r="A181" s="127"/>
      <c r="B181" s="127" t="str">
        <f>IF(A181="","",VLOOKUP(A181,'BASE OS'!$A$2:$I1000,2,FALSE))</f>
        <v/>
      </c>
      <c r="C181" s="132"/>
      <c r="D181" s="127"/>
      <c r="E181" s="127"/>
      <c r="F181" s="127"/>
      <c r="G181" s="127"/>
      <c r="H181" s="130"/>
      <c r="I181" s="130"/>
      <c r="J181" s="130">
        <f t="shared" si="1"/>
        <v>0</v>
      </c>
      <c r="K181" s="130"/>
      <c r="L181" s="130"/>
      <c r="M181" s="130">
        <f t="shared" si="2"/>
        <v>0</v>
      </c>
      <c r="N181" s="130"/>
      <c r="O181" s="130"/>
      <c r="P181" s="127"/>
      <c r="Q181" s="127"/>
      <c r="R181" s="127"/>
      <c r="S181" s="127"/>
      <c r="T181" s="127" t="str">
        <f>IF(A181="","",VLOOKUP(A181,'BASE OS'!$A$2:$I1000,4,FALSE))</f>
        <v/>
      </c>
      <c r="U181" s="127"/>
      <c r="V181" s="127"/>
      <c r="W181" s="127" t="str">
        <f t="shared" si="3"/>
        <v/>
      </c>
      <c r="X181" s="127" t="str">
        <f t="shared" si="4"/>
        <v/>
      </c>
      <c r="Y181" s="127" t="str">
        <f t="shared" si="5"/>
        <v/>
      </c>
    </row>
    <row r="182">
      <c r="A182" s="127"/>
      <c r="B182" s="127" t="str">
        <f>IF(A182="","",VLOOKUP(A182,'BASE OS'!$A$2:$I1000,2,FALSE))</f>
        <v/>
      </c>
      <c r="C182" s="132"/>
      <c r="D182" s="127"/>
      <c r="E182" s="127"/>
      <c r="F182" s="127"/>
      <c r="G182" s="127"/>
      <c r="H182" s="130"/>
      <c r="I182" s="130"/>
      <c r="J182" s="130">
        <f t="shared" si="1"/>
        <v>0</v>
      </c>
      <c r="K182" s="130"/>
      <c r="L182" s="130"/>
      <c r="M182" s="130">
        <f t="shared" si="2"/>
        <v>0</v>
      </c>
      <c r="N182" s="130"/>
      <c r="O182" s="130"/>
      <c r="P182" s="127"/>
      <c r="Q182" s="127"/>
      <c r="R182" s="127"/>
      <c r="S182" s="127"/>
      <c r="T182" s="127" t="str">
        <f>IF(A182="","",VLOOKUP(A182,'BASE OS'!$A$2:$I1000,4,FALSE))</f>
        <v/>
      </c>
      <c r="U182" s="127"/>
      <c r="V182" s="127"/>
      <c r="W182" s="127" t="str">
        <f t="shared" si="3"/>
        <v/>
      </c>
      <c r="X182" s="127" t="str">
        <f t="shared" si="4"/>
        <v/>
      </c>
      <c r="Y182" s="127" t="str">
        <f t="shared" si="5"/>
        <v/>
      </c>
    </row>
    <row r="183">
      <c r="A183" s="127"/>
      <c r="B183" s="127" t="str">
        <f>IF(A183="","",VLOOKUP(A183,'BASE OS'!$A$2:$I1000,2,FALSE))</f>
        <v/>
      </c>
      <c r="C183" s="132"/>
      <c r="D183" s="127"/>
      <c r="E183" s="127"/>
      <c r="F183" s="127"/>
      <c r="G183" s="127"/>
      <c r="H183" s="130"/>
      <c r="I183" s="130"/>
      <c r="J183" s="130">
        <f t="shared" si="1"/>
        <v>0</v>
      </c>
      <c r="K183" s="130"/>
      <c r="L183" s="130"/>
      <c r="M183" s="130">
        <f t="shared" si="2"/>
        <v>0</v>
      </c>
      <c r="N183" s="130"/>
      <c r="O183" s="130"/>
      <c r="P183" s="127"/>
      <c r="Q183" s="127"/>
      <c r="R183" s="127"/>
      <c r="S183" s="127"/>
      <c r="T183" s="127" t="str">
        <f>IF(A183="","",VLOOKUP(A183,'BASE OS'!$A$2:$I1000,4,FALSE))</f>
        <v/>
      </c>
      <c r="U183" s="127"/>
      <c r="V183" s="127"/>
      <c r="W183" s="127" t="str">
        <f t="shared" si="3"/>
        <v/>
      </c>
      <c r="X183" s="127" t="str">
        <f t="shared" si="4"/>
        <v/>
      </c>
      <c r="Y183" s="127" t="str">
        <f t="shared" si="5"/>
        <v/>
      </c>
    </row>
    <row r="184">
      <c r="A184" s="127"/>
      <c r="B184" s="127" t="str">
        <f>IF(A184="","",VLOOKUP(A184,'BASE OS'!$A$2:$I1000,2,FALSE))</f>
        <v/>
      </c>
      <c r="C184" s="132"/>
      <c r="D184" s="127"/>
      <c r="E184" s="127"/>
      <c r="F184" s="127"/>
      <c r="G184" s="127"/>
      <c r="H184" s="130"/>
      <c r="I184" s="130"/>
      <c r="J184" s="130">
        <f t="shared" si="1"/>
        <v>0</v>
      </c>
      <c r="K184" s="130"/>
      <c r="L184" s="130"/>
      <c r="M184" s="130">
        <f t="shared" si="2"/>
        <v>0</v>
      </c>
      <c r="N184" s="130"/>
      <c r="O184" s="130"/>
      <c r="P184" s="127"/>
      <c r="Q184" s="127"/>
      <c r="R184" s="127"/>
      <c r="S184" s="127"/>
      <c r="T184" s="127" t="str">
        <f>IF(A184="","",VLOOKUP(A184,'BASE OS'!$A$2:$I1000,4,FALSE))</f>
        <v/>
      </c>
      <c r="U184" s="127"/>
      <c r="V184" s="127"/>
      <c r="W184" s="127" t="str">
        <f t="shared" si="3"/>
        <v/>
      </c>
      <c r="X184" s="127" t="str">
        <f t="shared" si="4"/>
        <v/>
      </c>
      <c r="Y184" s="127" t="str">
        <f t="shared" si="5"/>
        <v/>
      </c>
    </row>
    <row r="185">
      <c r="A185" s="127"/>
      <c r="B185" s="127" t="str">
        <f>IF(A185="","",VLOOKUP(A185,'BASE OS'!$A$2:$I1000,2,FALSE))</f>
        <v/>
      </c>
      <c r="C185" s="132"/>
      <c r="D185" s="127"/>
      <c r="E185" s="127"/>
      <c r="F185" s="127"/>
      <c r="G185" s="127"/>
      <c r="H185" s="130"/>
      <c r="I185" s="130"/>
      <c r="J185" s="130">
        <f t="shared" si="1"/>
        <v>0</v>
      </c>
      <c r="K185" s="130"/>
      <c r="L185" s="130"/>
      <c r="M185" s="130">
        <f t="shared" si="2"/>
        <v>0</v>
      </c>
      <c r="N185" s="130"/>
      <c r="O185" s="130"/>
      <c r="P185" s="127"/>
      <c r="Q185" s="127"/>
      <c r="R185" s="127"/>
      <c r="S185" s="127"/>
      <c r="T185" s="127" t="str">
        <f>IF(A185="","",VLOOKUP(A185,'BASE OS'!$A$2:$I1000,4,FALSE))</f>
        <v/>
      </c>
      <c r="U185" s="127"/>
      <c r="V185" s="127"/>
      <c r="W185" s="127" t="str">
        <f t="shared" si="3"/>
        <v/>
      </c>
      <c r="X185" s="127" t="str">
        <f t="shared" si="4"/>
        <v/>
      </c>
      <c r="Y185" s="127" t="str">
        <f t="shared" si="5"/>
        <v/>
      </c>
    </row>
    <row r="186">
      <c r="A186" s="127"/>
      <c r="B186" s="127" t="str">
        <f>IF(A186="","",VLOOKUP(A186,'BASE OS'!$A$2:$I1000,2,FALSE))</f>
        <v/>
      </c>
      <c r="C186" s="132"/>
      <c r="D186" s="127"/>
      <c r="E186" s="127"/>
      <c r="F186" s="127"/>
      <c r="G186" s="127"/>
      <c r="H186" s="130"/>
      <c r="I186" s="130"/>
      <c r="J186" s="130">
        <f t="shared" si="1"/>
        <v>0</v>
      </c>
      <c r="K186" s="130"/>
      <c r="L186" s="130"/>
      <c r="M186" s="130">
        <f t="shared" si="2"/>
        <v>0</v>
      </c>
      <c r="N186" s="130"/>
      <c r="O186" s="130"/>
      <c r="P186" s="127"/>
      <c r="Q186" s="127"/>
      <c r="R186" s="127"/>
      <c r="S186" s="127"/>
      <c r="T186" s="127" t="str">
        <f>IF(A186="","",VLOOKUP(A186,'BASE OS'!$A$2:$I1000,4,FALSE))</f>
        <v/>
      </c>
      <c r="U186" s="127"/>
      <c r="V186" s="127"/>
      <c r="W186" s="127" t="str">
        <f t="shared" si="3"/>
        <v/>
      </c>
      <c r="X186" s="127" t="str">
        <f t="shared" si="4"/>
        <v/>
      </c>
      <c r="Y186" s="127" t="str">
        <f t="shared" si="5"/>
        <v/>
      </c>
    </row>
    <row r="187">
      <c r="A187" s="127"/>
      <c r="B187" s="127" t="str">
        <f>IF(A187="","",VLOOKUP(A187,'BASE OS'!$A$2:$I1000,2,FALSE))</f>
        <v/>
      </c>
      <c r="C187" s="132"/>
      <c r="D187" s="127"/>
      <c r="E187" s="127"/>
      <c r="F187" s="127"/>
      <c r="G187" s="127"/>
      <c r="H187" s="130"/>
      <c r="I187" s="130"/>
      <c r="J187" s="130">
        <f t="shared" si="1"/>
        <v>0</v>
      </c>
      <c r="K187" s="130"/>
      <c r="L187" s="130"/>
      <c r="M187" s="130">
        <f t="shared" si="2"/>
        <v>0</v>
      </c>
      <c r="N187" s="130"/>
      <c r="O187" s="130"/>
      <c r="P187" s="127"/>
      <c r="Q187" s="127"/>
      <c r="R187" s="127"/>
      <c r="S187" s="127"/>
      <c r="T187" s="127" t="str">
        <f>IF(A187="","",VLOOKUP(A187,'BASE OS'!$A$2:$I1000,4,FALSE))</f>
        <v/>
      </c>
      <c r="U187" s="127"/>
      <c r="V187" s="127"/>
      <c r="W187" s="127" t="str">
        <f t="shared" si="3"/>
        <v/>
      </c>
      <c r="X187" s="127" t="str">
        <f t="shared" si="4"/>
        <v/>
      </c>
      <c r="Y187" s="127" t="str">
        <f t="shared" si="5"/>
        <v/>
      </c>
    </row>
    <row r="188">
      <c r="A188" s="127"/>
      <c r="B188" s="127" t="str">
        <f>IF(A188="","",VLOOKUP(A188,'BASE OS'!$A$2:$I1000,2,FALSE))</f>
        <v/>
      </c>
      <c r="C188" s="132"/>
      <c r="D188" s="127"/>
      <c r="E188" s="127"/>
      <c r="F188" s="127"/>
      <c r="G188" s="127"/>
      <c r="H188" s="130"/>
      <c r="I188" s="130"/>
      <c r="J188" s="130">
        <f t="shared" si="1"/>
        <v>0</v>
      </c>
      <c r="K188" s="130"/>
      <c r="L188" s="130"/>
      <c r="M188" s="130">
        <f t="shared" si="2"/>
        <v>0</v>
      </c>
      <c r="N188" s="130"/>
      <c r="O188" s="130"/>
      <c r="P188" s="127"/>
      <c r="Q188" s="127"/>
      <c r="R188" s="127"/>
      <c r="S188" s="127"/>
      <c r="T188" s="127" t="str">
        <f>IF(A188="","",VLOOKUP(A188,'BASE OS'!$A$2:$I1000,4,FALSE))</f>
        <v/>
      </c>
      <c r="U188" s="127"/>
      <c r="V188" s="127"/>
      <c r="W188" s="127" t="str">
        <f t="shared" si="3"/>
        <v/>
      </c>
      <c r="X188" s="127" t="str">
        <f t="shared" si="4"/>
        <v/>
      </c>
      <c r="Y188" s="127" t="str">
        <f t="shared" si="5"/>
        <v/>
      </c>
    </row>
    <row r="189">
      <c r="A189" s="127"/>
      <c r="B189" s="127" t="str">
        <f>IF(A189="","",VLOOKUP(A189,'BASE OS'!$A$2:$I1000,2,FALSE))</f>
        <v/>
      </c>
      <c r="C189" s="132"/>
      <c r="D189" s="127"/>
      <c r="E189" s="127"/>
      <c r="F189" s="127"/>
      <c r="G189" s="127"/>
      <c r="H189" s="130"/>
      <c r="I189" s="130"/>
      <c r="J189" s="130">
        <f t="shared" si="1"/>
        <v>0</v>
      </c>
      <c r="K189" s="130"/>
      <c r="L189" s="130"/>
      <c r="M189" s="130">
        <f t="shared" si="2"/>
        <v>0</v>
      </c>
      <c r="N189" s="130"/>
      <c r="O189" s="130"/>
      <c r="P189" s="127"/>
      <c r="Q189" s="127"/>
      <c r="R189" s="127"/>
      <c r="S189" s="127"/>
      <c r="T189" s="127" t="str">
        <f>IF(A189="","",VLOOKUP(A189,'BASE OS'!$A$2:$I1000,4,FALSE))</f>
        <v/>
      </c>
      <c r="U189" s="127"/>
      <c r="V189" s="127"/>
      <c r="W189" s="127" t="str">
        <f t="shared" si="3"/>
        <v/>
      </c>
      <c r="X189" s="127" t="str">
        <f t="shared" si="4"/>
        <v/>
      </c>
      <c r="Y189" s="127" t="str">
        <f t="shared" si="5"/>
        <v/>
      </c>
    </row>
    <row r="190">
      <c r="A190" s="127"/>
      <c r="B190" s="127" t="str">
        <f>IF(A190="","",VLOOKUP(A190,'BASE OS'!$A$2:$I1000,2,FALSE))</f>
        <v/>
      </c>
      <c r="C190" s="132"/>
      <c r="D190" s="127"/>
      <c r="E190" s="127"/>
      <c r="F190" s="127"/>
      <c r="G190" s="127"/>
      <c r="H190" s="130"/>
      <c r="I190" s="130"/>
      <c r="J190" s="130">
        <f t="shared" si="1"/>
        <v>0</v>
      </c>
      <c r="K190" s="130"/>
      <c r="L190" s="130"/>
      <c r="M190" s="130">
        <f t="shared" si="2"/>
        <v>0</v>
      </c>
      <c r="N190" s="130"/>
      <c r="O190" s="130"/>
      <c r="P190" s="127"/>
      <c r="Q190" s="127"/>
      <c r="R190" s="127"/>
      <c r="S190" s="127"/>
      <c r="T190" s="127" t="str">
        <f>IF(A190="","",VLOOKUP(A190,'BASE OS'!$A$2:$I1000,4,FALSE))</f>
        <v/>
      </c>
      <c r="U190" s="127"/>
      <c r="V190" s="127"/>
      <c r="W190" s="127" t="str">
        <f t="shared" si="3"/>
        <v/>
      </c>
      <c r="X190" s="127" t="str">
        <f t="shared" si="4"/>
        <v/>
      </c>
      <c r="Y190" s="127" t="str">
        <f t="shared" si="5"/>
        <v/>
      </c>
    </row>
    <row r="191">
      <c r="A191" s="127"/>
      <c r="B191" s="127" t="str">
        <f>IF(A191="","",VLOOKUP(A191,'BASE OS'!$A$2:$I1000,2,FALSE))</f>
        <v/>
      </c>
      <c r="C191" s="132"/>
      <c r="D191" s="127"/>
      <c r="E191" s="127"/>
      <c r="F191" s="127"/>
      <c r="G191" s="127"/>
      <c r="H191" s="130"/>
      <c r="I191" s="130"/>
      <c r="J191" s="130">
        <f t="shared" si="1"/>
        <v>0</v>
      </c>
      <c r="K191" s="130"/>
      <c r="L191" s="130"/>
      <c r="M191" s="130">
        <f t="shared" si="2"/>
        <v>0</v>
      </c>
      <c r="N191" s="130"/>
      <c r="O191" s="130"/>
      <c r="P191" s="127"/>
      <c r="Q191" s="127"/>
      <c r="R191" s="127"/>
      <c r="S191" s="127"/>
      <c r="T191" s="127" t="str">
        <f>IF(A191="","",VLOOKUP(A191,'BASE OS'!$A$2:$I1000,4,FALSE))</f>
        <v/>
      </c>
      <c r="U191" s="127"/>
      <c r="V191" s="127"/>
      <c r="W191" s="127" t="str">
        <f t="shared" si="3"/>
        <v/>
      </c>
      <c r="X191" s="127" t="str">
        <f t="shared" si="4"/>
        <v/>
      </c>
      <c r="Y191" s="127" t="str">
        <f t="shared" si="5"/>
        <v/>
      </c>
    </row>
    <row r="192">
      <c r="A192" s="127"/>
      <c r="B192" s="127" t="str">
        <f>IF(A192="","",VLOOKUP(A192,'BASE OS'!$A$2:$I1000,2,FALSE))</f>
        <v/>
      </c>
      <c r="C192" s="132"/>
      <c r="D192" s="127"/>
      <c r="E192" s="127"/>
      <c r="F192" s="127"/>
      <c r="G192" s="127"/>
      <c r="H192" s="130"/>
      <c r="I192" s="130"/>
      <c r="J192" s="130">
        <f t="shared" si="1"/>
        <v>0</v>
      </c>
      <c r="K192" s="130"/>
      <c r="L192" s="130"/>
      <c r="M192" s="130">
        <f t="shared" si="2"/>
        <v>0</v>
      </c>
      <c r="N192" s="130"/>
      <c r="O192" s="130"/>
      <c r="P192" s="127"/>
      <c r="Q192" s="127"/>
      <c r="R192" s="127"/>
      <c r="S192" s="127"/>
      <c r="T192" s="127" t="str">
        <f>IF(A192="","",VLOOKUP(A192,'BASE OS'!$A$2:$I1000,4,FALSE))</f>
        <v/>
      </c>
      <c r="U192" s="127"/>
      <c r="V192" s="127"/>
      <c r="W192" s="127" t="str">
        <f t="shared" si="3"/>
        <v/>
      </c>
      <c r="X192" s="127" t="str">
        <f t="shared" si="4"/>
        <v/>
      </c>
      <c r="Y192" s="127" t="str">
        <f t="shared" si="5"/>
        <v/>
      </c>
    </row>
    <row r="193">
      <c r="A193" s="127"/>
      <c r="B193" s="127" t="str">
        <f>IF(A193="","",VLOOKUP(A193,'BASE OS'!$A$2:$I1000,2,FALSE))</f>
        <v/>
      </c>
      <c r="C193" s="132"/>
      <c r="D193" s="127"/>
      <c r="E193" s="127"/>
      <c r="F193" s="127"/>
      <c r="G193" s="127"/>
      <c r="H193" s="130"/>
      <c r="I193" s="130"/>
      <c r="J193" s="130">
        <f t="shared" si="1"/>
        <v>0</v>
      </c>
      <c r="K193" s="130"/>
      <c r="L193" s="130"/>
      <c r="M193" s="130">
        <f t="shared" si="2"/>
        <v>0</v>
      </c>
      <c r="N193" s="130"/>
      <c r="O193" s="130"/>
      <c r="P193" s="127"/>
      <c r="Q193" s="127"/>
      <c r="R193" s="127"/>
      <c r="S193" s="127"/>
      <c r="T193" s="127" t="str">
        <f>IF(A193="","",VLOOKUP(A193,'BASE OS'!$A$2:$I1000,4,FALSE))</f>
        <v/>
      </c>
      <c r="U193" s="127"/>
      <c r="V193" s="127"/>
      <c r="W193" s="127" t="str">
        <f t="shared" si="3"/>
        <v/>
      </c>
      <c r="X193" s="127" t="str">
        <f t="shared" si="4"/>
        <v/>
      </c>
      <c r="Y193" s="127" t="str">
        <f t="shared" si="5"/>
        <v/>
      </c>
    </row>
    <row r="194">
      <c r="A194" s="127"/>
      <c r="B194" s="127" t="str">
        <f>IF(A194="","",VLOOKUP(A194,'BASE OS'!$A$2:$I1000,2,FALSE))</f>
        <v/>
      </c>
      <c r="C194" s="132"/>
      <c r="D194" s="127"/>
      <c r="E194" s="127"/>
      <c r="F194" s="127"/>
      <c r="G194" s="127"/>
      <c r="H194" s="130"/>
      <c r="I194" s="130"/>
      <c r="J194" s="130">
        <f t="shared" si="1"/>
        <v>0</v>
      </c>
      <c r="K194" s="130"/>
      <c r="L194" s="130"/>
      <c r="M194" s="130">
        <f t="shared" si="2"/>
        <v>0</v>
      </c>
      <c r="N194" s="130"/>
      <c r="O194" s="130"/>
      <c r="P194" s="127"/>
      <c r="Q194" s="127"/>
      <c r="R194" s="127"/>
      <c r="S194" s="127"/>
      <c r="T194" s="127" t="str">
        <f>IF(A194="","",VLOOKUP(A194,'BASE OS'!$A$2:$I1000,4,FALSE))</f>
        <v/>
      </c>
      <c r="U194" s="127"/>
      <c r="V194" s="127"/>
      <c r="W194" s="127" t="str">
        <f t="shared" si="3"/>
        <v/>
      </c>
      <c r="X194" s="127" t="str">
        <f t="shared" si="4"/>
        <v/>
      </c>
      <c r="Y194" s="127" t="str">
        <f t="shared" si="5"/>
        <v/>
      </c>
    </row>
    <row r="195">
      <c r="A195" s="127"/>
      <c r="B195" s="127" t="str">
        <f>IF(A195="","",VLOOKUP(A195,'BASE OS'!$A$2:$I1000,2,FALSE))</f>
        <v/>
      </c>
      <c r="C195" s="132"/>
      <c r="D195" s="127"/>
      <c r="E195" s="127"/>
      <c r="F195" s="127"/>
      <c r="G195" s="127"/>
      <c r="H195" s="130"/>
      <c r="I195" s="130"/>
      <c r="J195" s="130">
        <f t="shared" si="1"/>
        <v>0</v>
      </c>
      <c r="K195" s="130"/>
      <c r="L195" s="130"/>
      <c r="M195" s="130">
        <f t="shared" si="2"/>
        <v>0</v>
      </c>
      <c r="N195" s="130"/>
      <c r="O195" s="130"/>
      <c r="P195" s="127"/>
      <c r="Q195" s="127"/>
      <c r="R195" s="127"/>
      <c r="S195" s="127"/>
      <c r="T195" s="127" t="str">
        <f>IF(A195="","",VLOOKUP(A195,'BASE OS'!$A$2:$I1000,4,FALSE))</f>
        <v/>
      </c>
      <c r="U195" s="127"/>
      <c r="V195" s="127"/>
      <c r="W195" s="127" t="str">
        <f t="shared" si="3"/>
        <v/>
      </c>
      <c r="X195" s="127" t="str">
        <f t="shared" si="4"/>
        <v/>
      </c>
      <c r="Y195" s="127" t="str">
        <f t="shared" si="5"/>
        <v/>
      </c>
    </row>
    <row r="196">
      <c r="A196" s="127"/>
      <c r="B196" s="127" t="str">
        <f>IF(A196="","",VLOOKUP(A196,'BASE OS'!$A$2:$I1000,2,FALSE))</f>
        <v/>
      </c>
      <c r="C196" s="132"/>
      <c r="D196" s="127"/>
      <c r="E196" s="127"/>
      <c r="F196" s="127"/>
      <c r="G196" s="127"/>
      <c r="H196" s="130"/>
      <c r="I196" s="130"/>
      <c r="J196" s="130">
        <f t="shared" si="1"/>
        <v>0</v>
      </c>
      <c r="K196" s="130"/>
      <c r="L196" s="130"/>
      <c r="M196" s="130">
        <f t="shared" si="2"/>
        <v>0</v>
      </c>
      <c r="N196" s="130"/>
      <c r="O196" s="130"/>
      <c r="P196" s="127"/>
      <c r="Q196" s="127"/>
      <c r="R196" s="127"/>
      <c r="S196" s="127"/>
      <c r="T196" s="127" t="str">
        <f>IF(A196="","",VLOOKUP(A196,'BASE OS'!$A$2:$I1000,4,FALSE))</f>
        <v/>
      </c>
      <c r="U196" s="127"/>
      <c r="V196" s="127"/>
      <c r="W196" s="127" t="str">
        <f t="shared" si="3"/>
        <v/>
      </c>
      <c r="X196" s="127" t="str">
        <f t="shared" si="4"/>
        <v/>
      </c>
      <c r="Y196" s="127" t="str">
        <f t="shared" si="5"/>
        <v/>
      </c>
    </row>
    <row r="197">
      <c r="A197" s="127"/>
      <c r="B197" s="127" t="str">
        <f>IF(A197="","",VLOOKUP(A197,'BASE OS'!$A$2:$I1000,2,FALSE))</f>
        <v/>
      </c>
      <c r="C197" s="132"/>
      <c r="D197" s="127"/>
      <c r="E197" s="127"/>
      <c r="F197" s="127"/>
      <c r="G197" s="127"/>
      <c r="H197" s="130"/>
      <c r="I197" s="130"/>
      <c r="J197" s="130">
        <f t="shared" si="1"/>
        <v>0</v>
      </c>
      <c r="K197" s="130"/>
      <c r="L197" s="130"/>
      <c r="M197" s="130">
        <f t="shared" si="2"/>
        <v>0</v>
      </c>
      <c r="N197" s="130"/>
      <c r="O197" s="130"/>
      <c r="P197" s="127"/>
      <c r="Q197" s="127"/>
      <c r="R197" s="127"/>
      <c r="S197" s="127"/>
      <c r="T197" s="127" t="str">
        <f>IF(A197="","",VLOOKUP(A197,'BASE OS'!$A$2:$I1000,4,FALSE))</f>
        <v/>
      </c>
      <c r="U197" s="127"/>
      <c r="V197" s="127"/>
      <c r="W197" s="127" t="str">
        <f t="shared" si="3"/>
        <v/>
      </c>
      <c r="X197" s="127" t="str">
        <f t="shared" si="4"/>
        <v/>
      </c>
      <c r="Y197" s="127" t="str">
        <f t="shared" si="5"/>
        <v/>
      </c>
    </row>
    <row r="198">
      <c r="A198" s="127"/>
      <c r="B198" s="127" t="str">
        <f>IF(A198="","",VLOOKUP(A198,'BASE OS'!$A$2:$I1000,2,FALSE))</f>
        <v/>
      </c>
      <c r="C198" s="132"/>
      <c r="D198" s="127"/>
      <c r="E198" s="127"/>
      <c r="F198" s="127"/>
      <c r="G198" s="127"/>
      <c r="H198" s="130"/>
      <c r="I198" s="130"/>
      <c r="J198" s="130">
        <f t="shared" si="1"/>
        <v>0</v>
      </c>
      <c r="K198" s="130"/>
      <c r="L198" s="130"/>
      <c r="M198" s="130">
        <f t="shared" si="2"/>
        <v>0</v>
      </c>
      <c r="N198" s="130"/>
      <c r="O198" s="130"/>
      <c r="P198" s="127"/>
      <c r="Q198" s="127"/>
      <c r="R198" s="127"/>
      <c r="S198" s="127"/>
      <c r="T198" s="127" t="str">
        <f>IF(A198="","",VLOOKUP(A198,'BASE OS'!$A$2:$I1000,4,FALSE))</f>
        <v/>
      </c>
      <c r="U198" s="127"/>
      <c r="V198" s="127"/>
      <c r="W198" s="127" t="str">
        <f t="shared" si="3"/>
        <v/>
      </c>
      <c r="X198" s="127" t="str">
        <f t="shared" si="4"/>
        <v/>
      </c>
      <c r="Y198" s="127" t="str">
        <f t="shared" si="5"/>
        <v/>
      </c>
    </row>
    <row r="199">
      <c r="A199" s="127"/>
      <c r="B199" s="127" t="str">
        <f>IF(A199="","",VLOOKUP(A199,'BASE OS'!$A$2:$I1000,2,FALSE))</f>
        <v/>
      </c>
      <c r="C199" s="132"/>
      <c r="D199" s="127"/>
      <c r="E199" s="127"/>
      <c r="F199" s="127"/>
      <c r="G199" s="127"/>
      <c r="H199" s="130"/>
      <c r="I199" s="130"/>
      <c r="J199" s="130">
        <f t="shared" si="1"/>
        <v>0</v>
      </c>
      <c r="K199" s="130"/>
      <c r="L199" s="130"/>
      <c r="M199" s="130">
        <f t="shared" si="2"/>
        <v>0</v>
      </c>
      <c r="N199" s="130"/>
      <c r="O199" s="130"/>
      <c r="P199" s="127"/>
      <c r="Q199" s="127"/>
      <c r="R199" s="127"/>
      <c r="S199" s="127"/>
      <c r="T199" s="127" t="str">
        <f>IF(A199="","",VLOOKUP(A199,'BASE OS'!$A$2:$I1000,4,FALSE))</f>
        <v/>
      </c>
      <c r="U199" s="127"/>
      <c r="V199" s="127"/>
      <c r="W199" s="127" t="str">
        <f t="shared" si="3"/>
        <v/>
      </c>
      <c r="X199" s="127" t="str">
        <f t="shared" si="4"/>
        <v/>
      </c>
      <c r="Y199" s="127" t="str">
        <f t="shared" si="5"/>
        <v/>
      </c>
    </row>
    <row r="200">
      <c r="A200" s="127"/>
      <c r="B200" s="127" t="str">
        <f>IF(A200="","",VLOOKUP(A200,'BASE OS'!$A$2:$I1000,2,FALSE))</f>
        <v/>
      </c>
      <c r="C200" s="132"/>
      <c r="D200" s="127"/>
      <c r="E200" s="127"/>
      <c r="F200" s="127"/>
      <c r="G200" s="127"/>
      <c r="H200" s="130"/>
      <c r="I200" s="130"/>
      <c r="J200" s="130">
        <f t="shared" si="1"/>
        <v>0</v>
      </c>
      <c r="K200" s="130"/>
      <c r="L200" s="130"/>
      <c r="M200" s="130">
        <f t="shared" si="2"/>
        <v>0</v>
      </c>
      <c r="N200" s="130"/>
      <c r="O200" s="130"/>
      <c r="P200" s="127"/>
      <c r="Q200" s="127"/>
      <c r="R200" s="127"/>
      <c r="S200" s="127"/>
      <c r="T200" s="127" t="str">
        <f>IF(A200="","",VLOOKUP(A200,'BASE OS'!$A$2:$I1000,4,FALSE))</f>
        <v/>
      </c>
      <c r="U200" s="127"/>
      <c r="V200" s="127"/>
      <c r="W200" s="127" t="str">
        <f t="shared" si="3"/>
        <v/>
      </c>
      <c r="X200" s="127" t="str">
        <f t="shared" si="4"/>
        <v/>
      </c>
      <c r="Y200" s="127" t="str">
        <f t="shared" si="5"/>
        <v/>
      </c>
    </row>
    <row r="201">
      <c r="A201" s="127"/>
      <c r="B201" s="127" t="str">
        <f>IF(A201="","",VLOOKUP(A201,'BASE OS'!$A$2:$I1000,2,FALSE))</f>
        <v/>
      </c>
      <c r="C201" s="132"/>
      <c r="D201" s="127"/>
      <c r="E201" s="127"/>
      <c r="F201" s="127"/>
      <c r="G201" s="127"/>
      <c r="H201" s="130"/>
      <c r="I201" s="130"/>
      <c r="J201" s="130">
        <f t="shared" si="1"/>
        <v>0</v>
      </c>
      <c r="K201" s="130"/>
      <c r="L201" s="130"/>
      <c r="M201" s="130">
        <f t="shared" si="2"/>
        <v>0</v>
      </c>
      <c r="N201" s="130"/>
      <c r="O201" s="130"/>
      <c r="P201" s="127"/>
      <c r="Q201" s="127"/>
      <c r="R201" s="127"/>
      <c r="S201" s="127"/>
      <c r="T201" s="127" t="str">
        <f>IF(A201="","",VLOOKUP(A201,'BASE OS'!$A$2:$I1000,4,FALSE))</f>
        <v/>
      </c>
      <c r="U201" s="127"/>
      <c r="V201" s="127"/>
      <c r="W201" s="127" t="str">
        <f t="shared" si="3"/>
        <v/>
      </c>
      <c r="X201" s="127" t="str">
        <f t="shared" si="4"/>
        <v/>
      </c>
      <c r="Y201" s="127" t="str">
        <f t="shared" si="5"/>
        <v/>
      </c>
    </row>
    <row r="202">
      <c r="A202" s="127"/>
      <c r="B202" s="127" t="str">
        <f>IF(A202="","",VLOOKUP(A202,'BASE OS'!$A$2:$I1000,2,FALSE))</f>
        <v/>
      </c>
      <c r="C202" s="132"/>
      <c r="D202" s="127"/>
      <c r="E202" s="127"/>
      <c r="F202" s="127"/>
      <c r="G202" s="127"/>
      <c r="H202" s="130"/>
      <c r="I202" s="130"/>
      <c r="J202" s="130">
        <f t="shared" si="1"/>
        <v>0</v>
      </c>
      <c r="K202" s="130"/>
      <c r="L202" s="130"/>
      <c r="M202" s="130">
        <f t="shared" si="2"/>
        <v>0</v>
      </c>
      <c r="N202" s="130"/>
      <c r="O202" s="130"/>
      <c r="P202" s="127"/>
      <c r="Q202" s="127"/>
      <c r="R202" s="127"/>
      <c r="S202" s="127"/>
      <c r="T202" s="127" t="str">
        <f>IF(A202="","",VLOOKUP(A202,'BASE OS'!$A$2:$I1000,4,FALSE))</f>
        <v/>
      </c>
      <c r="U202" s="127"/>
      <c r="V202" s="127"/>
      <c r="W202" s="127" t="str">
        <f t="shared" si="3"/>
        <v/>
      </c>
      <c r="X202" s="127" t="str">
        <f t="shared" si="4"/>
        <v/>
      </c>
      <c r="Y202" s="127" t="str">
        <f t="shared" si="5"/>
        <v/>
      </c>
    </row>
    <row r="203">
      <c r="A203" s="127"/>
      <c r="B203" s="127" t="str">
        <f>IF(A203="","",VLOOKUP(A203,'BASE OS'!$A$2:$I1000,2,FALSE))</f>
        <v/>
      </c>
      <c r="C203" s="132"/>
      <c r="D203" s="127"/>
      <c r="E203" s="127"/>
      <c r="F203" s="127"/>
      <c r="G203" s="127"/>
      <c r="H203" s="130"/>
      <c r="I203" s="130"/>
      <c r="J203" s="130">
        <f t="shared" si="1"/>
        <v>0</v>
      </c>
      <c r="K203" s="130"/>
      <c r="L203" s="130"/>
      <c r="M203" s="130">
        <f t="shared" si="2"/>
        <v>0</v>
      </c>
      <c r="N203" s="130"/>
      <c r="O203" s="130"/>
      <c r="P203" s="127"/>
      <c r="Q203" s="127"/>
      <c r="R203" s="127"/>
      <c r="S203" s="127"/>
      <c r="T203" s="127" t="str">
        <f>IF(A203="","",VLOOKUP(A203,'BASE OS'!$A$2:$I1000,4,FALSE))</f>
        <v/>
      </c>
      <c r="U203" s="127"/>
      <c r="V203" s="127"/>
      <c r="W203" s="127" t="str">
        <f t="shared" si="3"/>
        <v/>
      </c>
      <c r="X203" s="127" t="str">
        <f t="shared" si="4"/>
        <v/>
      </c>
      <c r="Y203" s="127" t="str">
        <f t="shared" si="5"/>
        <v/>
      </c>
    </row>
    <row r="204">
      <c r="A204" s="127"/>
      <c r="B204" s="127" t="str">
        <f>IF(A204="","",VLOOKUP(A204,'BASE OS'!$A$2:$I1000,2,FALSE))</f>
        <v/>
      </c>
      <c r="C204" s="132"/>
      <c r="D204" s="127"/>
      <c r="E204" s="127"/>
      <c r="F204" s="127"/>
      <c r="G204" s="127"/>
      <c r="H204" s="130"/>
      <c r="I204" s="130"/>
      <c r="J204" s="130">
        <f t="shared" si="1"/>
        <v>0</v>
      </c>
      <c r="K204" s="130"/>
      <c r="L204" s="130"/>
      <c r="M204" s="130">
        <f t="shared" si="2"/>
        <v>0</v>
      </c>
      <c r="N204" s="130"/>
      <c r="O204" s="130"/>
      <c r="P204" s="127"/>
      <c r="Q204" s="127"/>
      <c r="R204" s="127"/>
      <c r="S204" s="127"/>
      <c r="T204" s="127" t="str">
        <f>IF(A204="","",VLOOKUP(A204,'BASE OS'!$A$2:$I1000,4,FALSE))</f>
        <v/>
      </c>
      <c r="U204" s="127"/>
      <c r="V204" s="127"/>
      <c r="W204" s="127" t="str">
        <f t="shared" si="3"/>
        <v/>
      </c>
      <c r="X204" s="127" t="str">
        <f t="shared" si="4"/>
        <v/>
      </c>
      <c r="Y204" s="127" t="str">
        <f t="shared" si="5"/>
        <v/>
      </c>
    </row>
    <row r="205">
      <c r="A205" s="127"/>
      <c r="B205" s="127" t="str">
        <f>IF(A205="","",VLOOKUP(A205,'BASE OS'!$A$2:$I1000,2,FALSE))</f>
        <v/>
      </c>
      <c r="C205" s="132"/>
      <c r="D205" s="127"/>
      <c r="E205" s="127"/>
      <c r="F205" s="127"/>
      <c r="G205" s="127"/>
      <c r="H205" s="130"/>
      <c r="I205" s="130"/>
      <c r="J205" s="130">
        <f t="shared" si="1"/>
        <v>0</v>
      </c>
      <c r="K205" s="130"/>
      <c r="L205" s="130"/>
      <c r="M205" s="130">
        <f t="shared" si="2"/>
        <v>0</v>
      </c>
      <c r="N205" s="130"/>
      <c r="O205" s="130"/>
      <c r="P205" s="127"/>
      <c r="Q205" s="127"/>
      <c r="R205" s="127"/>
      <c r="S205" s="127"/>
      <c r="T205" s="127" t="str">
        <f>IF(A205="","",VLOOKUP(A205,'BASE OS'!$A$2:$I1000,4,FALSE))</f>
        <v/>
      </c>
      <c r="U205" s="127"/>
      <c r="V205" s="127"/>
      <c r="W205" s="127" t="str">
        <f t="shared" si="3"/>
        <v/>
      </c>
      <c r="X205" s="127" t="str">
        <f t="shared" si="4"/>
        <v/>
      </c>
      <c r="Y205" s="127" t="str">
        <f t="shared" si="5"/>
        <v/>
      </c>
    </row>
    <row r="206">
      <c r="A206" s="127"/>
      <c r="B206" s="127" t="str">
        <f>IF(A206="","",VLOOKUP(A206,'BASE OS'!$A$2:$I1000,2,FALSE))</f>
        <v/>
      </c>
      <c r="C206" s="132"/>
      <c r="D206" s="127"/>
      <c r="E206" s="127"/>
      <c r="F206" s="127"/>
      <c r="G206" s="127"/>
      <c r="H206" s="130"/>
      <c r="I206" s="130"/>
      <c r="J206" s="130">
        <f t="shared" si="1"/>
        <v>0</v>
      </c>
      <c r="K206" s="130"/>
      <c r="L206" s="130"/>
      <c r="M206" s="130">
        <f t="shared" si="2"/>
        <v>0</v>
      </c>
      <c r="N206" s="130"/>
      <c r="O206" s="130"/>
      <c r="P206" s="127"/>
      <c r="Q206" s="127"/>
      <c r="R206" s="127"/>
      <c r="S206" s="127"/>
      <c r="T206" s="127" t="str">
        <f>IF(A206="","",VLOOKUP(A206,'BASE OS'!$A$2:$I1000,4,FALSE))</f>
        <v/>
      </c>
      <c r="U206" s="127"/>
      <c r="V206" s="127"/>
      <c r="W206" s="127" t="str">
        <f t="shared" si="3"/>
        <v/>
      </c>
      <c r="X206" s="127" t="str">
        <f t="shared" si="4"/>
        <v/>
      </c>
      <c r="Y206" s="127" t="str">
        <f t="shared" si="5"/>
        <v/>
      </c>
    </row>
    <row r="207">
      <c r="A207" s="127"/>
      <c r="B207" s="127" t="str">
        <f>IF(A207="","",VLOOKUP(A207,'BASE OS'!$A$2:$I1000,2,FALSE))</f>
        <v/>
      </c>
      <c r="C207" s="132"/>
      <c r="D207" s="127"/>
      <c r="E207" s="127"/>
      <c r="F207" s="127"/>
      <c r="G207" s="127"/>
      <c r="H207" s="130"/>
      <c r="I207" s="130"/>
      <c r="J207" s="130">
        <f t="shared" si="1"/>
        <v>0</v>
      </c>
      <c r="K207" s="130"/>
      <c r="L207" s="130"/>
      <c r="M207" s="130">
        <f t="shared" si="2"/>
        <v>0</v>
      </c>
      <c r="N207" s="130"/>
      <c r="O207" s="130"/>
      <c r="P207" s="127"/>
      <c r="Q207" s="127"/>
      <c r="R207" s="127"/>
      <c r="S207" s="127"/>
      <c r="T207" s="127" t="str">
        <f>IF(A207="","",VLOOKUP(A207,'BASE OS'!$A$2:$I1000,4,FALSE))</f>
        <v/>
      </c>
      <c r="U207" s="127"/>
      <c r="V207" s="127"/>
      <c r="W207" s="127" t="str">
        <f t="shared" si="3"/>
        <v/>
      </c>
      <c r="X207" s="127" t="str">
        <f t="shared" si="4"/>
        <v/>
      </c>
      <c r="Y207" s="127" t="str">
        <f t="shared" si="5"/>
        <v/>
      </c>
    </row>
    <row r="208">
      <c r="A208" s="127"/>
      <c r="B208" s="127" t="str">
        <f>IF(A208="","",VLOOKUP(A208,'BASE OS'!$A$2:$I1000,2,FALSE))</f>
        <v/>
      </c>
      <c r="C208" s="132"/>
      <c r="D208" s="127"/>
      <c r="E208" s="127"/>
      <c r="F208" s="127"/>
      <c r="G208" s="127"/>
      <c r="H208" s="130"/>
      <c r="I208" s="130"/>
      <c r="J208" s="130">
        <f t="shared" si="1"/>
        <v>0</v>
      </c>
      <c r="K208" s="130"/>
      <c r="L208" s="130"/>
      <c r="M208" s="130">
        <f t="shared" si="2"/>
        <v>0</v>
      </c>
      <c r="N208" s="130"/>
      <c r="O208" s="130"/>
      <c r="P208" s="127"/>
      <c r="Q208" s="127"/>
      <c r="R208" s="127"/>
      <c r="S208" s="127"/>
      <c r="T208" s="127" t="str">
        <f>IF(A208="","",VLOOKUP(A208,'BASE OS'!$A$2:$I1000,4,FALSE))</f>
        <v/>
      </c>
      <c r="U208" s="127"/>
      <c r="V208" s="127"/>
      <c r="W208" s="127" t="str">
        <f t="shared" si="3"/>
        <v/>
      </c>
      <c r="X208" s="127" t="str">
        <f t="shared" si="4"/>
        <v/>
      </c>
      <c r="Y208" s="127" t="str">
        <f t="shared" si="5"/>
        <v/>
      </c>
    </row>
    <row r="209">
      <c r="A209" s="127"/>
      <c r="B209" s="127" t="str">
        <f>IF(A209="","",VLOOKUP(A209,'BASE OS'!$A$2:$I1000,2,FALSE))</f>
        <v/>
      </c>
      <c r="C209" s="132"/>
      <c r="D209" s="127"/>
      <c r="E209" s="127"/>
      <c r="F209" s="127"/>
      <c r="G209" s="127"/>
      <c r="H209" s="130"/>
      <c r="I209" s="130"/>
      <c r="J209" s="130">
        <f t="shared" si="1"/>
        <v>0</v>
      </c>
      <c r="K209" s="130"/>
      <c r="L209" s="130"/>
      <c r="M209" s="130">
        <f t="shared" si="2"/>
        <v>0</v>
      </c>
      <c r="N209" s="130"/>
      <c r="O209" s="130"/>
      <c r="P209" s="127"/>
      <c r="Q209" s="127"/>
      <c r="R209" s="127"/>
      <c r="S209" s="127"/>
      <c r="T209" s="127" t="str">
        <f>IF(A209="","",VLOOKUP(A209,'BASE OS'!$A$2:$I1000,4,FALSE))</f>
        <v/>
      </c>
      <c r="U209" s="127"/>
      <c r="V209" s="127"/>
      <c r="W209" s="127" t="str">
        <f t="shared" si="3"/>
        <v/>
      </c>
      <c r="X209" s="127" t="str">
        <f t="shared" si="4"/>
        <v/>
      </c>
      <c r="Y209" s="127" t="str">
        <f t="shared" si="5"/>
        <v/>
      </c>
    </row>
    <row r="210">
      <c r="A210" s="127"/>
      <c r="B210" s="127" t="str">
        <f>IF(A210="","",VLOOKUP(A210,'BASE OS'!$A$2:$I1000,2,FALSE))</f>
        <v/>
      </c>
      <c r="C210" s="132"/>
      <c r="D210" s="127"/>
      <c r="E210" s="127"/>
      <c r="F210" s="127"/>
      <c r="G210" s="127"/>
      <c r="H210" s="130"/>
      <c r="I210" s="130"/>
      <c r="J210" s="130">
        <f t="shared" si="1"/>
        <v>0</v>
      </c>
      <c r="K210" s="130"/>
      <c r="L210" s="130"/>
      <c r="M210" s="130">
        <f t="shared" si="2"/>
        <v>0</v>
      </c>
      <c r="N210" s="130"/>
      <c r="O210" s="130"/>
      <c r="P210" s="127"/>
      <c r="Q210" s="127"/>
      <c r="R210" s="127"/>
      <c r="S210" s="127"/>
      <c r="T210" s="127" t="str">
        <f>IF(A210="","",VLOOKUP(A210,'BASE OS'!$A$2:$I1000,4,FALSE))</f>
        <v/>
      </c>
      <c r="U210" s="127"/>
      <c r="V210" s="127"/>
      <c r="W210" s="127" t="str">
        <f t="shared" si="3"/>
        <v/>
      </c>
      <c r="X210" s="127" t="str">
        <f t="shared" si="4"/>
        <v/>
      </c>
      <c r="Y210" s="127" t="str">
        <f t="shared" si="5"/>
        <v/>
      </c>
    </row>
    <row r="211">
      <c r="A211" s="127"/>
      <c r="B211" s="127" t="str">
        <f>IF(A211="","",VLOOKUP(A211,'BASE OS'!$A$2:$I1000,2,FALSE))</f>
        <v/>
      </c>
      <c r="C211" s="132"/>
      <c r="D211" s="127"/>
      <c r="E211" s="127"/>
      <c r="F211" s="127"/>
      <c r="G211" s="127"/>
      <c r="H211" s="130"/>
      <c r="I211" s="130"/>
      <c r="J211" s="130">
        <f t="shared" si="1"/>
        <v>0</v>
      </c>
      <c r="K211" s="130"/>
      <c r="L211" s="130"/>
      <c r="M211" s="130">
        <f t="shared" si="2"/>
        <v>0</v>
      </c>
      <c r="N211" s="130"/>
      <c r="O211" s="130"/>
      <c r="P211" s="127"/>
      <c r="Q211" s="127"/>
      <c r="R211" s="127"/>
      <c r="S211" s="127"/>
      <c r="T211" s="127" t="str">
        <f>IF(A211="","",VLOOKUP(A211,'BASE OS'!$A$2:$I1000,4,FALSE))</f>
        <v/>
      </c>
      <c r="U211" s="127"/>
      <c r="V211" s="127"/>
      <c r="W211" s="127" t="str">
        <f t="shared" si="3"/>
        <v/>
      </c>
      <c r="X211" s="127" t="str">
        <f t="shared" si="4"/>
        <v/>
      </c>
      <c r="Y211" s="127" t="str">
        <f t="shared" si="5"/>
        <v/>
      </c>
    </row>
    <row r="212">
      <c r="A212" s="127"/>
      <c r="B212" s="127" t="str">
        <f>IF(A212="","",VLOOKUP(A212,'BASE OS'!$A$2:$I1000,2,FALSE))</f>
        <v/>
      </c>
      <c r="C212" s="132"/>
      <c r="D212" s="127"/>
      <c r="E212" s="127"/>
      <c r="F212" s="127"/>
      <c r="G212" s="127"/>
      <c r="H212" s="130"/>
      <c r="I212" s="130"/>
      <c r="J212" s="130">
        <f t="shared" si="1"/>
        <v>0</v>
      </c>
      <c r="K212" s="130"/>
      <c r="L212" s="130"/>
      <c r="M212" s="130">
        <f t="shared" si="2"/>
        <v>0</v>
      </c>
      <c r="N212" s="130"/>
      <c r="O212" s="130"/>
      <c r="P212" s="127"/>
      <c r="Q212" s="127"/>
      <c r="R212" s="127"/>
      <c r="S212" s="127"/>
      <c r="T212" s="127" t="str">
        <f>IF(A212="","",VLOOKUP(A212,'BASE OS'!$A$2:$I1000,4,FALSE))</f>
        <v/>
      </c>
      <c r="U212" s="127"/>
      <c r="V212" s="127"/>
      <c r="W212" s="127" t="str">
        <f t="shared" si="3"/>
        <v/>
      </c>
      <c r="X212" s="127" t="str">
        <f t="shared" si="4"/>
        <v/>
      </c>
      <c r="Y212" s="127" t="str">
        <f t="shared" si="5"/>
        <v/>
      </c>
    </row>
    <row r="213">
      <c r="A213" s="127"/>
      <c r="B213" s="127" t="str">
        <f>IF(A213="","",VLOOKUP(A213,'BASE OS'!$A$2:$I1000,2,FALSE))</f>
        <v/>
      </c>
      <c r="C213" s="132"/>
      <c r="D213" s="127"/>
      <c r="E213" s="127"/>
      <c r="F213" s="127"/>
      <c r="G213" s="127"/>
      <c r="H213" s="130"/>
      <c r="I213" s="130"/>
      <c r="J213" s="130">
        <f t="shared" si="1"/>
        <v>0</v>
      </c>
      <c r="K213" s="130"/>
      <c r="L213" s="130"/>
      <c r="M213" s="130">
        <f t="shared" si="2"/>
        <v>0</v>
      </c>
      <c r="N213" s="130"/>
      <c r="O213" s="130"/>
      <c r="P213" s="127"/>
      <c r="Q213" s="127"/>
      <c r="R213" s="127"/>
      <c r="S213" s="127"/>
      <c r="T213" s="127" t="str">
        <f>IF(A213="","",VLOOKUP(A213,'BASE OS'!$A$2:$I1000,4,FALSE))</f>
        <v/>
      </c>
      <c r="U213" s="127"/>
      <c r="V213" s="127"/>
      <c r="W213" s="127" t="str">
        <f t="shared" si="3"/>
        <v/>
      </c>
      <c r="X213" s="127" t="str">
        <f t="shared" si="4"/>
        <v/>
      </c>
      <c r="Y213" s="127" t="str">
        <f t="shared" si="5"/>
        <v/>
      </c>
    </row>
    <row r="214">
      <c r="A214" s="127"/>
      <c r="B214" s="127" t="str">
        <f>IF(A214="","",VLOOKUP(A214,'BASE OS'!$A$2:$I1000,2,FALSE))</f>
        <v/>
      </c>
      <c r="C214" s="132"/>
      <c r="D214" s="127"/>
      <c r="E214" s="127"/>
      <c r="F214" s="127"/>
      <c r="G214" s="127"/>
      <c r="H214" s="130"/>
      <c r="I214" s="130"/>
      <c r="J214" s="130">
        <f t="shared" si="1"/>
        <v>0</v>
      </c>
      <c r="K214" s="130"/>
      <c r="L214" s="130"/>
      <c r="M214" s="130">
        <f t="shared" si="2"/>
        <v>0</v>
      </c>
      <c r="N214" s="130"/>
      <c r="O214" s="130"/>
      <c r="P214" s="127"/>
      <c r="Q214" s="127"/>
      <c r="R214" s="127"/>
      <c r="S214" s="127"/>
      <c r="T214" s="127" t="str">
        <f>IF(A214="","",VLOOKUP(A214,'BASE OS'!$A$2:$I1000,4,FALSE))</f>
        <v/>
      </c>
      <c r="U214" s="127"/>
      <c r="V214" s="127"/>
      <c r="W214" s="127" t="str">
        <f t="shared" si="3"/>
        <v/>
      </c>
      <c r="X214" s="127" t="str">
        <f t="shared" si="4"/>
        <v/>
      </c>
      <c r="Y214" s="127" t="str">
        <f t="shared" si="5"/>
        <v/>
      </c>
    </row>
    <row r="215">
      <c r="A215" s="127"/>
      <c r="B215" s="127" t="str">
        <f>IF(A215="","",VLOOKUP(A215,'BASE OS'!$A$2:$I1000,2,FALSE))</f>
        <v/>
      </c>
      <c r="C215" s="132"/>
      <c r="D215" s="127"/>
      <c r="E215" s="127"/>
      <c r="F215" s="127"/>
      <c r="G215" s="127"/>
      <c r="H215" s="130"/>
      <c r="I215" s="130"/>
      <c r="J215" s="130">
        <f t="shared" si="1"/>
        <v>0</v>
      </c>
      <c r="K215" s="130"/>
      <c r="L215" s="130"/>
      <c r="M215" s="130">
        <f t="shared" si="2"/>
        <v>0</v>
      </c>
      <c r="N215" s="130"/>
      <c r="O215" s="130"/>
      <c r="P215" s="127"/>
      <c r="Q215" s="127"/>
      <c r="R215" s="127"/>
      <c r="S215" s="127"/>
      <c r="T215" s="127" t="str">
        <f>IF(A215="","",VLOOKUP(A215,'BASE OS'!$A$2:$I1000,4,FALSE))</f>
        <v/>
      </c>
      <c r="U215" s="127"/>
      <c r="V215" s="127"/>
      <c r="W215" s="127" t="str">
        <f t="shared" si="3"/>
        <v/>
      </c>
      <c r="X215" s="127" t="str">
        <f t="shared" si="4"/>
        <v/>
      </c>
      <c r="Y215" s="127" t="str">
        <f t="shared" si="5"/>
        <v/>
      </c>
    </row>
    <row r="216">
      <c r="A216" s="127"/>
      <c r="B216" s="127" t="str">
        <f>IF(A216="","",VLOOKUP(A216,'BASE OS'!$A$2:$I1000,2,FALSE))</f>
        <v/>
      </c>
      <c r="C216" s="132"/>
      <c r="D216" s="127"/>
      <c r="E216" s="127"/>
      <c r="F216" s="127"/>
      <c r="G216" s="127"/>
      <c r="H216" s="130"/>
      <c r="I216" s="130"/>
      <c r="J216" s="130">
        <f t="shared" si="1"/>
        <v>0</v>
      </c>
      <c r="K216" s="130"/>
      <c r="L216" s="130"/>
      <c r="M216" s="130">
        <f t="shared" si="2"/>
        <v>0</v>
      </c>
      <c r="N216" s="130"/>
      <c r="O216" s="130"/>
      <c r="P216" s="127"/>
      <c r="Q216" s="127"/>
      <c r="R216" s="127"/>
      <c r="S216" s="127"/>
      <c r="T216" s="127" t="str">
        <f>IF(A216="","",VLOOKUP(A216,'BASE OS'!$A$2:$I1000,4,FALSE))</f>
        <v/>
      </c>
      <c r="U216" s="127"/>
      <c r="V216" s="127"/>
      <c r="W216" s="127" t="str">
        <f t="shared" si="3"/>
        <v/>
      </c>
      <c r="X216" s="127" t="str">
        <f t="shared" si="4"/>
        <v/>
      </c>
      <c r="Y216" s="127" t="str">
        <f t="shared" si="5"/>
        <v/>
      </c>
    </row>
    <row r="217">
      <c r="A217" s="127"/>
      <c r="B217" s="127" t="str">
        <f>IF(A217="","",VLOOKUP(A217,'BASE OS'!$A$2:$I1000,2,FALSE))</f>
        <v/>
      </c>
      <c r="C217" s="132"/>
      <c r="D217" s="127"/>
      <c r="E217" s="127"/>
      <c r="F217" s="127"/>
      <c r="G217" s="127"/>
      <c r="H217" s="130"/>
      <c r="I217" s="130"/>
      <c r="J217" s="130">
        <f t="shared" si="1"/>
        <v>0</v>
      </c>
      <c r="K217" s="130"/>
      <c r="L217" s="130"/>
      <c r="M217" s="130">
        <f t="shared" si="2"/>
        <v>0</v>
      </c>
      <c r="N217" s="130"/>
      <c r="O217" s="130"/>
      <c r="P217" s="127"/>
      <c r="Q217" s="127"/>
      <c r="R217" s="127"/>
      <c r="S217" s="127"/>
      <c r="T217" s="127" t="str">
        <f>IF(A217="","",VLOOKUP(A217,'BASE OS'!$A$2:$I1000,4,FALSE))</f>
        <v/>
      </c>
      <c r="U217" s="127"/>
      <c r="V217" s="127"/>
      <c r="W217" s="127" t="str">
        <f t="shared" si="3"/>
        <v/>
      </c>
      <c r="X217" s="127" t="str">
        <f t="shared" si="4"/>
        <v/>
      </c>
      <c r="Y217" s="127" t="str">
        <f t="shared" si="5"/>
        <v/>
      </c>
    </row>
    <row r="218">
      <c r="A218" s="127"/>
      <c r="B218" s="127" t="str">
        <f>IF(A218="","",VLOOKUP(A218,'BASE OS'!$A$2:$I1000,2,FALSE))</f>
        <v/>
      </c>
      <c r="C218" s="132"/>
      <c r="D218" s="127"/>
      <c r="E218" s="127"/>
      <c r="F218" s="127"/>
      <c r="G218" s="127"/>
      <c r="H218" s="130"/>
      <c r="I218" s="130"/>
      <c r="J218" s="130">
        <f t="shared" si="1"/>
        <v>0</v>
      </c>
      <c r="K218" s="130"/>
      <c r="L218" s="130"/>
      <c r="M218" s="130">
        <f t="shared" si="2"/>
        <v>0</v>
      </c>
      <c r="N218" s="130"/>
      <c r="O218" s="130"/>
      <c r="P218" s="127"/>
      <c r="Q218" s="127"/>
      <c r="R218" s="127"/>
      <c r="S218" s="127"/>
      <c r="T218" s="127" t="str">
        <f>IF(A218="","",VLOOKUP(A218,'BASE OS'!$A$2:$I1000,4,FALSE))</f>
        <v/>
      </c>
      <c r="U218" s="127"/>
      <c r="V218" s="127"/>
      <c r="W218" s="127" t="str">
        <f t="shared" si="3"/>
        <v/>
      </c>
      <c r="X218" s="127" t="str">
        <f t="shared" si="4"/>
        <v/>
      </c>
      <c r="Y218" s="127" t="str">
        <f t="shared" si="5"/>
        <v/>
      </c>
    </row>
    <row r="219">
      <c r="A219" s="127"/>
      <c r="B219" s="127" t="str">
        <f>IF(A219="","",VLOOKUP(A219,'BASE OS'!$A$2:$I1000,2,FALSE))</f>
        <v/>
      </c>
      <c r="C219" s="132"/>
      <c r="D219" s="127"/>
      <c r="E219" s="127"/>
      <c r="F219" s="127"/>
      <c r="G219" s="127"/>
      <c r="H219" s="130"/>
      <c r="I219" s="130"/>
      <c r="J219" s="130">
        <f t="shared" si="1"/>
        <v>0</v>
      </c>
      <c r="K219" s="130"/>
      <c r="L219" s="130"/>
      <c r="M219" s="130">
        <f t="shared" si="2"/>
        <v>0</v>
      </c>
      <c r="N219" s="130"/>
      <c r="O219" s="130"/>
      <c r="P219" s="127"/>
      <c r="Q219" s="127"/>
      <c r="R219" s="127"/>
      <c r="S219" s="127"/>
      <c r="T219" s="127" t="str">
        <f>IF(A219="","",VLOOKUP(A219,'BASE OS'!$A$2:$I1000,4,FALSE))</f>
        <v/>
      </c>
      <c r="U219" s="127"/>
      <c r="V219" s="127"/>
      <c r="W219" s="127" t="str">
        <f t="shared" si="3"/>
        <v/>
      </c>
      <c r="X219" s="127" t="str">
        <f t="shared" si="4"/>
        <v/>
      </c>
      <c r="Y219" s="127" t="str">
        <f t="shared" si="5"/>
        <v/>
      </c>
    </row>
    <row r="220">
      <c r="A220" s="127"/>
      <c r="B220" s="127" t="str">
        <f>IF(A220="","",VLOOKUP(A220,'BASE OS'!$A$2:$I1000,2,FALSE))</f>
        <v/>
      </c>
      <c r="C220" s="132"/>
      <c r="D220" s="127"/>
      <c r="E220" s="127"/>
      <c r="F220" s="127"/>
      <c r="G220" s="127"/>
      <c r="H220" s="130"/>
      <c r="I220" s="130"/>
      <c r="J220" s="130">
        <f t="shared" si="1"/>
        <v>0</v>
      </c>
      <c r="K220" s="130"/>
      <c r="L220" s="130"/>
      <c r="M220" s="130">
        <f t="shared" si="2"/>
        <v>0</v>
      </c>
      <c r="N220" s="130"/>
      <c r="O220" s="130"/>
      <c r="P220" s="127"/>
      <c r="Q220" s="127"/>
      <c r="R220" s="127"/>
      <c r="S220" s="127"/>
      <c r="T220" s="127" t="str">
        <f>IF(A220="","",VLOOKUP(A220,'BASE OS'!$A$2:$I1000,4,FALSE))</f>
        <v/>
      </c>
      <c r="U220" s="127"/>
      <c r="V220" s="127"/>
      <c r="W220" s="127" t="str">
        <f t="shared" si="3"/>
        <v/>
      </c>
      <c r="X220" s="127" t="str">
        <f t="shared" si="4"/>
        <v/>
      </c>
      <c r="Y220" s="127" t="str">
        <f t="shared" si="5"/>
        <v/>
      </c>
    </row>
    <row r="221">
      <c r="A221" s="127"/>
      <c r="B221" s="127" t="str">
        <f>IF(A221="","",VLOOKUP(A221,'BASE OS'!$A$2:$I1000,2,FALSE))</f>
        <v/>
      </c>
      <c r="C221" s="132"/>
      <c r="D221" s="127"/>
      <c r="E221" s="127"/>
      <c r="F221" s="127"/>
      <c r="G221" s="127"/>
      <c r="H221" s="130"/>
      <c r="I221" s="130"/>
      <c r="J221" s="130">
        <f t="shared" si="1"/>
        <v>0</v>
      </c>
      <c r="K221" s="130"/>
      <c r="L221" s="130"/>
      <c r="M221" s="130">
        <f t="shared" si="2"/>
        <v>0</v>
      </c>
      <c r="N221" s="130"/>
      <c r="O221" s="130"/>
      <c r="P221" s="127"/>
      <c r="Q221" s="127"/>
      <c r="R221" s="127"/>
      <c r="S221" s="127"/>
      <c r="T221" s="127" t="str">
        <f>IF(A221="","",VLOOKUP(A221,'BASE OS'!$A$2:$I1000,4,FALSE))</f>
        <v/>
      </c>
      <c r="U221" s="127"/>
      <c r="V221" s="127"/>
      <c r="W221" s="127" t="str">
        <f t="shared" si="3"/>
        <v/>
      </c>
      <c r="X221" s="127" t="str">
        <f t="shared" si="4"/>
        <v/>
      </c>
      <c r="Y221" s="127" t="str">
        <f t="shared" si="5"/>
        <v/>
      </c>
    </row>
    <row r="222">
      <c r="A222" s="127"/>
      <c r="B222" s="127" t="str">
        <f>IF(A222="","",VLOOKUP(A222,'BASE OS'!$A$2:$I1000,2,FALSE))</f>
        <v/>
      </c>
      <c r="C222" s="132"/>
      <c r="D222" s="127"/>
      <c r="E222" s="127"/>
      <c r="F222" s="127"/>
      <c r="G222" s="127"/>
      <c r="H222" s="130"/>
      <c r="I222" s="130"/>
      <c r="J222" s="130">
        <f t="shared" si="1"/>
        <v>0</v>
      </c>
      <c r="K222" s="130"/>
      <c r="L222" s="130"/>
      <c r="M222" s="130">
        <f t="shared" si="2"/>
        <v>0</v>
      </c>
      <c r="N222" s="130"/>
      <c r="O222" s="130"/>
      <c r="P222" s="127"/>
      <c r="Q222" s="127"/>
      <c r="R222" s="127"/>
      <c r="S222" s="127"/>
      <c r="T222" s="127" t="str">
        <f>IF(A222="","",VLOOKUP(A222,'BASE OS'!$A$2:$I1000,4,FALSE))</f>
        <v/>
      </c>
      <c r="U222" s="127"/>
      <c r="V222" s="127"/>
      <c r="W222" s="127" t="str">
        <f t="shared" si="3"/>
        <v/>
      </c>
      <c r="X222" s="127" t="str">
        <f t="shared" si="4"/>
        <v/>
      </c>
      <c r="Y222" s="127" t="str">
        <f t="shared" si="5"/>
        <v/>
      </c>
    </row>
    <row r="223">
      <c r="A223" s="127"/>
      <c r="B223" s="127" t="str">
        <f>IF(A223="","",VLOOKUP(A223,'BASE OS'!$A$2:$I1000,2,FALSE))</f>
        <v/>
      </c>
      <c r="C223" s="132"/>
      <c r="D223" s="127"/>
      <c r="E223" s="127"/>
      <c r="F223" s="127"/>
      <c r="G223" s="127"/>
      <c r="H223" s="130"/>
      <c r="I223" s="130"/>
      <c r="J223" s="130">
        <f t="shared" si="1"/>
        <v>0</v>
      </c>
      <c r="K223" s="130"/>
      <c r="L223" s="130"/>
      <c r="M223" s="130">
        <f t="shared" si="2"/>
        <v>0</v>
      </c>
      <c r="N223" s="130"/>
      <c r="O223" s="130"/>
      <c r="P223" s="127"/>
      <c r="Q223" s="127"/>
      <c r="R223" s="127"/>
      <c r="S223" s="127"/>
      <c r="T223" s="127" t="str">
        <f>IF(A223="","",VLOOKUP(A223,'BASE OS'!$A$2:$I1000,4,FALSE))</f>
        <v/>
      </c>
      <c r="U223" s="127"/>
      <c r="V223" s="127"/>
      <c r="W223" s="127" t="str">
        <f t="shared" si="3"/>
        <v/>
      </c>
      <c r="X223" s="127" t="str">
        <f t="shared" si="4"/>
        <v/>
      </c>
      <c r="Y223" s="127" t="str">
        <f t="shared" si="5"/>
        <v/>
      </c>
    </row>
    <row r="224">
      <c r="A224" s="127"/>
      <c r="B224" s="127" t="str">
        <f>IF(A224="","",VLOOKUP(A224,'BASE OS'!$A$2:$I1000,2,FALSE))</f>
        <v/>
      </c>
      <c r="C224" s="132"/>
      <c r="D224" s="127"/>
      <c r="E224" s="127"/>
      <c r="F224" s="127"/>
      <c r="G224" s="127"/>
      <c r="H224" s="130"/>
      <c r="I224" s="130"/>
      <c r="J224" s="130">
        <f t="shared" si="1"/>
        <v>0</v>
      </c>
      <c r="K224" s="130"/>
      <c r="L224" s="130"/>
      <c r="M224" s="130">
        <f t="shared" si="2"/>
        <v>0</v>
      </c>
      <c r="N224" s="130"/>
      <c r="O224" s="130"/>
      <c r="P224" s="127"/>
      <c r="Q224" s="127"/>
      <c r="R224" s="127"/>
      <c r="S224" s="127"/>
      <c r="T224" s="127" t="str">
        <f>IF(A224="","",VLOOKUP(A224,'BASE OS'!$A$2:$I1000,4,FALSE))</f>
        <v/>
      </c>
      <c r="U224" s="127"/>
      <c r="V224" s="127"/>
      <c r="W224" s="127" t="str">
        <f t="shared" si="3"/>
        <v/>
      </c>
      <c r="X224" s="127" t="str">
        <f t="shared" si="4"/>
        <v/>
      </c>
      <c r="Y224" s="127" t="str">
        <f t="shared" si="5"/>
        <v/>
      </c>
    </row>
    <row r="225">
      <c r="A225" s="127"/>
      <c r="B225" s="127" t="str">
        <f>IF(A225="","",VLOOKUP(A225,'BASE OS'!$A$2:$I1000,2,FALSE))</f>
        <v/>
      </c>
      <c r="C225" s="132"/>
      <c r="D225" s="127"/>
      <c r="E225" s="127"/>
      <c r="F225" s="127"/>
      <c r="G225" s="127"/>
      <c r="H225" s="130"/>
      <c r="I225" s="130"/>
      <c r="J225" s="130">
        <f t="shared" si="1"/>
        <v>0</v>
      </c>
      <c r="K225" s="130"/>
      <c r="L225" s="130"/>
      <c r="M225" s="130">
        <f t="shared" si="2"/>
        <v>0</v>
      </c>
      <c r="N225" s="130"/>
      <c r="O225" s="130"/>
      <c r="P225" s="127"/>
      <c r="Q225" s="127"/>
      <c r="R225" s="127"/>
      <c r="S225" s="127"/>
      <c r="T225" s="127" t="str">
        <f>IF(A225="","",VLOOKUP(A225,'BASE OS'!$A$2:$I1000,4,FALSE))</f>
        <v/>
      </c>
      <c r="U225" s="127"/>
      <c r="V225" s="127"/>
      <c r="W225" s="127" t="str">
        <f t="shared" si="3"/>
        <v/>
      </c>
      <c r="X225" s="127" t="str">
        <f t="shared" si="4"/>
        <v/>
      </c>
      <c r="Y225" s="127" t="str">
        <f t="shared" si="5"/>
        <v/>
      </c>
    </row>
    <row r="226">
      <c r="A226" s="127"/>
      <c r="B226" s="127" t="str">
        <f>IF(A226="","",VLOOKUP(A226,'BASE OS'!$A$2:$I1000,2,FALSE))</f>
        <v/>
      </c>
      <c r="C226" s="132"/>
      <c r="D226" s="127"/>
      <c r="E226" s="127"/>
      <c r="F226" s="127"/>
      <c r="G226" s="127"/>
      <c r="H226" s="130"/>
      <c r="I226" s="130"/>
      <c r="J226" s="130">
        <f t="shared" si="1"/>
        <v>0</v>
      </c>
      <c r="K226" s="130"/>
      <c r="L226" s="130"/>
      <c r="M226" s="130">
        <f t="shared" si="2"/>
        <v>0</v>
      </c>
      <c r="N226" s="130"/>
      <c r="O226" s="130"/>
      <c r="P226" s="127"/>
      <c r="Q226" s="127"/>
      <c r="R226" s="127"/>
      <c r="S226" s="127"/>
      <c r="T226" s="127" t="str">
        <f>IF(A226="","",VLOOKUP(A226,'BASE OS'!$A$2:$I1000,4,FALSE))</f>
        <v/>
      </c>
      <c r="U226" s="127"/>
      <c r="V226" s="127"/>
      <c r="W226" s="127" t="str">
        <f t="shared" si="3"/>
        <v/>
      </c>
      <c r="X226" s="127" t="str">
        <f t="shared" si="4"/>
        <v/>
      </c>
      <c r="Y226" s="127" t="str">
        <f t="shared" si="5"/>
        <v/>
      </c>
    </row>
    <row r="227">
      <c r="A227" s="127"/>
      <c r="B227" s="127" t="str">
        <f>IF(A227="","",VLOOKUP(A227,'BASE OS'!$A$2:$I1000,2,FALSE))</f>
        <v/>
      </c>
      <c r="C227" s="132"/>
      <c r="D227" s="127"/>
      <c r="E227" s="127"/>
      <c r="F227" s="127"/>
      <c r="G227" s="127"/>
      <c r="H227" s="130"/>
      <c r="I227" s="130"/>
      <c r="J227" s="130">
        <f t="shared" si="1"/>
        <v>0</v>
      </c>
      <c r="K227" s="130"/>
      <c r="L227" s="130"/>
      <c r="M227" s="130">
        <f t="shared" si="2"/>
        <v>0</v>
      </c>
      <c r="N227" s="130"/>
      <c r="O227" s="130"/>
      <c r="P227" s="127"/>
      <c r="Q227" s="127"/>
      <c r="R227" s="127"/>
      <c r="S227" s="127"/>
      <c r="T227" s="127" t="str">
        <f>IF(A227="","",VLOOKUP(A227,'BASE OS'!$A$2:$I1000,4,FALSE))</f>
        <v/>
      </c>
      <c r="U227" s="127"/>
      <c r="V227" s="127"/>
      <c r="W227" s="127" t="str">
        <f t="shared" si="3"/>
        <v/>
      </c>
      <c r="X227" s="127" t="str">
        <f t="shared" si="4"/>
        <v/>
      </c>
      <c r="Y227" s="127" t="str">
        <f t="shared" si="5"/>
        <v/>
      </c>
    </row>
    <row r="228">
      <c r="A228" s="127"/>
      <c r="B228" s="127" t="str">
        <f>IF(A228="","",VLOOKUP(A228,'BASE OS'!$A$2:$I1000,2,FALSE))</f>
        <v/>
      </c>
      <c r="C228" s="132"/>
      <c r="D228" s="127"/>
      <c r="E228" s="127"/>
      <c r="F228" s="127"/>
      <c r="G228" s="127"/>
      <c r="H228" s="130"/>
      <c r="I228" s="130"/>
      <c r="J228" s="130">
        <f t="shared" si="1"/>
        <v>0</v>
      </c>
      <c r="K228" s="130"/>
      <c r="L228" s="130"/>
      <c r="M228" s="130">
        <f t="shared" si="2"/>
        <v>0</v>
      </c>
      <c r="N228" s="130"/>
      <c r="O228" s="130"/>
      <c r="P228" s="127"/>
      <c r="Q228" s="127"/>
      <c r="R228" s="127"/>
      <c r="S228" s="127"/>
      <c r="T228" s="127" t="str">
        <f>IF(A228="","",VLOOKUP(A228,'BASE OS'!$A$2:$I1000,4,FALSE))</f>
        <v/>
      </c>
      <c r="U228" s="127"/>
      <c r="V228" s="127"/>
      <c r="W228" s="127" t="str">
        <f t="shared" si="3"/>
        <v/>
      </c>
      <c r="X228" s="127" t="str">
        <f t="shared" si="4"/>
        <v/>
      </c>
      <c r="Y228" s="127" t="str">
        <f t="shared" si="5"/>
        <v/>
      </c>
    </row>
    <row r="229">
      <c r="A229" s="127"/>
      <c r="B229" s="127" t="str">
        <f>IF(A229="","",VLOOKUP(A229,'BASE OS'!$A$2:$I1000,2,FALSE))</f>
        <v/>
      </c>
      <c r="C229" s="132"/>
      <c r="D229" s="127"/>
      <c r="E229" s="127"/>
      <c r="F229" s="127"/>
      <c r="G229" s="127"/>
      <c r="H229" s="130"/>
      <c r="I229" s="130"/>
      <c r="J229" s="130">
        <f t="shared" si="1"/>
        <v>0</v>
      </c>
      <c r="K229" s="130"/>
      <c r="L229" s="130"/>
      <c r="M229" s="130">
        <f t="shared" si="2"/>
        <v>0</v>
      </c>
      <c r="N229" s="130"/>
      <c r="O229" s="130"/>
      <c r="P229" s="127"/>
      <c r="Q229" s="127"/>
      <c r="R229" s="127"/>
      <c r="S229" s="127"/>
      <c r="T229" s="127" t="str">
        <f>IF(A229="","",VLOOKUP(A229,'BASE OS'!$A$2:$I1000,4,FALSE))</f>
        <v/>
      </c>
      <c r="U229" s="127"/>
      <c r="V229" s="127"/>
      <c r="W229" s="127" t="str">
        <f t="shared" si="3"/>
        <v/>
      </c>
      <c r="X229" s="127" t="str">
        <f t="shared" si="4"/>
        <v/>
      </c>
      <c r="Y229" s="127" t="str">
        <f t="shared" si="5"/>
        <v/>
      </c>
    </row>
    <row r="230">
      <c r="A230" s="127"/>
      <c r="B230" s="127" t="str">
        <f>IF(A230="","",VLOOKUP(A230,'BASE OS'!$A$2:$I1000,2,FALSE))</f>
        <v/>
      </c>
      <c r="C230" s="132"/>
      <c r="D230" s="127"/>
      <c r="E230" s="127"/>
      <c r="F230" s="127"/>
      <c r="G230" s="127"/>
      <c r="H230" s="130"/>
      <c r="I230" s="130"/>
      <c r="J230" s="130">
        <f t="shared" si="1"/>
        <v>0</v>
      </c>
      <c r="K230" s="130"/>
      <c r="L230" s="130"/>
      <c r="M230" s="130">
        <f t="shared" si="2"/>
        <v>0</v>
      </c>
      <c r="N230" s="130"/>
      <c r="O230" s="130"/>
      <c r="P230" s="127"/>
      <c r="Q230" s="127"/>
      <c r="R230" s="127"/>
      <c r="S230" s="127"/>
      <c r="T230" s="127" t="str">
        <f>IF(A230="","",VLOOKUP(A230,'BASE OS'!$A$2:$I1000,4,FALSE))</f>
        <v/>
      </c>
      <c r="U230" s="127"/>
      <c r="V230" s="127"/>
      <c r="W230" s="127" t="str">
        <f t="shared" si="3"/>
        <v/>
      </c>
      <c r="X230" s="127" t="str">
        <f t="shared" si="4"/>
        <v/>
      </c>
      <c r="Y230" s="127" t="str">
        <f t="shared" si="5"/>
        <v/>
      </c>
    </row>
    <row r="231">
      <c r="A231" s="127"/>
      <c r="B231" s="127" t="str">
        <f>IF(A231="","",VLOOKUP(A231,'BASE OS'!$A$2:$I1000,2,FALSE))</f>
        <v/>
      </c>
      <c r="C231" s="132"/>
      <c r="D231" s="127"/>
      <c r="E231" s="127"/>
      <c r="F231" s="127"/>
      <c r="G231" s="127"/>
      <c r="H231" s="130"/>
      <c r="I231" s="130"/>
      <c r="J231" s="130">
        <f t="shared" si="1"/>
        <v>0</v>
      </c>
      <c r="K231" s="130"/>
      <c r="L231" s="130"/>
      <c r="M231" s="130">
        <f t="shared" si="2"/>
        <v>0</v>
      </c>
      <c r="N231" s="130"/>
      <c r="O231" s="130"/>
      <c r="P231" s="127"/>
      <c r="Q231" s="127"/>
      <c r="R231" s="127"/>
      <c r="S231" s="127"/>
      <c r="T231" s="127" t="str">
        <f>IF(A231="","",VLOOKUP(A231,'BASE OS'!$A$2:$I1000,4,FALSE))</f>
        <v/>
      </c>
      <c r="U231" s="127"/>
      <c r="V231" s="127"/>
      <c r="W231" s="127" t="str">
        <f t="shared" si="3"/>
        <v/>
      </c>
      <c r="X231" s="127" t="str">
        <f t="shared" si="4"/>
        <v/>
      </c>
      <c r="Y231" s="127" t="str">
        <f t="shared" si="5"/>
        <v/>
      </c>
    </row>
    <row r="232">
      <c r="A232" s="127"/>
      <c r="B232" s="127" t="str">
        <f>IF(A232="","",VLOOKUP(A232,'BASE OS'!$A$2:$I1000,2,FALSE))</f>
        <v/>
      </c>
      <c r="C232" s="132"/>
      <c r="D232" s="127"/>
      <c r="E232" s="127"/>
      <c r="F232" s="127"/>
      <c r="G232" s="127"/>
      <c r="H232" s="130"/>
      <c r="I232" s="130"/>
      <c r="J232" s="130">
        <f t="shared" si="1"/>
        <v>0</v>
      </c>
      <c r="K232" s="130"/>
      <c r="L232" s="130"/>
      <c r="M232" s="130">
        <f t="shared" si="2"/>
        <v>0</v>
      </c>
      <c r="N232" s="130"/>
      <c r="O232" s="130"/>
      <c r="P232" s="127"/>
      <c r="Q232" s="127"/>
      <c r="R232" s="127"/>
      <c r="S232" s="127"/>
      <c r="T232" s="127" t="str">
        <f>IF(A232="","",VLOOKUP(A232,'BASE OS'!$A$2:$I1000,4,FALSE))</f>
        <v/>
      </c>
      <c r="U232" s="127"/>
      <c r="V232" s="127"/>
      <c r="W232" s="127" t="str">
        <f t="shared" si="3"/>
        <v/>
      </c>
      <c r="X232" s="127" t="str">
        <f t="shared" si="4"/>
        <v/>
      </c>
      <c r="Y232" s="127" t="str">
        <f t="shared" si="5"/>
        <v/>
      </c>
    </row>
    <row r="233">
      <c r="A233" s="127"/>
      <c r="B233" s="127" t="str">
        <f>IF(A233="","",VLOOKUP(A233,'BASE OS'!$A$2:$I1000,2,FALSE))</f>
        <v/>
      </c>
      <c r="C233" s="132"/>
      <c r="D233" s="127"/>
      <c r="E233" s="127"/>
      <c r="F233" s="127"/>
      <c r="G233" s="127"/>
      <c r="H233" s="130"/>
      <c r="I233" s="130"/>
      <c r="J233" s="130">
        <f t="shared" si="1"/>
        <v>0</v>
      </c>
      <c r="K233" s="130"/>
      <c r="L233" s="130"/>
      <c r="M233" s="130">
        <f t="shared" si="2"/>
        <v>0</v>
      </c>
      <c r="N233" s="130"/>
      <c r="O233" s="130"/>
      <c r="P233" s="127"/>
      <c r="Q233" s="127"/>
      <c r="R233" s="127"/>
      <c r="S233" s="127"/>
      <c r="T233" s="127" t="str">
        <f>IF(A233="","",VLOOKUP(A233,'BASE OS'!$A$2:$I1000,4,FALSE))</f>
        <v/>
      </c>
      <c r="U233" s="127"/>
      <c r="V233" s="127"/>
      <c r="W233" s="127" t="str">
        <f t="shared" si="3"/>
        <v/>
      </c>
      <c r="X233" s="127" t="str">
        <f t="shared" si="4"/>
        <v/>
      </c>
      <c r="Y233" s="127" t="str">
        <f t="shared" si="5"/>
        <v/>
      </c>
    </row>
    <row r="234">
      <c r="A234" s="127"/>
      <c r="B234" s="127" t="str">
        <f>IF(A234="","",VLOOKUP(A234,'BASE OS'!$A$2:$I1000,2,FALSE))</f>
        <v/>
      </c>
      <c r="C234" s="132"/>
      <c r="D234" s="127"/>
      <c r="E234" s="127"/>
      <c r="F234" s="127"/>
      <c r="G234" s="127"/>
      <c r="H234" s="130"/>
      <c r="I234" s="130"/>
      <c r="J234" s="130">
        <f t="shared" si="1"/>
        <v>0</v>
      </c>
      <c r="K234" s="130"/>
      <c r="L234" s="130"/>
      <c r="M234" s="130">
        <f t="shared" si="2"/>
        <v>0</v>
      </c>
      <c r="N234" s="130"/>
      <c r="O234" s="130"/>
      <c r="P234" s="127"/>
      <c r="Q234" s="127"/>
      <c r="R234" s="127"/>
      <c r="S234" s="127"/>
      <c r="T234" s="127" t="str">
        <f>IF(A234="","",VLOOKUP(A234,'BASE OS'!$A$2:$I1000,4,FALSE))</f>
        <v/>
      </c>
      <c r="U234" s="127"/>
      <c r="V234" s="127"/>
      <c r="W234" s="127" t="str">
        <f t="shared" si="3"/>
        <v/>
      </c>
      <c r="X234" s="127" t="str">
        <f t="shared" si="4"/>
        <v/>
      </c>
      <c r="Y234" s="127" t="str">
        <f t="shared" si="5"/>
        <v/>
      </c>
    </row>
    <row r="235">
      <c r="A235" s="127"/>
      <c r="B235" s="127" t="str">
        <f>IF(A235="","",VLOOKUP(A235,'BASE OS'!$A$2:$I1000,2,FALSE))</f>
        <v/>
      </c>
      <c r="C235" s="132"/>
      <c r="D235" s="127"/>
      <c r="E235" s="127"/>
      <c r="F235" s="127"/>
      <c r="G235" s="127"/>
      <c r="H235" s="130"/>
      <c r="I235" s="130"/>
      <c r="J235" s="130">
        <f t="shared" si="1"/>
        <v>0</v>
      </c>
      <c r="K235" s="130"/>
      <c r="L235" s="130"/>
      <c r="M235" s="130">
        <f t="shared" si="2"/>
        <v>0</v>
      </c>
      <c r="N235" s="130"/>
      <c r="O235" s="130"/>
      <c r="P235" s="127"/>
      <c r="Q235" s="127"/>
      <c r="R235" s="127"/>
      <c r="S235" s="127"/>
      <c r="T235" s="127" t="str">
        <f>IF(A235="","",VLOOKUP(A235,'BASE OS'!$A$2:$I1000,4,FALSE))</f>
        <v/>
      </c>
      <c r="U235" s="127"/>
      <c r="V235" s="127"/>
      <c r="W235" s="127" t="str">
        <f t="shared" si="3"/>
        <v/>
      </c>
      <c r="X235" s="127" t="str">
        <f t="shared" si="4"/>
        <v/>
      </c>
      <c r="Y235" s="127" t="str">
        <f t="shared" si="5"/>
        <v/>
      </c>
    </row>
    <row r="236">
      <c r="A236" s="127"/>
      <c r="B236" s="127" t="str">
        <f>IF(A236="","",VLOOKUP(A236,'BASE OS'!$A$2:$I1000,2,FALSE))</f>
        <v/>
      </c>
      <c r="C236" s="132"/>
      <c r="D236" s="127"/>
      <c r="E236" s="127"/>
      <c r="F236" s="127"/>
      <c r="G236" s="127"/>
      <c r="H236" s="130"/>
      <c r="I236" s="130"/>
      <c r="J236" s="130">
        <f t="shared" si="1"/>
        <v>0</v>
      </c>
      <c r="K236" s="130"/>
      <c r="L236" s="130"/>
      <c r="M236" s="130">
        <f t="shared" si="2"/>
        <v>0</v>
      </c>
      <c r="N236" s="130"/>
      <c r="O236" s="130"/>
      <c r="P236" s="127"/>
      <c r="Q236" s="127"/>
      <c r="R236" s="127"/>
      <c r="S236" s="127"/>
      <c r="T236" s="127" t="str">
        <f>IF(A236="","",VLOOKUP(A236,'BASE OS'!$A$2:$I1000,4,FALSE))</f>
        <v/>
      </c>
      <c r="U236" s="127"/>
      <c r="V236" s="127"/>
      <c r="W236" s="127" t="str">
        <f t="shared" si="3"/>
        <v/>
      </c>
      <c r="X236" s="127" t="str">
        <f t="shared" si="4"/>
        <v/>
      </c>
      <c r="Y236" s="127" t="str">
        <f t="shared" si="5"/>
        <v/>
      </c>
    </row>
    <row r="237">
      <c r="A237" s="127"/>
      <c r="B237" s="127" t="str">
        <f>IF(A237="","",VLOOKUP(A237,'BASE OS'!$A$2:$I1000,2,FALSE))</f>
        <v/>
      </c>
      <c r="C237" s="132"/>
      <c r="D237" s="127"/>
      <c r="E237" s="127"/>
      <c r="F237" s="127"/>
      <c r="G237" s="127"/>
      <c r="H237" s="130"/>
      <c r="I237" s="130"/>
      <c r="J237" s="130">
        <f t="shared" si="1"/>
        <v>0</v>
      </c>
      <c r="K237" s="130"/>
      <c r="L237" s="130"/>
      <c r="M237" s="130">
        <f t="shared" si="2"/>
        <v>0</v>
      </c>
      <c r="N237" s="130"/>
      <c r="O237" s="130"/>
      <c r="P237" s="127"/>
      <c r="Q237" s="127"/>
      <c r="R237" s="127"/>
      <c r="S237" s="127"/>
      <c r="T237" s="127" t="str">
        <f>IF(A237="","",VLOOKUP(A237,'BASE OS'!$A$2:$I1000,4,FALSE))</f>
        <v/>
      </c>
      <c r="U237" s="127"/>
      <c r="V237" s="127"/>
      <c r="W237" s="127" t="str">
        <f t="shared" si="3"/>
        <v/>
      </c>
      <c r="X237" s="127" t="str">
        <f t="shared" si="4"/>
        <v/>
      </c>
      <c r="Y237" s="127" t="str">
        <f t="shared" si="5"/>
        <v/>
      </c>
    </row>
    <row r="238">
      <c r="A238" s="127"/>
      <c r="B238" s="127" t="str">
        <f>IF(A238="","",VLOOKUP(A238,'BASE OS'!$A$2:$I1000,2,FALSE))</f>
        <v/>
      </c>
      <c r="C238" s="132"/>
      <c r="D238" s="127"/>
      <c r="E238" s="127"/>
      <c r="F238" s="127"/>
      <c r="G238" s="127"/>
      <c r="H238" s="130"/>
      <c r="I238" s="130"/>
      <c r="J238" s="130">
        <f t="shared" si="1"/>
        <v>0</v>
      </c>
      <c r="K238" s="130"/>
      <c r="L238" s="130"/>
      <c r="M238" s="130">
        <f t="shared" si="2"/>
        <v>0</v>
      </c>
      <c r="N238" s="130"/>
      <c r="O238" s="130"/>
      <c r="P238" s="127"/>
      <c r="Q238" s="127"/>
      <c r="R238" s="127"/>
      <c r="S238" s="127"/>
      <c r="T238" s="127" t="str">
        <f>IF(A238="","",VLOOKUP(A238,'BASE OS'!$A$2:$I1000,4,FALSE))</f>
        <v/>
      </c>
      <c r="U238" s="127"/>
      <c r="V238" s="127"/>
      <c r="W238" s="127" t="str">
        <f t="shared" si="3"/>
        <v/>
      </c>
      <c r="X238" s="127" t="str">
        <f t="shared" si="4"/>
        <v/>
      </c>
      <c r="Y238" s="127" t="str">
        <f t="shared" si="5"/>
        <v/>
      </c>
    </row>
    <row r="239">
      <c r="A239" s="127"/>
      <c r="B239" s="127" t="str">
        <f>IF(A239="","",VLOOKUP(A239,'BASE OS'!$A$2:$I1000,2,FALSE))</f>
        <v/>
      </c>
      <c r="C239" s="132"/>
      <c r="D239" s="127"/>
      <c r="E239" s="127"/>
      <c r="F239" s="127"/>
      <c r="G239" s="127"/>
      <c r="H239" s="130"/>
      <c r="I239" s="130"/>
      <c r="J239" s="130">
        <f t="shared" si="1"/>
        <v>0</v>
      </c>
      <c r="K239" s="130"/>
      <c r="L239" s="130"/>
      <c r="M239" s="130">
        <f t="shared" si="2"/>
        <v>0</v>
      </c>
      <c r="N239" s="130"/>
      <c r="O239" s="130"/>
      <c r="P239" s="127"/>
      <c r="Q239" s="127"/>
      <c r="R239" s="127"/>
      <c r="S239" s="127"/>
      <c r="T239" s="127" t="str">
        <f>IF(A239="","",VLOOKUP(A239,'BASE OS'!$A$2:$I1000,4,FALSE))</f>
        <v/>
      </c>
      <c r="U239" s="127"/>
      <c r="V239" s="127"/>
      <c r="W239" s="127" t="str">
        <f t="shared" si="3"/>
        <v/>
      </c>
      <c r="X239" s="127" t="str">
        <f t="shared" si="4"/>
        <v/>
      </c>
      <c r="Y239" s="127" t="str">
        <f t="shared" si="5"/>
        <v/>
      </c>
    </row>
    <row r="240">
      <c r="A240" s="127"/>
      <c r="B240" s="127" t="str">
        <f>IF(A240="","",VLOOKUP(A240,'BASE OS'!$A$2:$I1000,2,FALSE))</f>
        <v/>
      </c>
      <c r="C240" s="132"/>
      <c r="D240" s="127"/>
      <c r="E240" s="127"/>
      <c r="F240" s="127"/>
      <c r="G240" s="127"/>
      <c r="H240" s="130"/>
      <c r="I240" s="130"/>
      <c r="J240" s="130">
        <f t="shared" si="1"/>
        <v>0</v>
      </c>
      <c r="K240" s="130"/>
      <c r="L240" s="130"/>
      <c r="M240" s="130">
        <f t="shared" si="2"/>
        <v>0</v>
      </c>
      <c r="N240" s="130"/>
      <c r="O240" s="130"/>
      <c r="P240" s="127"/>
      <c r="Q240" s="127"/>
      <c r="R240" s="127"/>
      <c r="S240" s="127"/>
      <c r="T240" s="127" t="str">
        <f>IF(A240="","",VLOOKUP(A240,'BASE OS'!$A$2:$I1000,4,FALSE))</f>
        <v/>
      </c>
      <c r="U240" s="127"/>
      <c r="V240" s="127"/>
      <c r="W240" s="127" t="str">
        <f t="shared" si="3"/>
        <v/>
      </c>
      <c r="X240" s="127" t="str">
        <f t="shared" si="4"/>
        <v/>
      </c>
      <c r="Y240" s="127" t="str">
        <f t="shared" si="5"/>
        <v/>
      </c>
    </row>
    <row r="241">
      <c r="A241" s="127"/>
      <c r="B241" s="127" t="str">
        <f>IF(A241="","",VLOOKUP(A241,'BASE OS'!$A$2:$I1000,2,FALSE))</f>
        <v/>
      </c>
      <c r="C241" s="132"/>
      <c r="D241" s="127"/>
      <c r="E241" s="127"/>
      <c r="F241" s="127"/>
      <c r="G241" s="127"/>
      <c r="H241" s="130"/>
      <c r="I241" s="130"/>
      <c r="J241" s="130">
        <f t="shared" si="1"/>
        <v>0</v>
      </c>
      <c r="K241" s="130"/>
      <c r="L241" s="130"/>
      <c r="M241" s="130">
        <f t="shared" si="2"/>
        <v>0</v>
      </c>
      <c r="N241" s="130"/>
      <c r="O241" s="130"/>
      <c r="P241" s="127"/>
      <c r="Q241" s="127"/>
      <c r="R241" s="127"/>
      <c r="S241" s="127"/>
      <c r="T241" s="127" t="str">
        <f>IF(A241="","",VLOOKUP(A241,'BASE OS'!$A$2:$I1000,4,FALSE))</f>
        <v/>
      </c>
      <c r="U241" s="127"/>
      <c r="V241" s="127"/>
      <c r="W241" s="127" t="str">
        <f t="shared" si="3"/>
        <v/>
      </c>
      <c r="X241" s="127" t="str">
        <f t="shared" si="4"/>
        <v/>
      </c>
      <c r="Y241" s="127" t="str">
        <f t="shared" si="5"/>
        <v/>
      </c>
    </row>
    <row r="242">
      <c r="A242" s="127"/>
      <c r="B242" s="127" t="str">
        <f>IF(A242="","",VLOOKUP(A242,'BASE OS'!$A$2:$I1000,2,FALSE))</f>
        <v/>
      </c>
      <c r="C242" s="132"/>
      <c r="D242" s="127"/>
      <c r="E242" s="127"/>
      <c r="F242" s="127"/>
      <c r="G242" s="127"/>
      <c r="H242" s="130"/>
      <c r="I242" s="130"/>
      <c r="J242" s="130">
        <f t="shared" si="1"/>
        <v>0</v>
      </c>
      <c r="K242" s="130"/>
      <c r="L242" s="130"/>
      <c r="M242" s="130">
        <f t="shared" si="2"/>
        <v>0</v>
      </c>
      <c r="N242" s="130"/>
      <c r="O242" s="130"/>
      <c r="P242" s="127"/>
      <c r="Q242" s="127"/>
      <c r="R242" s="127"/>
      <c r="S242" s="127"/>
      <c r="T242" s="127" t="str">
        <f>IF(A242="","",VLOOKUP(A242,'BASE OS'!$A$2:$I1000,4,FALSE))</f>
        <v/>
      </c>
      <c r="U242" s="127"/>
      <c r="V242" s="127"/>
      <c r="W242" s="127" t="str">
        <f t="shared" si="3"/>
        <v/>
      </c>
      <c r="X242" s="127" t="str">
        <f t="shared" si="4"/>
        <v/>
      </c>
      <c r="Y242" s="127" t="str">
        <f t="shared" si="5"/>
        <v/>
      </c>
    </row>
    <row r="243">
      <c r="A243" s="127"/>
      <c r="B243" s="127" t="str">
        <f>IF(A243="","",VLOOKUP(A243,'BASE OS'!$A$2:$I1000,2,FALSE))</f>
        <v/>
      </c>
      <c r="C243" s="132"/>
      <c r="D243" s="127"/>
      <c r="E243" s="127"/>
      <c r="F243" s="127"/>
      <c r="G243" s="127"/>
      <c r="H243" s="130"/>
      <c r="I243" s="130"/>
      <c r="J243" s="130">
        <f t="shared" si="1"/>
        <v>0</v>
      </c>
      <c r="K243" s="130"/>
      <c r="L243" s="130"/>
      <c r="M243" s="130">
        <f t="shared" si="2"/>
        <v>0</v>
      </c>
      <c r="N243" s="130"/>
      <c r="O243" s="130"/>
      <c r="P243" s="127"/>
      <c r="Q243" s="127"/>
      <c r="R243" s="127"/>
      <c r="S243" s="127"/>
      <c r="T243" s="127" t="str">
        <f>IF(A243="","",VLOOKUP(A243,'BASE OS'!$A$2:$I1000,4,FALSE))</f>
        <v/>
      </c>
      <c r="U243" s="127"/>
      <c r="V243" s="127"/>
      <c r="W243" s="127" t="str">
        <f t="shared" si="3"/>
        <v/>
      </c>
      <c r="X243" s="127" t="str">
        <f t="shared" si="4"/>
        <v/>
      </c>
      <c r="Y243" s="127" t="str">
        <f t="shared" si="5"/>
        <v/>
      </c>
    </row>
    <row r="244">
      <c r="A244" s="127"/>
      <c r="B244" s="127" t="str">
        <f>IF(A244="","",VLOOKUP(A244,'BASE OS'!$A$2:$I1000,2,FALSE))</f>
        <v/>
      </c>
      <c r="C244" s="132"/>
      <c r="D244" s="127"/>
      <c r="E244" s="127"/>
      <c r="F244" s="127"/>
      <c r="G244" s="127"/>
      <c r="H244" s="130"/>
      <c r="I244" s="130"/>
      <c r="J244" s="130">
        <f t="shared" si="1"/>
        <v>0</v>
      </c>
      <c r="K244" s="130"/>
      <c r="L244" s="130"/>
      <c r="M244" s="130">
        <f t="shared" si="2"/>
        <v>0</v>
      </c>
      <c r="N244" s="130"/>
      <c r="O244" s="130"/>
      <c r="P244" s="127"/>
      <c r="Q244" s="127"/>
      <c r="R244" s="127"/>
      <c r="S244" s="127"/>
      <c r="T244" s="127" t="str">
        <f>IF(A244="","",VLOOKUP(A244,'BASE OS'!$A$2:$I1000,4,FALSE))</f>
        <v/>
      </c>
      <c r="U244" s="127"/>
      <c r="V244" s="127"/>
      <c r="W244" s="127" t="str">
        <f t="shared" si="3"/>
        <v/>
      </c>
      <c r="X244" s="127" t="str">
        <f t="shared" si="4"/>
        <v/>
      </c>
      <c r="Y244" s="127" t="str">
        <f t="shared" si="5"/>
        <v/>
      </c>
    </row>
    <row r="245">
      <c r="A245" s="127"/>
      <c r="B245" s="127" t="str">
        <f>IF(A245="","",VLOOKUP(A245,'BASE OS'!$A$2:$I1000,2,FALSE))</f>
        <v/>
      </c>
      <c r="C245" s="132"/>
      <c r="D245" s="127"/>
      <c r="E245" s="127"/>
      <c r="F245" s="127"/>
      <c r="G245" s="127"/>
      <c r="H245" s="130"/>
      <c r="I245" s="130"/>
      <c r="J245" s="130">
        <f t="shared" si="1"/>
        <v>0</v>
      </c>
      <c r="K245" s="130"/>
      <c r="L245" s="130"/>
      <c r="M245" s="130">
        <f t="shared" si="2"/>
        <v>0</v>
      </c>
      <c r="N245" s="130"/>
      <c r="O245" s="130"/>
      <c r="P245" s="127"/>
      <c r="Q245" s="127"/>
      <c r="R245" s="127"/>
      <c r="S245" s="127"/>
      <c r="T245" s="127" t="str">
        <f>IF(A245="","",VLOOKUP(A245,'BASE OS'!$A$2:$I1000,4,FALSE))</f>
        <v/>
      </c>
      <c r="U245" s="127"/>
      <c r="V245" s="127"/>
      <c r="W245" s="127" t="str">
        <f t="shared" si="3"/>
        <v/>
      </c>
      <c r="X245" s="127" t="str">
        <f t="shared" si="4"/>
        <v/>
      </c>
      <c r="Y245" s="127" t="str">
        <f t="shared" si="5"/>
        <v/>
      </c>
    </row>
    <row r="246">
      <c r="A246" s="127"/>
      <c r="B246" s="127" t="str">
        <f>IF(A246="","",VLOOKUP(A246,'BASE OS'!$A$2:$I1000,2,FALSE))</f>
        <v/>
      </c>
      <c r="C246" s="132"/>
      <c r="D246" s="127"/>
      <c r="E246" s="127"/>
      <c r="F246" s="127"/>
      <c r="G246" s="127"/>
      <c r="H246" s="130"/>
      <c r="I246" s="130"/>
      <c r="J246" s="130">
        <f t="shared" si="1"/>
        <v>0</v>
      </c>
      <c r="K246" s="130"/>
      <c r="L246" s="130"/>
      <c r="M246" s="130">
        <f t="shared" si="2"/>
        <v>0</v>
      </c>
      <c r="N246" s="130"/>
      <c r="O246" s="130"/>
      <c r="P246" s="127"/>
      <c r="Q246" s="127"/>
      <c r="R246" s="127"/>
      <c r="S246" s="127"/>
      <c r="T246" s="127" t="str">
        <f>IF(A246="","",VLOOKUP(A246,'BASE OS'!$A$2:$I1000,4,FALSE))</f>
        <v/>
      </c>
      <c r="U246" s="127"/>
      <c r="V246" s="127"/>
      <c r="W246" s="127" t="str">
        <f t="shared" si="3"/>
        <v/>
      </c>
      <c r="X246" s="127" t="str">
        <f t="shared" si="4"/>
        <v/>
      </c>
      <c r="Y246" s="127" t="str">
        <f t="shared" si="5"/>
        <v/>
      </c>
    </row>
    <row r="247">
      <c r="A247" s="127"/>
      <c r="B247" s="127" t="str">
        <f>IF(A247="","",VLOOKUP(A247,'BASE OS'!$A$2:$I1000,2,FALSE))</f>
        <v/>
      </c>
      <c r="C247" s="132"/>
      <c r="D247" s="127"/>
      <c r="E247" s="127"/>
      <c r="F247" s="127"/>
      <c r="G247" s="127"/>
      <c r="H247" s="130"/>
      <c r="I247" s="130"/>
      <c r="J247" s="130">
        <f t="shared" si="1"/>
        <v>0</v>
      </c>
      <c r="K247" s="130"/>
      <c r="L247" s="130"/>
      <c r="M247" s="130">
        <f t="shared" si="2"/>
        <v>0</v>
      </c>
      <c r="N247" s="130"/>
      <c r="O247" s="130"/>
      <c r="P247" s="127"/>
      <c r="Q247" s="127"/>
      <c r="R247" s="127"/>
      <c r="S247" s="127"/>
      <c r="T247" s="127" t="str">
        <f>IF(A247="","",VLOOKUP(A247,'BASE OS'!$A$2:$I1000,4,FALSE))</f>
        <v/>
      </c>
      <c r="U247" s="127"/>
      <c r="V247" s="127"/>
      <c r="W247" s="127" t="str">
        <f t="shared" si="3"/>
        <v/>
      </c>
      <c r="X247" s="127" t="str">
        <f t="shared" si="4"/>
        <v/>
      </c>
      <c r="Y247" s="127" t="str">
        <f t="shared" si="5"/>
        <v/>
      </c>
    </row>
    <row r="248">
      <c r="A248" s="127"/>
      <c r="B248" s="127" t="str">
        <f>IF(A248="","",VLOOKUP(A248,'BASE OS'!$A$2:$I1000,2,FALSE))</f>
        <v/>
      </c>
      <c r="C248" s="132"/>
      <c r="D248" s="127"/>
      <c r="E248" s="127"/>
      <c r="F248" s="127"/>
      <c r="G248" s="127"/>
      <c r="H248" s="130"/>
      <c r="I248" s="130"/>
      <c r="J248" s="130">
        <f t="shared" si="1"/>
        <v>0</v>
      </c>
      <c r="K248" s="130"/>
      <c r="L248" s="130"/>
      <c r="M248" s="130">
        <f t="shared" si="2"/>
        <v>0</v>
      </c>
      <c r="N248" s="130"/>
      <c r="O248" s="130"/>
      <c r="P248" s="127"/>
      <c r="Q248" s="127"/>
      <c r="R248" s="127"/>
      <c r="S248" s="127"/>
      <c r="T248" s="127" t="str">
        <f>IF(A248="","",VLOOKUP(A248,'BASE OS'!$A$2:$I1000,4,FALSE))</f>
        <v/>
      </c>
      <c r="U248" s="127"/>
      <c r="V248" s="127"/>
      <c r="W248" s="127" t="str">
        <f t="shared" si="3"/>
        <v/>
      </c>
      <c r="X248" s="127" t="str">
        <f t="shared" si="4"/>
        <v/>
      </c>
      <c r="Y248" s="127" t="str">
        <f t="shared" si="5"/>
        <v/>
      </c>
    </row>
    <row r="249">
      <c r="A249" s="127"/>
      <c r="B249" s="127" t="str">
        <f>IF(A249="","",VLOOKUP(A249,'BASE OS'!$A$2:$I1000,2,FALSE))</f>
        <v/>
      </c>
      <c r="C249" s="132"/>
      <c r="D249" s="127"/>
      <c r="E249" s="127"/>
      <c r="F249" s="127"/>
      <c r="G249" s="127"/>
      <c r="H249" s="130"/>
      <c r="I249" s="130"/>
      <c r="J249" s="130">
        <f t="shared" si="1"/>
        <v>0</v>
      </c>
      <c r="K249" s="130"/>
      <c r="L249" s="130"/>
      <c r="M249" s="130">
        <f t="shared" si="2"/>
        <v>0</v>
      </c>
      <c r="N249" s="130"/>
      <c r="O249" s="130"/>
      <c r="P249" s="127"/>
      <c r="Q249" s="127"/>
      <c r="R249" s="127"/>
      <c r="S249" s="127"/>
      <c r="T249" s="127" t="str">
        <f>IF(A249="","",VLOOKUP(A249,'BASE OS'!$A$2:$I1000,4,FALSE))</f>
        <v/>
      </c>
      <c r="U249" s="127"/>
      <c r="V249" s="127"/>
      <c r="W249" s="127" t="str">
        <f t="shared" si="3"/>
        <v/>
      </c>
      <c r="X249" s="127" t="str">
        <f t="shared" si="4"/>
        <v/>
      </c>
      <c r="Y249" s="127" t="str">
        <f t="shared" si="5"/>
        <v/>
      </c>
    </row>
    <row r="250">
      <c r="A250" s="127"/>
      <c r="B250" s="127" t="str">
        <f>IF(A250="","",VLOOKUP(A250,'BASE OS'!$A$2:$I1000,2,FALSE))</f>
        <v/>
      </c>
      <c r="C250" s="132"/>
      <c r="D250" s="127"/>
      <c r="E250" s="127"/>
      <c r="F250" s="127"/>
      <c r="G250" s="127"/>
      <c r="H250" s="130"/>
      <c r="I250" s="130"/>
      <c r="J250" s="130">
        <f t="shared" si="1"/>
        <v>0</v>
      </c>
      <c r="K250" s="130"/>
      <c r="L250" s="130"/>
      <c r="M250" s="130">
        <f t="shared" si="2"/>
        <v>0</v>
      </c>
      <c r="N250" s="130"/>
      <c r="O250" s="130"/>
      <c r="P250" s="127"/>
      <c r="Q250" s="127"/>
      <c r="R250" s="127"/>
      <c r="S250" s="127"/>
      <c r="T250" s="127" t="str">
        <f>IF(A250="","",VLOOKUP(A250,'BASE OS'!$A$2:$I1000,4,FALSE))</f>
        <v/>
      </c>
      <c r="U250" s="127"/>
      <c r="V250" s="127"/>
      <c r="W250" s="127" t="str">
        <f t="shared" si="3"/>
        <v/>
      </c>
      <c r="X250" s="127" t="str">
        <f t="shared" si="4"/>
        <v/>
      </c>
      <c r="Y250" s="127" t="str">
        <f t="shared" si="5"/>
        <v/>
      </c>
    </row>
    <row r="251">
      <c r="A251" s="127"/>
      <c r="B251" s="127" t="str">
        <f>IF(A251="","",VLOOKUP(A251,'BASE OS'!$A$2:$I1000,2,FALSE))</f>
        <v/>
      </c>
      <c r="C251" s="132"/>
      <c r="D251" s="127"/>
      <c r="E251" s="127"/>
      <c r="F251" s="127"/>
      <c r="G251" s="127"/>
      <c r="H251" s="130"/>
      <c r="I251" s="130"/>
      <c r="J251" s="130">
        <f t="shared" si="1"/>
        <v>0</v>
      </c>
      <c r="K251" s="130"/>
      <c r="L251" s="130"/>
      <c r="M251" s="130">
        <f t="shared" si="2"/>
        <v>0</v>
      </c>
      <c r="N251" s="130"/>
      <c r="O251" s="130"/>
      <c r="P251" s="127"/>
      <c r="Q251" s="127"/>
      <c r="R251" s="127"/>
      <c r="S251" s="127"/>
      <c r="T251" s="127" t="str">
        <f>IF(A251="","",VLOOKUP(A251,'BASE OS'!$A$2:$I1000,4,FALSE))</f>
        <v/>
      </c>
      <c r="U251" s="127"/>
      <c r="V251" s="127"/>
      <c r="W251" s="127" t="str">
        <f t="shared" si="3"/>
        <v/>
      </c>
      <c r="X251" s="127" t="str">
        <f t="shared" si="4"/>
        <v/>
      </c>
      <c r="Y251" s="127" t="str">
        <f t="shared" si="5"/>
        <v/>
      </c>
    </row>
    <row r="252">
      <c r="A252" s="127"/>
      <c r="B252" s="127" t="str">
        <f>IF(A252="","",VLOOKUP(A252,'BASE OS'!$A$2:$I1000,2,FALSE))</f>
        <v/>
      </c>
      <c r="C252" s="132"/>
      <c r="D252" s="127"/>
      <c r="E252" s="127"/>
      <c r="F252" s="127"/>
      <c r="G252" s="127"/>
      <c r="H252" s="130"/>
      <c r="I252" s="130"/>
      <c r="J252" s="130">
        <f t="shared" si="1"/>
        <v>0</v>
      </c>
      <c r="K252" s="130"/>
      <c r="L252" s="130"/>
      <c r="M252" s="130">
        <f t="shared" si="2"/>
        <v>0</v>
      </c>
      <c r="N252" s="130"/>
      <c r="O252" s="130"/>
      <c r="P252" s="127"/>
      <c r="Q252" s="127"/>
      <c r="R252" s="127"/>
      <c r="S252" s="127"/>
      <c r="T252" s="127" t="str">
        <f>IF(A252="","",VLOOKUP(A252,'BASE OS'!$A$2:$I1000,4,FALSE))</f>
        <v/>
      </c>
      <c r="U252" s="127"/>
      <c r="V252" s="127"/>
      <c r="W252" s="127" t="str">
        <f t="shared" si="3"/>
        <v/>
      </c>
      <c r="X252" s="127" t="str">
        <f t="shared" si="4"/>
        <v/>
      </c>
      <c r="Y252" s="127" t="str">
        <f t="shared" si="5"/>
        <v/>
      </c>
    </row>
    <row r="253">
      <c r="A253" s="127"/>
      <c r="B253" s="127" t="str">
        <f>IF(A253="","",VLOOKUP(A253,'BASE OS'!$A$2:$I1000,2,FALSE))</f>
        <v/>
      </c>
      <c r="C253" s="132"/>
      <c r="D253" s="127"/>
      <c r="E253" s="127"/>
      <c r="F253" s="127"/>
      <c r="G253" s="127"/>
      <c r="H253" s="130"/>
      <c r="I253" s="130"/>
      <c r="J253" s="130">
        <f t="shared" si="1"/>
        <v>0</v>
      </c>
      <c r="K253" s="130"/>
      <c r="L253" s="130"/>
      <c r="M253" s="130">
        <f t="shared" si="2"/>
        <v>0</v>
      </c>
      <c r="N253" s="130"/>
      <c r="O253" s="130"/>
      <c r="P253" s="127"/>
      <c r="Q253" s="127"/>
      <c r="R253" s="127"/>
      <c r="S253" s="127"/>
      <c r="T253" s="127" t="str">
        <f>IF(A253="","",VLOOKUP(A253,'BASE OS'!$A$2:$I1000,4,FALSE))</f>
        <v/>
      </c>
      <c r="U253" s="127"/>
      <c r="V253" s="127"/>
      <c r="W253" s="127" t="str">
        <f t="shared" si="3"/>
        <v/>
      </c>
      <c r="X253" s="127" t="str">
        <f t="shared" si="4"/>
        <v/>
      </c>
      <c r="Y253" s="127" t="str">
        <f t="shared" si="5"/>
        <v/>
      </c>
    </row>
    <row r="254">
      <c r="A254" s="127"/>
      <c r="B254" s="127" t="str">
        <f>IF(A254="","",VLOOKUP(A254,'BASE OS'!$A$2:$I1000,2,FALSE))</f>
        <v/>
      </c>
      <c r="C254" s="132"/>
      <c r="D254" s="127"/>
      <c r="E254" s="127"/>
      <c r="F254" s="127"/>
      <c r="G254" s="127"/>
      <c r="H254" s="130"/>
      <c r="I254" s="130"/>
      <c r="J254" s="130">
        <f t="shared" si="1"/>
        <v>0</v>
      </c>
      <c r="K254" s="130"/>
      <c r="L254" s="130"/>
      <c r="M254" s="130">
        <f t="shared" si="2"/>
        <v>0</v>
      </c>
      <c r="N254" s="130"/>
      <c r="O254" s="130"/>
      <c r="P254" s="127"/>
      <c r="Q254" s="127"/>
      <c r="R254" s="127"/>
      <c r="S254" s="127"/>
      <c r="T254" s="127" t="str">
        <f>IF(A254="","",VLOOKUP(A254,'BASE OS'!$A$2:$I1000,4,FALSE))</f>
        <v/>
      </c>
      <c r="U254" s="127"/>
      <c r="V254" s="127"/>
      <c r="W254" s="127" t="str">
        <f t="shared" si="3"/>
        <v/>
      </c>
      <c r="X254" s="127" t="str">
        <f t="shared" si="4"/>
        <v/>
      </c>
      <c r="Y254" s="127" t="str">
        <f t="shared" si="5"/>
        <v/>
      </c>
    </row>
    <row r="255">
      <c r="A255" s="127"/>
      <c r="B255" s="127" t="str">
        <f>IF(A255="","",VLOOKUP(A255,'BASE OS'!$A$2:$I1000,2,FALSE))</f>
        <v/>
      </c>
      <c r="C255" s="132"/>
      <c r="D255" s="127"/>
      <c r="E255" s="127"/>
      <c r="F255" s="127"/>
      <c r="G255" s="127"/>
      <c r="H255" s="130"/>
      <c r="I255" s="130"/>
      <c r="J255" s="130">
        <f t="shared" si="1"/>
        <v>0</v>
      </c>
      <c r="K255" s="130"/>
      <c r="L255" s="130"/>
      <c r="M255" s="130">
        <f t="shared" si="2"/>
        <v>0</v>
      </c>
      <c r="N255" s="130"/>
      <c r="O255" s="130"/>
      <c r="P255" s="127"/>
      <c r="Q255" s="127"/>
      <c r="R255" s="127"/>
      <c r="S255" s="127"/>
      <c r="T255" s="127" t="str">
        <f>IF(A255="","",VLOOKUP(A255,'BASE OS'!$A$2:$I1000,4,FALSE))</f>
        <v/>
      </c>
      <c r="U255" s="127"/>
      <c r="V255" s="127"/>
      <c r="W255" s="127" t="str">
        <f t="shared" si="3"/>
        <v/>
      </c>
      <c r="X255" s="127" t="str">
        <f t="shared" si="4"/>
        <v/>
      </c>
      <c r="Y255" s="127" t="str">
        <f t="shared" si="5"/>
        <v/>
      </c>
    </row>
    <row r="256">
      <c r="A256" s="127"/>
      <c r="B256" s="127" t="str">
        <f>IF(A256="","",VLOOKUP(A256,'BASE OS'!$A$2:$I1000,2,FALSE))</f>
        <v/>
      </c>
      <c r="C256" s="132"/>
      <c r="D256" s="127"/>
      <c r="E256" s="127"/>
      <c r="F256" s="127"/>
      <c r="G256" s="127"/>
      <c r="H256" s="130"/>
      <c r="I256" s="130"/>
      <c r="J256" s="130">
        <f t="shared" si="1"/>
        <v>0</v>
      </c>
      <c r="K256" s="130"/>
      <c r="L256" s="130"/>
      <c r="M256" s="130">
        <f t="shared" si="2"/>
        <v>0</v>
      </c>
      <c r="N256" s="130"/>
      <c r="O256" s="130"/>
      <c r="P256" s="127"/>
      <c r="Q256" s="127"/>
      <c r="R256" s="127"/>
      <c r="S256" s="127"/>
      <c r="T256" s="127" t="str">
        <f>IF(A256="","",VLOOKUP(A256,'BASE OS'!$A$2:$I1000,4,FALSE))</f>
        <v/>
      </c>
      <c r="U256" s="127"/>
      <c r="V256" s="127"/>
      <c r="W256" s="127" t="str">
        <f t="shared" si="3"/>
        <v/>
      </c>
      <c r="X256" s="127" t="str">
        <f t="shared" si="4"/>
        <v/>
      </c>
      <c r="Y256" s="127" t="str">
        <f t="shared" si="5"/>
        <v/>
      </c>
    </row>
    <row r="257">
      <c r="A257" s="127"/>
      <c r="B257" s="127" t="str">
        <f>IF(A257="","",VLOOKUP(A257,'BASE OS'!$A$2:$I1000,2,FALSE))</f>
        <v/>
      </c>
      <c r="C257" s="132"/>
      <c r="D257" s="127"/>
      <c r="E257" s="127"/>
      <c r="F257" s="127"/>
      <c r="G257" s="127"/>
      <c r="H257" s="130"/>
      <c r="I257" s="130"/>
      <c r="J257" s="130">
        <f t="shared" si="1"/>
        <v>0</v>
      </c>
      <c r="K257" s="130"/>
      <c r="L257" s="130"/>
      <c r="M257" s="130">
        <f t="shared" si="2"/>
        <v>0</v>
      </c>
      <c r="N257" s="130"/>
      <c r="O257" s="130"/>
      <c r="P257" s="127"/>
      <c r="Q257" s="127"/>
      <c r="R257" s="127"/>
      <c r="S257" s="127"/>
      <c r="T257" s="127" t="str">
        <f>IF(A257="","",VLOOKUP(A257,'BASE OS'!$A$2:$I1000,4,FALSE))</f>
        <v/>
      </c>
      <c r="U257" s="127"/>
      <c r="V257" s="127"/>
      <c r="W257" s="127" t="str">
        <f t="shared" si="3"/>
        <v/>
      </c>
      <c r="X257" s="127" t="str">
        <f t="shared" si="4"/>
        <v/>
      </c>
      <c r="Y257" s="127" t="str">
        <f t="shared" si="5"/>
        <v/>
      </c>
    </row>
    <row r="258">
      <c r="A258" s="127"/>
      <c r="B258" s="127" t="str">
        <f>IF(A258="","",VLOOKUP(A258,'BASE OS'!$A$2:$I1000,2,FALSE))</f>
        <v/>
      </c>
      <c r="C258" s="132"/>
      <c r="D258" s="127"/>
      <c r="E258" s="127"/>
      <c r="F258" s="127"/>
      <c r="G258" s="127"/>
      <c r="H258" s="130"/>
      <c r="I258" s="130"/>
      <c r="J258" s="130">
        <f t="shared" si="1"/>
        <v>0</v>
      </c>
      <c r="K258" s="130"/>
      <c r="L258" s="130"/>
      <c r="M258" s="130">
        <f t="shared" si="2"/>
        <v>0</v>
      </c>
      <c r="N258" s="130"/>
      <c r="O258" s="130"/>
      <c r="P258" s="127"/>
      <c r="Q258" s="127"/>
      <c r="R258" s="127"/>
      <c r="S258" s="127"/>
      <c r="T258" s="127" t="str">
        <f>IF(A258="","",VLOOKUP(A258,'BASE OS'!$A$2:$I1000,4,FALSE))</f>
        <v/>
      </c>
      <c r="U258" s="127"/>
      <c r="V258" s="127"/>
      <c r="W258" s="127" t="str">
        <f t="shared" si="3"/>
        <v/>
      </c>
      <c r="X258" s="127" t="str">
        <f t="shared" si="4"/>
        <v/>
      </c>
      <c r="Y258" s="127" t="str">
        <f t="shared" si="5"/>
        <v/>
      </c>
    </row>
    <row r="259">
      <c r="A259" s="127"/>
      <c r="B259" s="127" t="str">
        <f>IF(A259="","",VLOOKUP(A259,'BASE OS'!$A$2:$I1000,2,FALSE))</f>
        <v/>
      </c>
      <c r="C259" s="132"/>
      <c r="D259" s="127"/>
      <c r="E259" s="127"/>
      <c r="F259" s="127"/>
      <c r="G259" s="127"/>
      <c r="H259" s="130"/>
      <c r="I259" s="130"/>
      <c r="J259" s="130">
        <f t="shared" si="1"/>
        <v>0</v>
      </c>
      <c r="K259" s="130"/>
      <c r="L259" s="130"/>
      <c r="M259" s="130">
        <f t="shared" si="2"/>
        <v>0</v>
      </c>
      <c r="N259" s="130"/>
      <c r="O259" s="130"/>
      <c r="P259" s="127"/>
      <c r="Q259" s="127"/>
      <c r="R259" s="127"/>
      <c r="S259" s="127"/>
      <c r="T259" s="127" t="str">
        <f>IF(A259="","",VLOOKUP(A259,'BASE OS'!$A$2:$I1000,4,FALSE))</f>
        <v/>
      </c>
      <c r="U259" s="127"/>
      <c r="V259" s="127"/>
      <c r="W259" s="127" t="str">
        <f t="shared" si="3"/>
        <v/>
      </c>
      <c r="X259" s="127" t="str">
        <f t="shared" si="4"/>
        <v/>
      </c>
      <c r="Y259" s="127" t="str">
        <f t="shared" si="5"/>
        <v/>
      </c>
    </row>
    <row r="260">
      <c r="A260" s="127"/>
      <c r="B260" s="127" t="str">
        <f>IF(A260="","",VLOOKUP(A260,'BASE OS'!$A$2:$I1000,2,FALSE))</f>
        <v/>
      </c>
      <c r="C260" s="132"/>
      <c r="D260" s="127"/>
      <c r="E260" s="127"/>
      <c r="F260" s="127"/>
      <c r="G260" s="127"/>
      <c r="H260" s="130"/>
      <c r="I260" s="130"/>
      <c r="J260" s="130">
        <f t="shared" si="1"/>
        <v>0</v>
      </c>
      <c r="K260" s="130"/>
      <c r="L260" s="130"/>
      <c r="M260" s="130">
        <f t="shared" si="2"/>
        <v>0</v>
      </c>
      <c r="N260" s="130"/>
      <c r="O260" s="130"/>
      <c r="P260" s="127"/>
      <c r="Q260" s="127"/>
      <c r="R260" s="127"/>
      <c r="S260" s="127"/>
      <c r="T260" s="127" t="str">
        <f>IF(A260="","",VLOOKUP(A260,'BASE OS'!$A$2:$I1000,4,FALSE))</f>
        <v/>
      </c>
      <c r="U260" s="127"/>
      <c r="V260" s="127"/>
      <c r="W260" s="127" t="str">
        <f t="shared" si="3"/>
        <v/>
      </c>
      <c r="X260" s="127" t="str">
        <f t="shared" si="4"/>
        <v/>
      </c>
      <c r="Y260" s="127" t="str">
        <f t="shared" si="5"/>
        <v/>
      </c>
    </row>
    <row r="261">
      <c r="A261" s="127"/>
      <c r="B261" s="127" t="str">
        <f>IF(A261="","",VLOOKUP(A261,'BASE OS'!$A$2:$I1000,2,FALSE))</f>
        <v/>
      </c>
      <c r="C261" s="132"/>
      <c r="D261" s="127"/>
      <c r="E261" s="127"/>
      <c r="F261" s="127"/>
      <c r="G261" s="127"/>
      <c r="H261" s="130"/>
      <c r="I261" s="130"/>
      <c r="J261" s="130">
        <f t="shared" si="1"/>
        <v>0</v>
      </c>
      <c r="K261" s="130"/>
      <c r="L261" s="130"/>
      <c r="M261" s="130">
        <f t="shared" si="2"/>
        <v>0</v>
      </c>
      <c r="N261" s="130"/>
      <c r="O261" s="130"/>
      <c r="P261" s="127"/>
      <c r="Q261" s="127"/>
      <c r="R261" s="127"/>
      <c r="S261" s="127"/>
      <c r="T261" s="127" t="str">
        <f>IF(A261="","",VLOOKUP(A261,'BASE OS'!$A$2:$I1000,4,FALSE))</f>
        <v/>
      </c>
      <c r="U261" s="127"/>
      <c r="V261" s="127"/>
      <c r="W261" s="127" t="str">
        <f t="shared" si="3"/>
        <v/>
      </c>
      <c r="X261" s="127" t="str">
        <f t="shared" si="4"/>
        <v/>
      </c>
      <c r="Y261" s="127" t="str">
        <f t="shared" si="5"/>
        <v/>
      </c>
    </row>
    <row r="262">
      <c r="A262" s="127"/>
      <c r="B262" s="127" t="str">
        <f>IF(A262="","",VLOOKUP(A262,'BASE OS'!$A$2:$I1000,2,FALSE))</f>
        <v/>
      </c>
      <c r="C262" s="132"/>
      <c r="D262" s="127"/>
      <c r="E262" s="127"/>
      <c r="F262" s="127"/>
      <c r="G262" s="127"/>
      <c r="H262" s="130"/>
      <c r="I262" s="130"/>
      <c r="J262" s="130">
        <f t="shared" si="1"/>
        <v>0</v>
      </c>
      <c r="K262" s="130"/>
      <c r="L262" s="130"/>
      <c r="M262" s="130">
        <f t="shared" si="2"/>
        <v>0</v>
      </c>
      <c r="N262" s="130"/>
      <c r="O262" s="130"/>
      <c r="P262" s="127"/>
      <c r="Q262" s="127"/>
      <c r="R262" s="127"/>
      <c r="S262" s="127"/>
      <c r="T262" s="127" t="str">
        <f>IF(A262="","",VLOOKUP(A262,'BASE OS'!$A$2:$I1000,4,FALSE))</f>
        <v/>
      </c>
      <c r="U262" s="127"/>
      <c r="V262" s="127"/>
      <c r="W262" s="127" t="str">
        <f t="shared" si="3"/>
        <v/>
      </c>
      <c r="X262" s="127" t="str">
        <f t="shared" si="4"/>
        <v/>
      </c>
      <c r="Y262" s="127" t="str">
        <f t="shared" si="5"/>
        <v/>
      </c>
    </row>
    <row r="263">
      <c r="A263" s="127"/>
      <c r="B263" s="127" t="str">
        <f>IF(A263="","",VLOOKUP(A263,'BASE OS'!$A$2:$I1000,2,FALSE))</f>
        <v/>
      </c>
      <c r="C263" s="132"/>
      <c r="D263" s="127"/>
      <c r="E263" s="127"/>
      <c r="F263" s="127"/>
      <c r="G263" s="127"/>
      <c r="H263" s="130"/>
      <c r="I263" s="130"/>
      <c r="J263" s="130">
        <f t="shared" si="1"/>
        <v>0</v>
      </c>
      <c r="K263" s="130"/>
      <c r="L263" s="130"/>
      <c r="M263" s="130">
        <f t="shared" si="2"/>
        <v>0</v>
      </c>
      <c r="N263" s="130"/>
      <c r="O263" s="130"/>
      <c r="P263" s="127"/>
      <c r="Q263" s="127"/>
      <c r="R263" s="127"/>
      <c r="S263" s="127"/>
      <c r="T263" s="127" t="str">
        <f>IF(A263="","",VLOOKUP(A263,'BASE OS'!$A$2:$I1000,4,FALSE))</f>
        <v/>
      </c>
      <c r="U263" s="127"/>
      <c r="V263" s="127"/>
      <c r="W263" s="127" t="str">
        <f t="shared" si="3"/>
        <v/>
      </c>
      <c r="X263" s="127" t="str">
        <f t="shared" si="4"/>
        <v/>
      </c>
      <c r="Y263" s="127" t="str">
        <f t="shared" si="5"/>
        <v/>
      </c>
    </row>
    <row r="264">
      <c r="A264" s="127"/>
      <c r="B264" s="127" t="str">
        <f>IF(A264="","",VLOOKUP(A264,'BASE OS'!$A$2:$I1000,2,FALSE))</f>
        <v/>
      </c>
      <c r="C264" s="132"/>
      <c r="D264" s="127"/>
      <c r="E264" s="127"/>
      <c r="F264" s="127"/>
      <c r="G264" s="127"/>
      <c r="H264" s="130"/>
      <c r="I264" s="130"/>
      <c r="J264" s="130">
        <f t="shared" si="1"/>
        <v>0</v>
      </c>
      <c r="K264" s="130"/>
      <c r="L264" s="130"/>
      <c r="M264" s="130">
        <f t="shared" si="2"/>
        <v>0</v>
      </c>
      <c r="N264" s="130"/>
      <c r="O264" s="130"/>
      <c r="P264" s="127"/>
      <c r="Q264" s="127"/>
      <c r="R264" s="127"/>
      <c r="S264" s="127"/>
      <c r="T264" s="127" t="str">
        <f>IF(A264="","",VLOOKUP(A264,'BASE OS'!$A$2:$I1000,4,FALSE))</f>
        <v/>
      </c>
      <c r="U264" s="127"/>
      <c r="V264" s="127"/>
      <c r="W264" s="127" t="str">
        <f t="shared" si="3"/>
        <v/>
      </c>
      <c r="X264" s="127" t="str">
        <f t="shared" si="4"/>
        <v/>
      </c>
      <c r="Y264" s="127" t="str">
        <f t="shared" si="5"/>
        <v/>
      </c>
    </row>
    <row r="265">
      <c r="A265" s="127"/>
      <c r="B265" s="127" t="str">
        <f>IF(A265="","",VLOOKUP(A265,'BASE OS'!$A$2:$I1000,2,FALSE))</f>
        <v/>
      </c>
      <c r="C265" s="132"/>
      <c r="D265" s="127"/>
      <c r="E265" s="127"/>
      <c r="F265" s="127"/>
      <c r="G265" s="127"/>
      <c r="H265" s="130"/>
      <c r="I265" s="130"/>
      <c r="J265" s="130">
        <f t="shared" si="1"/>
        <v>0</v>
      </c>
      <c r="K265" s="130"/>
      <c r="L265" s="130"/>
      <c r="M265" s="130">
        <f t="shared" si="2"/>
        <v>0</v>
      </c>
      <c r="N265" s="130"/>
      <c r="O265" s="130"/>
      <c r="P265" s="127"/>
      <c r="Q265" s="127"/>
      <c r="R265" s="127"/>
      <c r="S265" s="127"/>
      <c r="T265" s="127" t="str">
        <f>IF(A265="","",VLOOKUP(A265,'BASE OS'!$A$2:$I1000,4,FALSE))</f>
        <v/>
      </c>
      <c r="U265" s="127"/>
      <c r="V265" s="127"/>
      <c r="W265" s="127" t="str">
        <f t="shared" si="3"/>
        <v/>
      </c>
      <c r="X265" s="127" t="str">
        <f t="shared" si="4"/>
        <v/>
      </c>
      <c r="Y265" s="127" t="str">
        <f t="shared" si="5"/>
        <v/>
      </c>
    </row>
    <row r="266">
      <c r="A266" s="127"/>
      <c r="B266" s="127" t="str">
        <f>IF(A266="","",VLOOKUP(A266,'BASE OS'!$A$2:$I1000,2,FALSE))</f>
        <v/>
      </c>
      <c r="C266" s="132"/>
      <c r="D266" s="127"/>
      <c r="E266" s="127"/>
      <c r="F266" s="127"/>
      <c r="G266" s="127"/>
      <c r="H266" s="130"/>
      <c r="I266" s="130"/>
      <c r="J266" s="130">
        <f t="shared" si="1"/>
        <v>0</v>
      </c>
      <c r="K266" s="130"/>
      <c r="L266" s="130"/>
      <c r="M266" s="130">
        <f t="shared" si="2"/>
        <v>0</v>
      </c>
      <c r="N266" s="130"/>
      <c r="O266" s="130"/>
      <c r="P266" s="127"/>
      <c r="Q266" s="127"/>
      <c r="R266" s="127"/>
      <c r="S266" s="127"/>
      <c r="T266" s="127" t="str">
        <f>IF(A266="","",VLOOKUP(A266,'BASE OS'!$A$2:$I1000,4,FALSE))</f>
        <v/>
      </c>
      <c r="U266" s="127"/>
      <c r="V266" s="127"/>
      <c r="W266" s="127" t="str">
        <f t="shared" si="3"/>
        <v/>
      </c>
      <c r="X266" s="127" t="str">
        <f t="shared" si="4"/>
        <v/>
      </c>
      <c r="Y266" s="127" t="str">
        <f t="shared" si="5"/>
        <v/>
      </c>
    </row>
    <row r="267">
      <c r="A267" s="127"/>
      <c r="B267" s="127" t="str">
        <f>IF(A267="","",VLOOKUP(A267,'BASE OS'!$A$2:$I1000,2,FALSE))</f>
        <v/>
      </c>
      <c r="C267" s="132"/>
      <c r="D267" s="127"/>
      <c r="E267" s="127"/>
      <c r="F267" s="127"/>
      <c r="G267" s="127"/>
      <c r="H267" s="130"/>
      <c r="I267" s="130"/>
      <c r="J267" s="130">
        <f t="shared" si="1"/>
        <v>0</v>
      </c>
      <c r="K267" s="130"/>
      <c r="L267" s="130"/>
      <c r="M267" s="130">
        <f t="shared" si="2"/>
        <v>0</v>
      </c>
      <c r="N267" s="130"/>
      <c r="O267" s="130"/>
      <c r="P267" s="127"/>
      <c r="Q267" s="127"/>
      <c r="R267" s="127"/>
      <c r="S267" s="127"/>
      <c r="T267" s="127" t="str">
        <f>IF(A267="","",VLOOKUP(A267,'BASE OS'!$A$2:$I1000,4,FALSE))</f>
        <v/>
      </c>
      <c r="U267" s="127"/>
      <c r="V267" s="127"/>
      <c r="W267" s="127" t="str">
        <f t="shared" si="3"/>
        <v/>
      </c>
      <c r="X267" s="127" t="str">
        <f t="shared" si="4"/>
        <v/>
      </c>
      <c r="Y267" s="127" t="str">
        <f t="shared" si="5"/>
        <v/>
      </c>
    </row>
    <row r="268">
      <c r="A268" s="127"/>
      <c r="B268" s="127" t="str">
        <f>IF(A268="","",VLOOKUP(A268,'BASE OS'!$A$2:$I1000,2,FALSE))</f>
        <v/>
      </c>
      <c r="C268" s="132"/>
      <c r="D268" s="127"/>
      <c r="E268" s="127"/>
      <c r="F268" s="127"/>
      <c r="G268" s="127"/>
      <c r="H268" s="130"/>
      <c r="I268" s="130"/>
      <c r="J268" s="130">
        <f t="shared" si="1"/>
        <v>0</v>
      </c>
      <c r="K268" s="130"/>
      <c r="L268" s="130"/>
      <c r="M268" s="130">
        <f t="shared" si="2"/>
        <v>0</v>
      </c>
      <c r="N268" s="130"/>
      <c r="O268" s="130"/>
      <c r="P268" s="127"/>
      <c r="Q268" s="127"/>
      <c r="R268" s="127"/>
      <c r="S268" s="127"/>
      <c r="T268" s="127" t="str">
        <f>IF(A268="","",VLOOKUP(A268,'BASE OS'!$A$2:$I1000,4,FALSE))</f>
        <v/>
      </c>
      <c r="U268" s="127"/>
      <c r="V268" s="127"/>
      <c r="W268" s="127" t="str">
        <f t="shared" si="3"/>
        <v/>
      </c>
      <c r="X268" s="127" t="str">
        <f t="shared" si="4"/>
        <v/>
      </c>
      <c r="Y268" s="127" t="str">
        <f t="shared" si="5"/>
        <v/>
      </c>
    </row>
    <row r="269">
      <c r="A269" s="127"/>
      <c r="B269" s="127" t="str">
        <f>IF(A269="","",VLOOKUP(A269,'BASE OS'!$A$2:$I1000,2,FALSE))</f>
        <v/>
      </c>
      <c r="C269" s="132"/>
      <c r="D269" s="127"/>
      <c r="E269" s="127"/>
      <c r="F269" s="127"/>
      <c r="G269" s="127"/>
      <c r="H269" s="130"/>
      <c r="I269" s="130"/>
      <c r="J269" s="130">
        <f t="shared" si="1"/>
        <v>0</v>
      </c>
      <c r="K269" s="130"/>
      <c r="L269" s="130"/>
      <c r="M269" s="130">
        <f t="shared" si="2"/>
        <v>0</v>
      </c>
      <c r="N269" s="130"/>
      <c r="O269" s="130"/>
      <c r="P269" s="127"/>
      <c r="Q269" s="127"/>
      <c r="R269" s="127"/>
      <c r="S269" s="127"/>
      <c r="T269" s="127" t="str">
        <f>IF(A269="","",VLOOKUP(A269,'BASE OS'!$A$2:$I1000,4,FALSE))</f>
        <v/>
      </c>
      <c r="U269" s="127"/>
      <c r="V269" s="127"/>
      <c r="W269" s="127" t="str">
        <f t="shared" si="3"/>
        <v/>
      </c>
      <c r="X269" s="127" t="str">
        <f t="shared" si="4"/>
        <v/>
      </c>
      <c r="Y269" s="127" t="str">
        <f t="shared" si="5"/>
        <v/>
      </c>
    </row>
    <row r="270">
      <c r="A270" s="127"/>
      <c r="B270" s="127" t="str">
        <f>IF(A270="","",VLOOKUP(A270,'BASE OS'!$A$2:$I1000,2,FALSE))</f>
        <v/>
      </c>
      <c r="C270" s="132"/>
      <c r="D270" s="127"/>
      <c r="E270" s="127"/>
      <c r="F270" s="127"/>
      <c r="G270" s="127"/>
      <c r="H270" s="130"/>
      <c r="I270" s="130"/>
      <c r="J270" s="130">
        <f t="shared" si="1"/>
        <v>0</v>
      </c>
      <c r="K270" s="130"/>
      <c r="L270" s="130"/>
      <c r="M270" s="130">
        <f t="shared" si="2"/>
        <v>0</v>
      </c>
      <c r="N270" s="130"/>
      <c r="O270" s="130"/>
      <c r="P270" s="127"/>
      <c r="Q270" s="127"/>
      <c r="R270" s="127"/>
      <c r="S270" s="127"/>
      <c r="T270" s="127" t="str">
        <f>IF(A270="","",VLOOKUP(A270,'BASE OS'!$A$2:$I1000,4,FALSE))</f>
        <v/>
      </c>
      <c r="U270" s="127"/>
      <c r="V270" s="127"/>
      <c r="W270" s="127" t="str">
        <f t="shared" si="3"/>
        <v/>
      </c>
      <c r="X270" s="127" t="str">
        <f t="shared" si="4"/>
        <v/>
      </c>
      <c r="Y270" s="127" t="str">
        <f t="shared" si="5"/>
        <v/>
      </c>
    </row>
    <row r="271">
      <c r="A271" s="127"/>
      <c r="B271" s="127" t="str">
        <f>IF(A271="","",VLOOKUP(A271,'BASE OS'!$A$2:$I1000,2,FALSE))</f>
        <v/>
      </c>
      <c r="C271" s="132"/>
      <c r="D271" s="127"/>
      <c r="E271" s="127"/>
      <c r="F271" s="127"/>
      <c r="G271" s="127"/>
      <c r="H271" s="130"/>
      <c r="I271" s="130"/>
      <c r="J271" s="130">
        <f t="shared" si="1"/>
        <v>0</v>
      </c>
      <c r="K271" s="130"/>
      <c r="L271" s="130"/>
      <c r="M271" s="130">
        <f t="shared" si="2"/>
        <v>0</v>
      </c>
      <c r="N271" s="130"/>
      <c r="O271" s="130"/>
      <c r="P271" s="127"/>
      <c r="Q271" s="127"/>
      <c r="R271" s="127"/>
      <c r="S271" s="127"/>
      <c r="T271" s="127" t="str">
        <f>IF(A271="","",VLOOKUP(A271,'BASE OS'!$A$2:$I1000,4,FALSE))</f>
        <v/>
      </c>
      <c r="U271" s="127"/>
      <c r="V271" s="127"/>
      <c r="W271" s="127" t="str">
        <f t="shared" si="3"/>
        <v/>
      </c>
      <c r="X271" s="127" t="str">
        <f t="shared" si="4"/>
        <v/>
      </c>
      <c r="Y271" s="127" t="str">
        <f t="shared" si="5"/>
        <v/>
      </c>
    </row>
    <row r="272">
      <c r="A272" s="127"/>
      <c r="B272" s="127" t="str">
        <f>IF(A272="","",VLOOKUP(A272,'BASE OS'!$A$2:$I1000,2,FALSE))</f>
        <v/>
      </c>
      <c r="C272" s="132"/>
      <c r="D272" s="127"/>
      <c r="E272" s="127"/>
      <c r="F272" s="127"/>
      <c r="G272" s="127"/>
      <c r="H272" s="130"/>
      <c r="I272" s="130"/>
      <c r="J272" s="130">
        <f t="shared" si="1"/>
        <v>0</v>
      </c>
      <c r="K272" s="130"/>
      <c r="L272" s="130"/>
      <c r="M272" s="130">
        <f t="shared" si="2"/>
        <v>0</v>
      </c>
      <c r="N272" s="130"/>
      <c r="O272" s="130"/>
      <c r="P272" s="127"/>
      <c r="Q272" s="127"/>
      <c r="R272" s="127"/>
      <c r="S272" s="127"/>
      <c r="T272" s="127" t="str">
        <f>IF(A272="","",VLOOKUP(A272,'BASE OS'!$A$2:$I1000,4,FALSE))</f>
        <v/>
      </c>
      <c r="U272" s="127"/>
      <c r="V272" s="127"/>
      <c r="W272" s="127" t="str">
        <f t="shared" si="3"/>
        <v/>
      </c>
      <c r="X272" s="127" t="str">
        <f t="shared" si="4"/>
        <v/>
      </c>
      <c r="Y272" s="127" t="str">
        <f t="shared" si="5"/>
        <v/>
      </c>
    </row>
    <row r="273">
      <c r="A273" s="127"/>
      <c r="B273" s="127" t="str">
        <f>IF(A273="","",VLOOKUP(A273,'BASE OS'!$A$2:$I1000,2,FALSE))</f>
        <v/>
      </c>
      <c r="C273" s="132"/>
      <c r="D273" s="127"/>
      <c r="E273" s="127"/>
      <c r="F273" s="127"/>
      <c r="G273" s="127"/>
      <c r="H273" s="130"/>
      <c r="I273" s="130"/>
      <c r="J273" s="130">
        <f t="shared" si="1"/>
        <v>0</v>
      </c>
      <c r="K273" s="130"/>
      <c r="L273" s="130"/>
      <c r="M273" s="130">
        <f t="shared" si="2"/>
        <v>0</v>
      </c>
      <c r="N273" s="130"/>
      <c r="O273" s="130"/>
      <c r="P273" s="127"/>
      <c r="Q273" s="127"/>
      <c r="R273" s="127"/>
      <c r="S273" s="127"/>
      <c r="T273" s="127" t="str">
        <f>IF(A273="","",VLOOKUP(A273,'BASE OS'!$A$2:$I1000,4,FALSE))</f>
        <v/>
      </c>
      <c r="U273" s="127"/>
      <c r="V273" s="127"/>
      <c r="W273" s="127" t="str">
        <f t="shared" si="3"/>
        <v/>
      </c>
      <c r="X273" s="127" t="str">
        <f t="shared" si="4"/>
        <v/>
      </c>
      <c r="Y273" s="127" t="str">
        <f t="shared" si="5"/>
        <v/>
      </c>
    </row>
    <row r="274">
      <c r="A274" s="127"/>
      <c r="B274" s="127" t="str">
        <f>IF(A274="","",VLOOKUP(A274,'BASE OS'!$A$2:$I1000,2,FALSE))</f>
        <v/>
      </c>
      <c r="C274" s="132"/>
      <c r="D274" s="127"/>
      <c r="E274" s="127"/>
      <c r="F274" s="127"/>
      <c r="G274" s="127"/>
      <c r="H274" s="130"/>
      <c r="I274" s="130"/>
      <c r="J274" s="130">
        <f t="shared" si="1"/>
        <v>0</v>
      </c>
      <c r="K274" s="130"/>
      <c r="L274" s="130"/>
      <c r="M274" s="130">
        <f t="shared" si="2"/>
        <v>0</v>
      </c>
      <c r="N274" s="130"/>
      <c r="O274" s="130"/>
      <c r="P274" s="127"/>
      <c r="Q274" s="127"/>
      <c r="R274" s="127"/>
      <c r="S274" s="127"/>
      <c r="T274" s="127" t="str">
        <f>IF(A274="","",VLOOKUP(A274,'BASE OS'!$A$2:$I1000,4,FALSE))</f>
        <v/>
      </c>
      <c r="U274" s="127"/>
      <c r="V274" s="127"/>
      <c r="W274" s="127" t="str">
        <f t="shared" si="3"/>
        <v/>
      </c>
      <c r="X274" s="127" t="str">
        <f t="shared" si="4"/>
        <v/>
      </c>
      <c r="Y274" s="127" t="str">
        <f t="shared" si="5"/>
        <v/>
      </c>
    </row>
    <row r="275">
      <c r="A275" s="127"/>
      <c r="B275" s="127" t="str">
        <f>IF(A275="","",VLOOKUP(A275,'BASE OS'!$A$2:$I1000,2,FALSE))</f>
        <v/>
      </c>
      <c r="C275" s="132"/>
      <c r="D275" s="127"/>
      <c r="E275" s="127"/>
      <c r="F275" s="127"/>
      <c r="G275" s="127"/>
      <c r="H275" s="130"/>
      <c r="I275" s="130"/>
      <c r="J275" s="130">
        <f t="shared" si="1"/>
        <v>0</v>
      </c>
      <c r="K275" s="130"/>
      <c r="L275" s="130"/>
      <c r="M275" s="130">
        <f t="shared" si="2"/>
        <v>0</v>
      </c>
      <c r="N275" s="130"/>
      <c r="O275" s="130"/>
      <c r="P275" s="127"/>
      <c r="Q275" s="127"/>
      <c r="R275" s="127"/>
      <c r="S275" s="127"/>
      <c r="T275" s="127" t="str">
        <f>IF(A275="","",VLOOKUP(A275,'BASE OS'!$A$2:$I1000,4,FALSE))</f>
        <v/>
      </c>
      <c r="U275" s="127"/>
      <c r="V275" s="127"/>
      <c r="W275" s="127" t="str">
        <f t="shared" si="3"/>
        <v/>
      </c>
      <c r="X275" s="127" t="str">
        <f t="shared" si="4"/>
        <v/>
      </c>
      <c r="Y275" s="127" t="str">
        <f t="shared" si="5"/>
        <v/>
      </c>
    </row>
    <row r="276">
      <c r="A276" s="127"/>
      <c r="B276" s="127" t="str">
        <f>IF(A276="","",VLOOKUP(A276,'BASE OS'!$A$2:$I1000,2,FALSE))</f>
        <v/>
      </c>
      <c r="C276" s="132"/>
      <c r="D276" s="127"/>
      <c r="E276" s="127"/>
      <c r="F276" s="127"/>
      <c r="G276" s="127"/>
      <c r="H276" s="130"/>
      <c r="I276" s="130"/>
      <c r="J276" s="130">
        <f t="shared" si="1"/>
        <v>0</v>
      </c>
      <c r="K276" s="130"/>
      <c r="L276" s="130"/>
      <c r="M276" s="130">
        <f t="shared" si="2"/>
        <v>0</v>
      </c>
      <c r="N276" s="130"/>
      <c r="O276" s="130"/>
      <c r="P276" s="127"/>
      <c r="Q276" s="127"/>
      <c r="R276" s="127"/>
      <c r="S276" s="127"/>
      <c r="T276" s="127" t="str">
        <f>IF(A276="","",VLOOKUP(A276,'BASE OS'!$A$2:$I1000,4,FALSE))</f>
        <v/>
      </c>
      <c r="U276" s="127"/>
      <c r="V276" s="127"/>
      <c r="W276" s="127" t="str">
        <f t="shared" si="3"/>
        <v/>
      </c>
      <c r="X276" s="127" t="str">
        <f t="shared" si="4"/>
        <v/>
      </c>
      <c r="Y276" s="127" t="str">
        <f t="shared" si="5"/>
        <v/>
      </c>
    </row>
    <row r="277">
      <c r="A277" s="127"/>
      <c r="B277" s="127" t="str">
        <f>IF(A277="","",VLOOKUP(A277,'BASE OS'!$A$2:$I1000,2,FALSE))</f>
        <v/>
      </c>
      <c r="C277" s="132"/>
      <c r="D277" s="127"/>
      <c r="E277" s="127"/>
      <c r="F277" s="127"/>
      <c r="G277" s="127"/>
      <c r="H277" s="130"/>
      <c r="I277" s="130"/>
      <c r="J277" s="130">
        <f t="shared" si="1"/>
        <v>0</v>
      </c>
      <c r="K277" s="130"/>
      <c r="L277" s="130"/>
      <c r="M277" s="130">
        <f t="shared" si="2"/>
        <v>0</v>
      </c>
      <c r="N277" s="130"/>
      <c r="O277" s="130"/>
      <c r="P277" s="127"/>
      <c r="Q277" s="127"/>
      <c r="R277" s="127"/>
      <c r="S277" s="127"/>
      <c r="T277" s="127" t="str">
        <f>IF(A277="","",VLOOKUP(A277,'BASE OS'!$A$2:$I1000,4,FALSE))</f>
        <v/>
      </c>
      <c r="U277" s="127"/>
      <c r="V277" s="127"/>
      <c r="W277" s="127" t="str">
        <f t="shared" si="3"/>
        <v/>
      </c>
      <c r="X277" s="127" t="str">
        <f t="shared" si="4"/>
        <v/>
      </c>
      <c r="Y277" s="127" t="str">
        <f t="shared" si="5"/>
        <v/>
      </c>
    </row>
    <row r="278">
      <c r="A278" s="127"/>
      <c r="B278" s="127" t="str">
        <f>IF(A278="","",VLOOKUP(A278,'BASE OS'!$A$2:$I1000,2,FALSE))</f>
        <v/>
      </c>
      <c r="C278" s="132"/>
      <c r="D278" s="127"/>
      <c r="E278" s="127"/>
      <c r="F278" s="127"/>
      <c r="G278" s="127"/>
      <c r="H278" s="130"/>
      <c r="I278" s="130"/>
      <c r="J278" s="130">
        <f t="shared" si="1"/>
        <v>0</v>
      </c>
      <c r="K278" s="130"/>
      <c r="L278" s="130"/>
      <c r="M278" s="130">
        <f t="shared" si="2"/>
        <v>0</v>
      </c>
      <c r="N278" s="130"/>
      <c r="O278" s="130"/>
      <c r="P278" s="127"/>
      <c r="Q278" s="127"/>
      <c r="R278" s="127"/>
      <c r="S278" s="127"/>
      <c r="T278" s="127" t="str">
        <f>IF(A278="","",VLOOKUP(A278,'BASE OS'!$A$2:$I1000,4,FALSE))</f>
        <v/>
      </c>
      <c r="U278" s="127"/>
      <c r="V278" s="127"/>
      <c r="W278" s="127" t="str">
        <f t="shared" si="3"/>
        <v/>
      </c>
      <c r="X278" s="127" t="str">
        <f t="shared" si="4"/>
        <v/>
      </c>
      <c r="Y278" s="127" t="str">
        <f t="shared" si="5"/>
        <v/>
      </c>
    </row>
    <row r="279">
      <c r="A279" s="127"/>
      <c r="B279" s="127" t="str">
        <f>IF(A279="","",VLOOKUP(A279,'BASE OS'!$A$2:$I1000,2,FALSE))</f>
        <v/>
      </c>
      <c r="C279" s="132"/>
      <c r="D279" s="127"/>
      <c r="E279" s="127"/>
      <c r="F279" s="127"/>
      <c r="G279" s="127"/>
      <c r="H279" s="130"/>
      <c r="I279" s="130"/>
      <c r="J279" s="130">
        <f t="shared" si="1"/>
        <v>0</v>
      </c>
      <c r="K279" s="130"/>
      <c r="L279" s="130"/>
      <c r="M279" s="130">
        <f t="shared" si="2"/>
        <v>0</v>
      </c>
      <c r="N279" s="130"/>
      <c r="O279" s="130"/>
      <c r="P279" s="127"/>
      <c r="Q279" s="127"/>
      <c r="R279" s="127"/>
      <c r="S279" s="127"/>
      <c r="T279" s="127" t="str">
        <f>IF(A279="","",VLOOKUP(A279,'BASE OS'!$A$2:$I1000,4,FALSE))</f>
        <v/>
      </c>
      <c r="U279" s="127"/>
      <c r="V279" s="127"/>
      <c r="W279" s="127" t="str">
        <f t="shared" si="3"/>
        <v/>
      </c>
      <c r="X279" s="127" t="str">
        <f t="shared" si="4"/>
        <v/>
      </c>
      <c r="Y279" s="127" t="str">
        <f t="shared" si="5"/>
        <v/>
      </c>
    </row>
    <row r="280">
      <c r="A280" s="127"/>
      <c r="B280" s="127" t="str">
        <f>IF(A280="","",VLOOKUP(A280,'BASE OS'!$A$2:$I1000,2,FALSE))</f>
        <v/>
      </c>
      <c r="C280" s="132"/>
      <c r="D280" s="127"/>
      <c r="E280" s="127"/>
      <c r="F280" s="127"/>
      <c r="G280" s="127"/>
      <c r="H280" s="130"/>
      <c r="I280" s="130"/>
      <c r="J280" s="130">
        <f t="shared" si="1"/>
        <v>0</v>
      </c>
      <c r="K280" s="130"/>
      <c r="L280" s="130"/>
      <c r="M280" s="130">
        <f t="shared" si="2"/>
        <v>0</v>
      </c>
      <c r="N280" s="130"/>
      <c r="O280" s="130"/>
      <c r="P280" s="127"/>
      <c r="Q280" s="127"/>
      <c r="R280" s="127"/>
      <c r="S280" s="127"/>
      <c r="T280" s="127" t="str">
        <f>IF(A280="","",VLOOKUP(A280,'BASE OS'!$A$2:$I1000,4,FALSE))</f>
        <v/>
      </c>
      <c r="U280" s="127"/>
      <c r="V280" s="127"/>
      <c r="W280" s="127" t="str">
        <f t="shared" si="3"/>
        <v/>
      </c>
      <c r="X280" s="127" t="str">
        <f t="shared" si="4"/>
        <v/>
      </c>
      <c r="Y280" s="127" t="str">
        <f t="shared" si="5"/>
        <v/>
      </c>
    </row>
    <row r="281">
      <c r="A281" s="127"/>
      <c r="B281" s="127" t="str">
        <f>IF(A281="","",VLOOKUP(A281,'BASE OS'!$A$2:$I1000,2,FALSE))</f>
        <v/>
      </c>
      <c r="C281" s="132"/>
      <c r="D281" s="127"/>
      <c r="E281" s="127"/>
      <c r="F281" s="127"/>
      <c r="G281" s="127"/>
      <c r="H281" s="130"/>
      <c r="I281" s="130"/>
      <c r="J281" s="130">
        <f t="shared" si="1"/>
        <v>0</v>
      </c>
      <c r="K281" s="130"/>
      <c r="L281" s="130"/>
      <c r="M281" s="130">
        <f t="shared" si="2"/>
        <v>0</v>
      </c>
      <c r="N281" s="130"/>
      <c r="O281" s="130"/>
      <c r="P281" s="127"/>
      <c r="Q281" s="127"/>
      <c r="R281" s="127"/>
      <c r="S281" s="127"/>
      <c r="T281" s="127" t="str">
        <f>IF(A281="","",VLOOKUP(A281,'BASE OS'!$A$2:$I1000,4,FALSE))</f>
        <v/>
      </c>
      <c r="U281" s="127"/>
      <c r="V281" s="127"/>
      <c r="W281" s="127" t="str">
        <f t="shared" si="3"/>
        <v/>
      </c>
      <c r="X281" s="127" t="str">
        <f t="shared" si="4"/>
        <v/>
      </c>
      <c r="Y281" s="127" t="str">
        <f t="shared" si="5"/>
        <v/>
      </c>
    </row>
    <row r="282">
      <c r="A282" s="127"/>
      <c r="B282" s="127" t="str">
        <f>IF(A282="","",VLOOKUP(A282,'BASE OS'!$A$2:$I1000,2,FALSE))</f>
        <v/>
      </c>
      <c r="C282" s="132"/>
      <c r="D282" s="127"/>
      <c r="E282" s="127"/>
      <c r="F282" s="127"/>
      <c r="G282" s="127"/>
      <c r="H282" s="130"/>
      <c r="I282" s="130"/>
      <c r="J282" s="130">
        <f t="shared" si="1"/>
        <v>0</v>
      </c>
      <c r="K282" s="130"/>
      <c r="L282" s="130"/>
      <c r="M282" s="130">
        <f t="shared" si="2"/>
        <v>0</v>
      </c>
      <c r="N282" s="130"/>
      <c r="O282" s="130"/>
      <c r="P282" s="127"/>
      <c r="Q282" s="127"/>
      <c r="R282" s="127"/>
      <c r="S282" s="127"/>
      <c r="T282" s="127" t="str">
        <f>IF(A282="","",VLOOKUP(A282,'BASE OS'!$A$2:$I1000,4,FALSE))</f>
        <v/>
      </c>
      <c r="U282" s="127"/>
      <c r="V282" s="127"/>
      <c r="W282" s="127" t="str">
        <f t="shared" si="3"/>
        <v/>
      </c>
      <c r="X282" s="127" t="str">
        <f t="shared" si="4"/>
        <v/>
      </c>
      <c r="Y282" s="127" t="str">
        <f t="shared" si="5"/>
        <v/>
      </c>
    </row>
    <row r="283">
      <c r="A283" s="127"/>
      <c r="B283" s="127" t="str">
        <f>IF(A283="","",VLOOKUP(A283,'BASE OS'!$A$2:$I1000,2,FALSE))</f>
        <v/>
      </c>
      <c r="C283" s="132"/>
      <c r="D283" s="127"/>
      <c r="E283" s="127"/>
      <c r="F283" s="127"/>
      <c r="G283" s="127"/>
      <c r="H283" s="130"/>
      <c r="I283" s="130"/>
      <c r="J283" s="130">
        <f t="shared" si="1"/>
        <v>0</v>
      </c>
      <c r="K283" s="130"/>
      <c r="L283" s="130"/>
      <c r="M283" s="130">
        <f t="shared" si="2"/>
        <v>0</v>
      </c>
      <c r="N283" s="130"/>
      <c r="O283" s="130"/>
      <c r="P283" s="127"/>
      <c r="Q283" s="127"/>
      <c r="R283" s="127"/>
      <c r="S283" s="127"/>
      <c r="T283" s="127" t="str">
        <f>IF(A283="","",VLOOKUP(A283,'BASE OS'!$A$2:$I1000,4,FALSE))</f>
        <v/>
      </c>
      <c r="U283" s="127"/>
      <c r="V283" s="127"/>
      <c r="W283" s="127" t="str">
        <f t="shared" si="3"/>
        <v/>
      </c>
      <c r="X283" s="127" t="str">
        <f t="shared" si="4"/>
        <v/>
      </c>
      <c r="Y283" s="127" t="str">
        <f t="shared" si="5"/>
        <v/>
      </c>
    </row>
    <row r="284">
      <c r="A284" s="127"/>
      <c r="B284" s="127" t="str">
        <f>IF(A284="","",VLOOKUP(A284,'BASE OS'!$A$2:$I1000,2,FALSE))</f>
        <v/>
      </c>
      <c r="C284" s="132"/>
      <c r="D284" s="127"/>
      <c r="E284" s="127"/>
      <c r="F284" s="127"/>
      <c r="G284" s="127"/>
      <c r="H284" s="130"/>
      <c r="I284" s="130"/>
      <c r="J284" s="130">
        <f t="shared" si="1"/>
        <v>0</v>
      </c>
      <c r="K284" s="130"/>
      <c r="L284" s="130"/>
      <c r="M284" s="130">
        <f t="shared" si="2"/>
        <v>0</v>
      </c>
      <c r="N284" s="130"/>
      <c r="O284" s="130"/>
      <c r="P284" s="127"/>
      <c r="Q284" s="127"/>
      <c r="R284" s="127"/>
      <c r="S284" s="127"/>
      <c r="T284" s="127" t="str">
        <f>IF(A284="","",VLOOKUP(A284,'BASE OS'!$A$2:$I1000,4,FALSE))</f>
        <v/>
      </c>
      <c r="U284" s="127"/>
      <c r="V284" s="127"/>
      <c r="W284" s="127" t="str">
        <f t="shared" si="3"/>
        <v/>
      </c>
      <c r="X284" s="127" t="str">
        <f t="shared" si="4"/>
        <v/>
      </c>
      <c r="Y284" s="127" t="str">
        <f t="shared" si="5"/>
        <v/>
      </c>
    </row>
    <row r="285">
      <c r="A285" s="127"/>
      <c r="B285" s="127" t="str">
        <f>IF(A285="","",VLOOKUP(A285,'BASE OS'!$A$2:$I1000,2,FALSE))</f>
        <v/>
      </c>
      <c r="C285" s="132"/>
      <c r="D285" s="127"/>
      <c r="E285" s="127"/>
      <c r="F285" s="127"/>
      <c r="G285" s="127"/>
      <c r="H285" s="130"/>
      <c r="I285" s="130"/>
      <c r="J285" s="130">
        <f t="shared" si="1"/>
        <v>0</v>
      </c>
      <c r="K285" s="130"/>
      <c r="L285" s="130"/>
      <c r="M285" s="130">
        <f t="shared" si="2"/>
        <v>0</v>
      </c>
      <c r="N285" s="130"/>
      <c r="O285" s="130"/>
      <c r="P285" s="127"/>
      <c r="Q285" s="127"/>
      <c r="R285" s="127"/>
      <c r="S285" s="127"/>
      <c r="T285" s="127" t="str">
        <f>IF(A285="","",VLOOKUP(A285,'BASE OS'!$A$2:$I1000,4,FALSE))</f>
        <v/>
      </c>
      <c r="U285" s="127"/>
      <c r="V285" s="127"/>
      <c r="W285" s="127" t="str">
        <f t="shared" si="3"/>
        <v/>
      </c>
      <c r="X285" s="127" t="str">
        <f t="shared" si="4"/>
        <v/>
      </c>
      <c r="Y285" s="127" t="str">
        <f t="shared" si="5"/>
        <v/>
      </c>
    </row>
    <row r="286">
      <c r="A286" s="127"/>
      <c r="B286" s="127" t="str">
        <f>IF(A286="","",VLOOKUP(A286,'BASE OS'!$A$2:$I1000,2,FALSE))</f>
        <v/>
      </c>
      <c r="C286" s="132"/>
      <c r="D286" s="127"/>
      <c r="E286" s="127"/>
      <c r="F286" s="127"/>
      <c r="G286" s="127"/>
      <c r="H286" s="130"/>
      <c r="I286" s="130"/>
      <c r="J286" s="130">
        <f t="shared" si="1"/>
        <v>0</v>
      </c>
      <c r="K286" s="130"/>
      <c r="L286" s="130"/>
      <c r="M286" s="130">
        <f t="shared" si="2"/>
        <v>0</v>
      </c>
      <c r="N286" s="130"/>
      <c r="O286" s="130"/>
      <c r="P286" s="127"/>
      <c r="Q286" s="127"/>
      <c r="R286" s="127"/>
      <c r="S286" s="127"/>
      <c r="T286" s="127" t="str">
        <f>IF(A286="","",VLOOKUP(A286,'BASE OS'!$A$2:$I1000,4,FALSE))</f>
        <v/>
      </c>
      <c r="U286" s="127"/>
      <c r="V286" s="127"/>
      <c r="W286" s="127" t="str">
        <f t="shared" si="3"/>
        <v/>
      </c>
      <c r="X286" s="127" t="str">
        <f t="shared" si="4"/>
        <v/>
      </c>
      <c r="Y286" s="127" t="str">
        <f t="shared" si="5"/>
        <v/>
      </c>
    </row>
    <row r="287">
      <c r="A287" s="127"/>
      <c r="B287" s="127" t="str">
        <f>IF(A287="","",VLOOKUP(A287,'BASE OS'!$A$2:$I1000,2,FALSE))</f>
        <v/>
      </c>
      <c r="C287" s="132"/>
      <c r="D287" s="127"/>
      <c r="E287" s="127"/>
      <c r="F287" s="127"/>
      <c r="G287" s="127"/>
      <c r="H287" s="130"/>
      <c r="I287" s="130"/>
      <c r="J287" s="130">
        <f t="shared" si="1"/>
        <v>0</v>
      </c>
      <c r="K287" s="130"/>
      <c r="L287" s="130"/>
      <c r="M287" s="130">
        <f t="shared" si="2"/>
        <v>0</v>
      </c>
      <c r="N287" s="130"/>
      <c r="O287" s="130"/>
      <c r="P287" s="127"/>
      <c r="Q287" s="127"/>
      <c r="R287" s="127"/>
      <c r="S287" s="127"/>
      <c r="T287" s="127" t="str">
        <f>IF(A287="","",VLOOKUP(A287,'BASE OS'!$A$2:$I1000,4,FALSE))</f>
        <v/>
      </c>
      <c r="U287" s="127"/>
      <c r="V287" s="127"/>
      <c r="W287" s="127" t="str">
        <f t="shared" si="3"/>
        <v/>
      </c>
      <c r="X287" s="127" t="str">
        <f t="shared" si="4"/>
        <v/>
      </c>
      <c r="Y287" s="127" t="str">
        <f t="shared" si="5"/>
        <v/>
      </c>
    </row>
    <row r="288">
      <c r="A288" s="127"/>
      <c r="B288" s="127" t="str">
        <f>IF(A288="","",VLOOKUP(A288,'BASE OS'!$A$2:$I1000,2,FALSE))</f>
        <v/>
      </c>
      <c r="C288" s="132"/>
      <c r="D288" s="127"/>
      <c r="E288" s="127"/>
      <c r="F288" s="127"/>
      <c r="G288" s="127"/>
      <c r="H288" s="130"/>
      <c r="I288" s="130"/>
      <c r="J288" s="130">
        <f t="shared" si="1"/>
        <v>0</v>
      </c>
      <c r="K288" s="130"/>
      <c r="L288" s="130"/>
      <c r="M288" s="130">
        <f t="shared" si="2"/>
        <v>0</v>
      </c>
      <c r="N288" s="130"/>
      <c r="O288" s="130"/>
      <c r="P288" s="127"/>
      <c r="Q288" s="127"/>
      <c r="R288" s="127"/>
      <c r="S288" s="127"/>
      <c r="T288" s="127" t="str">
        <f>IF(A288="","",VLOOKUP(A288,'BASE OS'!$A$2:$I1000,4,FALSE))</f>
        <v/>
      </c>
      <c r="U288" s="127"/>
      <c r="V288" s="127"/>
      <c r="W288" s="127" t="str">
        <f t="shared" si="3"/>
        <v/>
      </c>
      <c r="X288" s="127" t="str">
        <f t="shared" si="4"/>
        <v/>
      </c>
      <c r="Y288" s="127" t="str">
        <f t="shared" si="5"/>
        <v/>
      </c>
    </row>
    <row r="289">
      <c r="A289" s="127"/>
      <c r="B289" s="127" t="str">
        <f>IF(A289="","",VLOOKUP(A289,'BASE OS'!$A$2:$I1000,2,FALSE))</f>
        <v/>
      </c>
      <c r="C289" s="132"/>
      <c r="D289" s="127"/>
      <c r="E289" s="127"/>
      <c r="F289" s="127"/>
      <c r="G289" s="127"/>
      <c r="H289" s="130"/>
      <c r="I289" s="130"/>
      <c r="J289" s="130">
        <f t="shared" si="1"/>
        <v>0</v>
      </c>
      <c r="K289" s="130"/>
      <c r="L289" s="130"/>
      <c r="M289" s="130">
        <f t="shared" si="2"/>
        <v>0</v>
      </c>
      <c r="N289" s="130"/>
      <c r="O289" s="130"/>
      <c r="P289" s="127"/>
      <c r="Q289" s="127"/>
      <c r="R289" s="127"/>
      <c r="S289" s="127"/>
      <c r="T289" s="127" t="str">
        <f>IF(A289="","",VLOOKUP(A289,'BASE OS'!$A$2:$I1000,4,FALSE))</f>
        <v/>
      </c>
      <c r="U289" s="127"/>
      <c r="V289" s="127"/>
      <c r="W289" s="127" t="str">
        <f t="shared" si="3"/>
        <v/>
      </c>
      <c r="X289" s="127" t="str">
        <f t="shared" si="4"/>
        <v/>
      </c>
      <c r="Y289" s="127" t="str">
        <f t="shared" si="5"/>
        <v/>
      </c>
    </row>
    <row r="290">
      <c r="A290" s="127"/>
      <c r="B290" s="127" t="str">
        <f>IF(A290="","",VLOOKUP(A290,'BASE OS'!$A$2:$I1000,2,FALSE))</f>
        <v/>
      </c>
      <c r="C290" s="132"/>
      <c r="D290" s="127"/>
      <c r="E290" s="127"/>
      <c r="F290" s="127"/>
      <c r="G290" s="127"/>
      <c r="H290" s="130"/>
      <c r="I290" s="130"/>
      <c r="J290" s="130">
        <f t="shared" si="1"/>
        <v>0</v>
      </c>
      <c r="K290" s="130"/>
      <c r="L290" s="130"/>
      <c r="M290" s="130">
        <f t="shared" si="2"/>
        <v>0</v>
      </c>
      <c r="N290" s="130"/>
      <c r="O290" s="130"/>
      <c r="P290" s="127"/>
      <c r="Q290" s="127"/>
      <c r="R290" s="127"/>
      <c r="S290" s="127"/>
      <c r="T290" s="127" t="str">
        <f>IF(A290="","",VLOOKUP(A290,'BASE OS'!$A$2:$I1000,4,FALSE))</f>
        <v/>
      </c>
      <c r="U290" s="127"/>
      <c r="V290" s="127"/>
      <c r="W290" s="127" t="str">
        <f t="shared" si="3"/>
        <v/>
      </c>
      <c r="X290" s="127" t="str">
        <f t="shared" si="4"/>
        <v/>
      </c>
      <c r="Y290" s="127" t="str">
        <f t="shared" si="5"/>
        <v/>
      </c>
    </row>
    <row r="291">
      <c r="A291" s="127"/>
      <c r="B291" s="127" t="str">
        <f>IF(A291="","",VLOOKUP(A291,'BASE OS'!$A$2:$I1000,2,FALSE))</f>
        <v/>
      </c>
      <c r="C291" s="132"/>
      <c r="D291" s="127"/>
      <c r="E291" s="127"/>
      <c r="F291" s="127"/>
      <c r="G291" s="127"/>
      <c r="H291" s="130"/>
      <c r="I291" s="130"/>
      <c r="J291" s="130">
        <f t="shared" si="1"/>
        <v>0</v>
      </c>
      <c r="K291" s="130"/>
      <c r="L291" s="130"/>
      <c r="M291" s="130">
        <f t="shared" si="2"/>
        <v>0</v>
      </c>
      <c r="N291" s="130"/>
      <c r="O291" s="130"/>
      <c r="P291" s="127"/>
      <c r="Q291" s="127"/>
      <c r="R291" s="127"/>
      <c r="S291" s="127"/>
      <c r="T291" s="127" t="str">
        <f>IF(A291="","",VLOOKUP(A291,'BASE OS'!$A$2:$I1000,4,FALSE))</f>
        <v/>
      </c>
      <c r="U291" s="127"/>
      <c r="V291" s="127"/>
      <c r="W291" s="127" t="str">
        <f t="shared" si="3"/>
        <v/>
      </c>
      <c r="X291" s="127" t="str">
        <f t="shared" si="4"/>
        <v/>
      </c>
      <c r="Y291" s="127" t="str">
        <f t="shared" si="5"/>
        <v/>
      </c>
    </row>
    <row r="292">
      <c r="A292" s="127"/>
      <c r="B292" s="127" t="str">
        <f>IF(A292="","",VLOOKUP(A292,'BASE OS'!$A$2:$I1000,2,FALSE))</f>
        <v/>
      </c>
      <c r="C292" s="132"/>
      <c r="D292" s="127"/>
      <c r="E292" s="127"/>
      <c r="F292" s="127"/>
      <c r="G292" s="127"/>
      <c r="H292" s="130"/>
      <c r="I292" s="130"/>
      <c r="J292" s="130">
        <f t="shared" si="1"/>
        <v>0</v>
      </c>
      <c r="K292" s="130"/>
      <c r="L292" s="130"/>
      <c r="M292" s="130">
        <f t="shared" si="2"/>
        <v>0</v>
      </c>
      <c r="N292" s="130"/>
      <c r="O292" s="130"/>
      <c r="P292" s="127"/>
      <c r="Q292" s="127"/>
      <c r="R292" s="127"/>
      <c r="S292" s="127"/>
      <c r="T292" s="127" t="str">
        <f>IF(A292="","",VLOOKUP(A292,'BASE OS'!$A$2:$I1000,4,FALSE))</f>
        <v/>
      </c>
      <c r="U292" s="127"/>
      <c r="V292" s="127"/>
      <c r="W292" s="127" t="str">
        <f t="shared" si="3"/>
        <v/>
      </c>
      <c r="X292" s="127" t="str">
        <f t="shared" si="4"/>
        <v/>
      </c>
      <c r="Y292" s="127" t="str">
        <f t="shared" si="5"/>
        <v/>
      </c>
    </row>
    <row r="293">
      <c r="A293" s="127"/>
      <c r="B293" s="127" t="str">
        <f>IF(A293="","",VLOOKUP(A293,'BASE OS'!$A$2:$I1000,2,FALSE))</f>
        <v/>
      </c>
      <c r="C293" s="132"/>
      <c r="D293" s="127"/>
      <c r="E293" s="127"/>
      <c r="F293" s="127"/>
      <c r="G293" s="127"/>
      <c r="H293" s="130"/>
      <c r="I293" s="130"/>
      <c r="J293" s="130">
        <f t="shared" si="1"/>
        <v>0</v>
      </c>
      <c r="K293" s="130"/>
      <c r="L293" s="130"/>
      <c r="M293" s="130">
        <f t="shared" si="2"/>
        <v>0</v>
      </c>
      <c r="N293" s="130"/>
      <c r="O293" s="130"/>
      <c r="P293" s="127"/>
      <c r="Q293" s="127"/>
      <c r="R293" s="127"/>
      <c r="S293" s="127"/>
      <c r="T293" s="127" t="str">
        <f>IF(A293="","",VLOOKUP(A293,'BASE OS'!$A$2:$I1000,4,FALSE))</f>
        <v/>
      </c>
      <c r="U293" s="127"/>
      <c r="V293" s="127"/>
      <c r="W293" s="127" t="str">
        <f t="shared" si="3"/>
        <v/>
      </c>
      <c r="X293" s="127" t="str">
        <f t="shared" si="4"/>
        <v/>
      </c>
      <c r="Y293" s="127" t="str">
        <f t="shared" si="5"/>
        <v/>
      </c>
    </row>
    <row r="294">
      <c r="A294" s="127"/>
      <c r="B294" s="127" t="str">
        <f>IF(A294="","",VLOOKUP(A294,'BASE OS'!$A$2:$I1000,2,FALSE))</f>
        <v/>
      </c>
      <c r="C294" s="132"/>
      <c r="D294" s="127"/>
      <c r="E294" s="127"/>
      <c r="F294" s="127"/>
      <c r="G294" s="127"/>
      <c r="H294" s="130"/>
      <c r="I294" s="130"/>
      <c r="J294" s="130">
        <f t="shared" si="1"/>
        <v>0</v>
      </c>
      <c r="K294" s="130"/>
      <c r="L294" s="130"/>
      <c r="M294" s="130">
        <f t="shared" si="2"/>
        <v>0</v>
      </c>
      <c r="N294" s="130"/>
      <c r="O294" s="130"/>
      <c r="P294" s="127"/>
      <c r="Q294" s="127"/>
      <c r="R294" s="127"/>
      <c r="S294" s="127"/>
      <c r="T294" s="127" t="str">
        <f>IF(A294="","",VLOOKUP(A294,'BASE OS'!$A$2:$I1000,4,FALSE))</f>
        <v/>
      </c>
      <c r="U294" s="127"/>
      <c r="V294" s="127"/>
      <c r="W294" s="127" t="str">
        <f t="shared" si="3"/>
        <v/>
      </c>
      <c r="X294" s="127" t="str">
        <f t="shared" si="4"/>
        <v/>
      </c>
      <c r="Y294" s="127" t="str">
        <f t="shared" si="5"/>
        <v/>
      </c>
    </row>
    <row r="295">
      <c r="A295" s="127"/>
      <c r="B295" s="127" t="str">
        <f>IF(A295="","",VLOOKUP(A295,'BASE OS'!$A$2:$I1000,2,FALSE))</f>
        <v/>
      </c>
      <c r="C295" s="132"/>
      <c r="D295" s="127"/>
      <c r="E295" s="127"/>
      <c r="F295" s="127"/>
      <c r="G295" s="127"/>
      <c r="H295" s="130"/>
      <c r="I295" s="130"/>
      <c r="J295" s="130">
        <f t="shared" si="1"/>
        <v>0</v>
      </c>
      <c r="K295" s="130"/>
      <c r="L295" s="130"/>
      <c r="M295" s="130">
        <f t="shared" si="2"/>
        <v>0</v>
      </c>
      <c r="N295" s="130"/>
      <c r="O295" s="130"/>
      <c r="P295" s="127"/>
      <c r="Q295" s="127"/>
      <c r="R295" s="127"/>
      <c r="S295" s="127"/>
      <c r="T295" s="127" t="str">
        <f>IF(A295="","",VLOOKUP(A295,'BASE OS'!$A$2:$I1000,4,FALSE))</f>
        <v/>
      </c>
      <c r="U295" s="127"/>
      <c r="V295" s="127"/>
      <c r="W295" s="127" t="str">
        <f t="shared" si="3"/>
        <v/>
      </c>
      <c r="X295" s="127" t="str">
        <f t="shared" si="4"/>
        <v/>
      </c>
      <c r="Y295" s="127" t="str">
        <f t="shared" si="5"/>
        <v/>
      </c>
    </row>
    <row r="296">
      <c r="A296" s="127"/>
      <c r="B296" s="127" t="str">
        <f>IF(A296="","",VLOOKUP(A296,'BASE OS'!$A$2:$I1000,2,FALSE))</f>
        <v/>
      </c>
      <c r="C296" s="132"/>
      <c r="D296" s="127"/>
      <c r="E296" s="127"/>
      <c r="F296" s="127"/>
      <c r="G296" s="127"/>
      <c r="H296" s="130"/>
      <c r="I296" s="130"/>
      <c r="J296" s="130">
        <f t="shared" si="1"/>
        <v>0</v>
      </c>
      <c r="K296" s="130"/>
      <c r="L296" s="130"/>
      <c r="M296" s="130">
        <f t="shared" si="2"/>
        <v>0</v>
      </c>
      <c r="N296" s="130"/>
      <c r="O296" s="130"/>
      <c r="P296" s="127"/>
      <c r="Q296" s="127"/>
      <c r="R296" s="127"/>
      <c r="S296" s="127"/>
      <c r="T296" s="127" t="str">
        <f>IF(A296="","",VLOOKUP(A296,'BASE OS'!$A$2:$I1000,4,FALSE))</f>
        <v/>
      </c>
      <c r="U296" s="127"/>
      <c r="V296" s="127"/>
      <c r="W296" s="127" t="str">
        <f t="shared" si="3"/>
        <v/>
      </c>
      <c r="X296" s="127" t="str">
        <f t="shared" si="4"/>
        <v/>
      </c>
      <c r="Y296" s="127" t="str">
        <f t="shared" si="5"/>
        <v/>
      </c>
    </row>
    <row r="297">
      <c r="A297" s="127"/>
      <c r="B297" s="127" t="str">
        <f>IF(A297="","",VLOOKUP(A297,'BASE OS'!$A$2:$I1000,2,FALSE))</f>
        <v/>
      </c>
      <c r="C297" s="132"/>
      <c r="D297" s="127"/>
      <c r="E297" s="127"/>
      <c r="F297" s="127"/>
      <c r="G297" s="127"/>
      <c r="H297" s="130"/>
      <c r="I297" s="130"/>
      <c r="J297" s="130">
        <f t="shared" si="1"/>
        <v>0</v>
      </c>
      <c r="K297" s="130"/>
      <c r="L297" s="130"/>
      <c r="M297" s="130">
        <f t="shared" si="2"/>
        <v>0</v>
      </c>
      <c r="N297" s="130"/>
      <c r="O297" s="130"/>
      <c r="P297" s="127"/>
      <c r="Q297" s="127"/>
      <c r="R297" s="127"/>
      <c r="S297" s="127"/>
      <c r="T297" s="127" t="str">
        <f>IF(A297="","",VLOOKUP(A297,'BASE OS'!$A$2:$I1000,4,FALSE))</f>
        <v/>
      </c>
      <c r="U297" s="127"/>
      <c r="V297" s="127"/>
      <c r="W297" s="127" t="str">
        <f t="shared" si="3"/>
        <v/>
      </c>
      <c r="X297" s="127" t="str">
        <f t="shared" si="4"/>
        <v/>
      </c>
      <c r="Y297" s="127" t="str">
        <f t="shared" si="5"/>
        <v/>
      </c>
    </row>
    <row r="298">
      <c r="A298" s="127"/>
      <c r="B298" s="127" t="str">
        <f>IF(A298="","",VLOOKUP(A298,'BASE OS'!$A$2:$I1000,2,FALSE))</f>
        <v/>
      </c>
      <c r="C298" s="132"/>
      <c r="D298" s="127"/>
      <c r="E298" s="127"/>
      <c r="F298" s="127"/>
      <c r="G298" s="127"/>
      <c r="H298" s="130"/>
      <c r="I298" s="130"/>
      <c r="J298" s="130">
        <f t="shared" si="1"/>
        <v>0</v>
      </c>
      <c r="K298" s="130"/>
      <c r="L298" s="130"/>
      <c r="M298" s="130">
        <f t="shared" si="2"/>
        <v>0</v>
      </c>
      <c r="N298" s="130"/>
      <c r="O298" s="130"/>
      <c r="P298" s="127"/>
      <c r="Q298" s="127"/>
      <c r="R298" s="127"/>
      <c r="S298" s="127"/>
      <c r="T298" s="127" t="str">
        <f>IF(A298="","",VLOOKUP(A298,'BASE OS'!$A$2:$I1000,4,FALSE))</f>
        <v/>
      </c>
      <c r="U298" s="127"/>
      <c r="V298" s="127"/>
      <c r="W298" s="127" t="str">
        <f t="shared" si="3"/>
        <v/>
      </c>
      <c r="X298" s="127" t="str">
        <f t="shared" si="4"/>
        <v/>
      </c>
      <c r="Y298" s="127" t="str">
        <f t="shared" si="5"/>
        <v/>
      </c>
    </row>
    <row r="299">
      <c r="A299" s="127"/>
      <c r="B299" s="127" t="str">
        <f>IF(A299="","",VLOOKUP(A299,'BASE OS'!$A$2:$I1000,2,FALSE))</f>
        <v/>
      </c>
      <c r="C299" s="132"/>
      <c r="D299" s="127"/>
      <c r="E299" s="127"/>
      <c r="F299" s="127"/>
      <c r="G299" s="127"/>
      <c r="H299" s="130"/>
      <c r="I299" s="130"/>
      <c r="J299" s="130">
        <f t="shared" si="1"/>
        <v>0</v>
      </c>
      <c r="K299" s="130"/>
      <c r="L299" s="130"/>
      <c r="M299" s="130">
        <f t="shared" si="2"/>
        <v>0</v>
      </c>
      <c r="N299" s="130"/>
      <c r="O299" s="130"/>
      <c r="P299" s="127"/>
      <c r="Q299" s="127"/>
      <c r="R299" s="127"/>
      <c r="S299" s="127"/>
      <c r="T299" s="127" t="str">
        <f>IF(A299="","",VLOOKUP(A299,'BASE OS'!$A$2:$I1000,4,FALSE))</f>
        <v/>
      </c>
      <c r="U299" s="127"/>
      <c r="V299" s="127"/>
      <c r="W299" s="127" t="str">
        <f t="shared" si="3"/>
        <v/>
      </c>
      <c r="X299" s="127" t="str">
        <f t="shared" si="4"/>
        <v/>
      </c>
      <c r="Y299" s="127" t="str">
        <f t="shared" si="5"/>
        <v/>
      </c>
    </row>
    <row r="300">
      <c r="A300" s="127"/>
      <c r="B300" s="127" t="str">
        <f>IF(A300="","",VLOOKUP(A300,'BASE OS'!$A$2:$I1000,2,FALSE))</f>
        <v/>
      </c>
      <c r="C300" s="132"/>
      <c r="D300" s="127"/>
      <c r="E300" s="127"/>
      <c r="F300" s="127"/>
      <c r="G300" s="127"/>
      <c r="H300" s="130"/>
      <c r="I300" s="130"/>
      <c r="J300" s="130">
        <f t="shared" si="1"/>
        <v>0</v>
      </c>
      <c r="K300" s="130"/>
      <c r="L300" s="130"/>
      <c r="M300" s="130">
        <f t="shared" si="2"/>
        <v>0</v>
      </c>
      <c r="N300" s="130"/>
      <c r="O300" s="130"/>
      <c r="P300" s="127"/>
      <c r="Q300" s="127"/>
      <c r="R300" s="127"/>
      <c r="S300" s="127"/>
      <c r="T300" s="127" t="str">
        <f>IF(A300="","",VLOOKUP(A300,'BASE OS'!$A$2:$I1000,4,FALSE))</f>
        <v/>
      </c>
      <c r="U300" s="127"/>
      <c r="V300" s="127"/>
      <c r="W300" s="127" t="str">
        <f t="shared" si="3"/>
        <v/>
      </c>
      <c r="X300" s="127" t="str">
        <f t="shared" si="4"/>
        <v/>
      </c>
      <c r="Y300" s="127" t="str">
        <f t="shared" si="5"/>
        <v/>
      </c>
    </row>
    <row r="301">
      <c r="A301" s="127"/>
      <c r="B301" s="127" t="str">
        <f>IF(A301="","",VLOOKUP(A301,'BASE OS'!$A$2:$I1000,2,FALSE))</f>
        <v/>
      </c>
      <c r="C301" s="132"/>
      <c r="D301" s="127"/>
      <c r="E301" s="127"/>
      <c r="F301" s="127"/>
      <c r="G301" s="127"/>
      <c r="H301" s="130"/>
      <c r="I301" s="130"/>
      <c r="J301" s="130">
        <f t="shared" si="1"/>
        <v>0</v>
      </c>
      <c r="K301" s="130"/>
      <c r="L301" s="130"/>
      <c r="M301" s="130">
        <f t="shared" si="2"/>
        <v>0</v>
      </c>
      <c r="N301" s="130"/>
      <c r="O301" s="130"/>
      <c r="P301" s="127"/>
      <c r="Q301" s="127"/>
      <c r="R301" s="127"/>
      <c r="S301" s="127"/>
      <c r="T301" s="127" t="str">
        <f>IF(A301="","",VLOOKUP(A301,'BASE OS'!$A$2:$I1000,4,FALSE))</f>
        <v/>
      </c>
      <c r="U301" s="127"/>
      <c r="V301" s="127"/>
      <c r="W301" s="127" t="str">
        <f t="shared" si="3"/>
        <v/>
      </c>
      <c r="X301" s="127" t="str">
        <f t="shared" si="4"/>
        <v/>
      </c>
      <c r="Y301" s="127" t="str">
        <f t="shared" si="5"/>
        <v/>
      </c>
    </row>
    <row r="302">
      <c r="A302" s="127"/>
      <c r="B302" s="127" t="str">
        <f>IF(A302="","",VLOOKUP(A302,'BASE OS'!$A$2:$I1000,2,FALSE))</f>
        <v/>
      </c>
      <c r="C302" s="132"/>
      <c r="D302" s="127"/>
      <c r="E302" s="127"/>
      <c r="F302" s="127"/>
      <c r="G302" s="127"/>
      <c r="H302" s="130"/>
      <c r="I302" s="130"/>
      <c r="J302" s="130">
        <f t="shared" si="1"/>
        <v>0</v>
      </c>
      <c r="K302" s="130"/>
      <c r="L302" s="130"/>
      <c r="M302" s="130">
        <f t="shared" si="2"/>
        <v>0</v>
      </c>
      <c r="N302" s="130"/>
      <c r="O302" s="130"/>
      <c r="P302" s="127"/>
      <c r="Q302" s="127"/>
      <c r="R302" s="127"/>
      <c r="S302" s="127"/>
      <c r="T302" s="127" t="str">
        <f>IF(A302="","",VLOOKUP(A302,'BASE OS'!$A$2:$I1000,4,FALSE))</f>
        <v/>
      </c>
      <c r="U302" s="127"/>
      <c r="V302" s="127"/>
      <c r="W302" s="127" t="str">
        <f t="shared" si="3"/>
        <v/>
      </c>
      <c r="X302" s="127" t="str">
        <f t="shared" si="4"/>
        <v/>
      </c>
      <c r="Y302" s="127" t="str">
        <f t="shared" si="5"/>
        <v/>
      </c>
    </row>
    <row r="303">
      <c r="A303" s="127"/>
      <c r="B303" s="127" t="str">
        <f>IF(A303="","",VLOOKUP(A303,'BASE OS'!$A$2:$I1000,2,FALSE))</f>
        <v/>
      </c>
      <c r="C303" s="132"/>
      <c r="D303" s="127"/>
      <c r="E303" s="127"/>
      <c r="F303" s="127"/>
      <c r="G303" s="127"/>
      <c r="H303" s="130"/>
      <c r="I303" s="130"/>
      <c r="J303" s="130">
        <f t="shared" si="1"/>
        <v>0</v>
      </c>
      <c r="K303" s="130"/>
      <c r="L303" s="130"/>
      <c r="M303" s="130">
        <f t="shared" si="2"/>
        <v>0</v>
      </c>
      <c r="N303" s="130"/>
      <c r="O303" s="130"/>
      <c r="P303" s="127"/>
      <c r="Q303" s="127"/>
      <c r="R303" s="127"/>
      <c r="S303" s="127"/>
      <c r="T303" s="127" t="str">
        <f>IF(A303="","",VLOOKUP(A303,'BASE OS'!$A$2:$I1000,4,FALSE))</f>
        <v/>
      </c>
      <c r="U303" s="127"/>
      <c r="V303" s="127"/>
      <c r="W303" s="127" t="str">
        <f t="shared" si="3"/>
        <v/>
      </c>
      <c r="X303" s="127" t="str">
        <f t="shared" si="4"/>
        <v/>
      </c>
      <c r="Y303" s="127" t="str">
        <f t="shared" si="5"/>
        <v/>
      </c>
    </row>
    <row r="304">
      <c r="A304" s="127"/>
      <c r="B304" s="127" t="str">
        <f>IF(A304="","",VLOOKUP(A304,'BASE OS'!$A$2:$I1000,2,FALSE))</f>
        <v/>
      </c>
      <c r="C304" s="132"/>
      <c r="D304" s="127"/>
      <c r="E304" s="127"/>
      <c r="F304" s="127"/>
      <c r="G304" s="127"/>
      <c r="H304" s="130"/>
      <c r="I304" s="130"/>
      <c r="J304" s="130">
        <f t="shared" si="1"/>
        <v>0</v>
      </c>
      <c r="K304" s="130"/>
      <c r="L304" s="130"/>
      <c r="M304" s="130">
        <f t="shared" si="2"/>
        <v>0</v>
      </c>
      <c r="N304" s="130"/>
      <c r="O304" s="130"/>
      <c r="P304" s="127"/>
      <c r="Q304" s="127"/>
      <c r="R304" s="127"/>
      <c r="S304" s="127"/>
      <c r="T304" s="127" t="str">
        <f>IF(A304="","",VLOOKUP(A304,'BASE OS'!$A$2:$I1000,4,FALSE))</f>
        <v/>
      </c>
      <c r="U304" s="127"/>
      <c r="V304" s="127"/>
      <c r="W304" s="127" t="str">
        <f t="shared" si="3"/>
        <v/>
      </c>
      <c r="X304" s="127" t="str">
        <f t="shared" si="4"/>
        <v/>
      </c>
      <c r="Y304" s="127" t="str">
        <f t="shared" si="5"/>
        <v/>
      </c>
    </row>
    <row r="305">
      <c r="A305" s="127"/>
      <c r="B305" s="127" t="str">
        <f>IF(A305="","",VLOOKUP(A305,'BASE OS'!$A$2:$I1000,2,FALSE))</f>
        <v/>
      </c>
      <c r="C305" s="132"/>
      <c r="D305" s="127"/>
      <c r="E305" s="127"/>
      <c r="F305" s="127"/>
      <c r="G305" s="127"/>
      <c r="H305" s="130"/>
      <c r="I305" s="130"/>
      <c r="J305" s="130">
        <f t="shared" si="1"/>
        <v>0</v>
      </c>
      <c r="K305" s="130"/>
      <c r="L305" s="130"/>
      <c r="M305" s="130">
        <f t="shared" si="2"/>
        <v>0</v>
      </c>
      <c r="N305" s="130"/>
      <c r="O305" s="130"/>
      <c r="P305" s="127"/>
      <c r="Q305" s="127"/>
      <c r="R305" s="127"/>
      <c r="S305" s="127"/>
      <c r="T305" s="127" t="str">
        <f>IF(A305="","",VLOOKUP(A305,'BASE OS'!$A$2:$I1000,4,FALSE))</f>
        <v/>
      </c>
      <c r="U305" s="127"/>
      <c r="V305" s="127"/>
      <c r="W305" s="127" t="str">
        <f t="shared" si="3"/>
        <v/>
      </c>
      <c r="X305" s="127" t="str">
        <f t="shared" si="4"/>
        <v/>
      </c>
      <c r="Y305" s="127" t="str">
        <f t="shared" si="5"/>
        <v/>
      </c>
    </row>
    <row r="306">
      <c r="A306" s="127"/>
      <c r="B306" s="127" t="str">
        <f>IF(A306="","",VLOOKUP(A306,'BASE OS'!$A$2:$I1000,2,FALSE))</f>
        <v/>
      </c>
      <c r="C306" s="132"/>
      <c r="D306" s="127"/>
      <c r="E306" s="127"/>
      <c r="F306" s="127"/>
      <c r="G306" s="127"/>
      <c r="H306" s="130"/>
      <c r="I306" s="130"/>
      <c r="J306" s="130">
        <f t="shared" si="1"/>
        <v>0</v>
      </c>
      <c r="K306" s="130"/>
      <c r="L306" s="130"/>
      <c r="M306" s="130">
        <f t="shared" si="2"/>
        <v>0</v>
      </c>
      <c r="N306" s="130"/>
      <c r="O306" s="130"/>
      <c r="P306" s="127"/>
      <c r="Q306" s="127"/>
      <c r="R306" s="127"/>
      <c r="S306" s="127"/>
      <c r="T306" s="127" t="str">
        <f>IF(A306="","",VLOOKUP(A306,'BASE OS'!$A$2:$I1000,4,FALSE))</f>
        <v/>
      </c>
      <c r="U306" s="127"/>
      <c r="V306" s="127"/>
      <c r="W306" s="127" t="str">
        <f t="shared" si="3"/>
        <v/>
      </c>
      <c r="X306" s="127" t="str">
        <f t="shared" si="4"/>
        <v/>
      </c>
      <c r="Y306" s="127" t="str">
        <f t="shared" si="5"/>
        <v/>
      </c>
    </row>
    <row r="307">
      <c r="A307" s="127"/>
      <c r="B307" s="127" t="str">
        <f>IF(A307="","",VLOOKUP(A307,'BASE OS'!$A$2:$I1000,2,FALSE))</f>
        <v/>
      </c>
      <c r="C307" s="132"/>
      <c r="D307" s="127"/>
      <c r="E307" s="127"/>
      <c r="F307" s="127"/>
      <c r="G307" s="127"/>
      <c r="H307" s="130"/>
      <c r="I307" s="130"/>
      <c r="J307" s="130">
        <f t="shared" si="1"/>
        <v>0</v>
      </c>
      <c r="K307" s="130"/>
      <c r="L307" s="130"/>
      <c r="M307" s="130">
        <f t="shared" si="2"/>
        <v>0</v>
      </c>
      <c r="N307" s="130"/>
      <c r="O307" s="130"/>
      <c r="P307" s="127"/>
      <c r="Q307" s="127"/>
      <c r="R307" s="127"/>
      <c r="S307" s="127"/>
      <c r="T307" s="127" t="str">
        <f>IF(A307="","",VLOOKUP(A307,'BASE OS'!$A$2:$I1000,4,FALSE))</f>
        <v/>
      </c>
      <c r="U307" s="127"/>
      <c r="V307" s="127"/>
      <c r="W307" s="127" t="str">
        <f t="shared" si="3"/>
        <v/>
      </c>
      <c r="X307" s="127" t="str">
        <f t="shared" si="4"/>
        <v/>
      </c>
      <c r="Y307" s="127" t="str">
        <f t="shared" si="5"/>
        <v/>
      </c>
    </row>
    <row r="308">
      <c r="A308" s="127"/>
      <c r="B308" s="127" t="str">
        <f>IF(A308="","",VLOOKUP(A308,'BASE OS'!$A$2:$I1000,2,FALSE))</f>
        <v/>
      </c>
      <c r="C308" s="132"/>
      <c r="D308" s="127"/>
      <c r="E308" s="127"/>
      <c r="F308" s="127"/>
      <c r="G308" s="127"/>
      <c r="H308" s="130"/>
      <c r="I308" s="130"/>
      <c r="J308" s="130">
        <f t="shared" si="1"/>
        <v>0</v>
      </c>
      <c r="K308" s="130"/>
      <c r="L308" s="130"/>
      <c r="M308" s="130">
        <f t="shared" si="2"/>
        <v>0</v>
      </c>
      <c r="N308" s="130"/>
      <c r="O308" s="130"/>
      <c r="P308" s="127"/>
      <c r="Q308" s="127"/>
      <c r="R308" s="127"/>
      <c r="S308" s="127"/>
      <c r="T308" s="127" t="str">
        <f>IF(A308="","",VLOOKUP(A308,'BASE OS'!$A$2:$I1000,4,FALSE))</f>
        <v/>
      </c>
      <c r="U308" s="127"/>
      <c r="V308" s="127"/>
      <c r="W308" s="127" t="str">
        <f t="shared" si="3"/>
        <v/>
      </c>
      <c r="X308" s="127" t="str">
        <f t="shared" si="4"/>
        <v/>
      </c>
      <c r="Y308" s="127" t="str">
        <f t="shared" si="5"/>
        <v/>
      </c>
    </row>
    <row r="309">
      <c r="A309" s="127"/>
      <c r="B309" s="127" t="str">
        <f>IF(A309="","",VLOOKUP(A309,'BASE OS'!$A$2:$I1000,2,FALSE))</f>
        <v/>
      </c>
      <c r="C309" s="132"/>
      <c r="D309" s="127"/>
      <c r="E309" s="127"/>
      <c r="F309" s="127"/>
      <c r="G309" s="127"/>
      <c r="H309" s="130"/>
      <c r="I309" s="130"/>
      <c r="J309" s="130">
        <f t="shared" si="1"/>
        <v>0</v>
      </c>
      <c r="K309" s="130"/>
      <c r="L309" s="130"/>
      <c r="M309" s="130">
        <f t="shared" si="2"/>
        <v>0</v>
      </c>
      <c r="N309" s="130"/>
      <c r="O309" s="130"/>
      <c r="P309" s="127"/>
      <c r="Q309" s="127"/>
      <c r="R309" s="127"/>
      <c r="S309" s="127"/>
      <c r="T309" s="127" t="str">
        <f>IF(A309="","",VLOOKUP(A309,'BASE OS'!$A$2:$I1000,4,FALSE))</f>
        <v/>
      </c>
      <c r="U309" s="127"/>
      <c r="V309" s="127"/>
      <c r="W309" s="127" t="str">
        <f t="shared" si="3"/>
        <v/>
      </c>
      <c r="X309" s="127" t="str">
        <f t="shared" si="4"/>
        <v/>
      </c>
      <c r="Y309" s="127" t="str">
        <f t="shared" si="5"/>
        <v/>
      </c>
    </row>
    <row r="310">
      <c r="A310" s="127"/>
      <c r="B310" s="127" t="str">
        <f>IF(A310="","",VLOOKUP(A310,'BASE OS'!$A$2:$I1000,2,FALSE))</f>
        <v/>
      </c>
      <c r="C310" s="132"/>
      <c r="D310" s="127"/>
      <c r="E310" s="127"/>
      <c r="F310" s="127"/>
      <c r="G310" s="127"/>
      <c r="H310" s="130"/>
      <c r="I310" s="130"/>
      <c r="J310" s="130">
        <f t="shared" si="1"/>
        <v>0</v>
      </c>
      <c r="K310" s="130"/>
      <c r="L310" s="130"/>
      <c r="M310" s="130">
        <f t="shared" si="2"/>
        <v>0</v>
      </c>
      <c r="N310" s="130"/>
      <c r="O310" s="130"/>
      <c r="P310" s="127"/>
      <c r="Q310" s="127"/>
      <c r="R310" s="127"/>
      <c r="S310" s="127"/>
      <c r="T310" s="127" t="str">
        <f>IF(A310="","",VLOOKUP(A310,'BASE OS'!$A$2:$I1000,4,FALSE))</f>
        <v/>
      </c>
      <c r="U310" s="127"/>
      <c r="V310" s="127"/>
      <c r="W310" s="127" t="str">
        <f t="shared" si="3"/>
        <v/>
      </c>
      <c r="X310" s="127" t="str">
        <f t="shared" si="4"/>
        <v/>
      </c>
      <c r="Y310" s="127" t="str">
        <f t="shared" si="5"/>
        <v/>
      </c>
    </row>
    <row r="311">
      <c r="A311" s="127"/>
      <c r="B311" s="127" t="str">
        <f>IF(A311="","",VLOOKUP(A311,'BASE OS'!$A$2:$I1000,2,FALSE))</f>
        <v/>
      </c>
      <c r="C311" s="132"/>
      <c r="D311" s="127"/>
      <c r="E311" s="127"/>
      <c r="F311" s="127"/>
      <c r="G311" s="127"/>
      <c r="H311" s="130"/>
      <c r="I311" s="130"/>
      <c r="J311" s="130">
        <f t="shared" si="1"/>
        <v>0</v>
      </c>
      <c r="K311" s="130"/>
      <c r="L311" s="130"/>
      <c r="M311" s="130">
        <f t="shared" si="2"/>
        <v>0</v>
      </c>
      <c r="N311" s="130"/>
      <c r="O311" s="130"/>
      <c r="P311" s="127"/>
      <c r="Q311" s="127"/>
      <c r="R311" s="127"/>
      <c r="S311" s="127"/>
      <c r="T311" s="127" t="str">
        <f>IF(A311="","",VLOOKUP(A311,'BASE OS'!$A$2:$I1000,4,FALSE))</f>
        <v/>
      </c>
      <c r="U311" s="127"/>
      <c r="V311" s="127"/>
      <c r="W311" s="127" t="str">
        <f t="shared" si="3"/>
        <v/>
      </c>
      <c r="X311" s="127" t="str">
        <f t="shared" si="4"/>
        <v/>
      </c>
      <c r="Y311" s="127" t="str">
        <f t="shared" si="5"/>
        <v/>
      </c>
    </row>
    <row r="312">
      <c r="A312" s="127"/>
      <c r="B312" s="127" t="str">
        <f>IF(A312="","",VLOOKUP(A312,'BASE OS'!$A$2:$I1000,2,FALSE))</f>
        <v/>
      </c>
      <c r="C312" s="132"/>
      <c r="D312" s="127"/>
      <c r="E312" s="127"/>
      <c r="F312" s="127"/>
      <c r="G312" s="127"/>
      <c r="H312" s="130"/>
      <c r="I312" s="130"/>
      <c r="J312" s="130">
        <f t="shared" si="1"/>
        <v>0</v>
      </c>
      <c r="K312" s="130"/>
      <c r="L312" s="130"/>
      <c r="M312" s="130">
        <f t="shared" si="2"/>
        <v>0</v>
      </c>
      <c r="N312" s="130"/>
      <c r="O312" s="130"/>
      <c r="P312" s="127"/>
      <c r="Q312" s="127"/>
      <c r="R312" s="127"/>
      <c r="S312" s="127"/>
      <c r="T312" s="127" t="str">
        <f>IF(A312="","",VLOOKUP(A312,'BASE OS'!$A$2:$I1000,4,FALSE))</f>
        <v/>
      </c>
      <c r="U312" s="127"/>
      <c r="V312" s="127"/>
      <c r="W312" s="127" t="str">
        <f t="shared" si="3"/>
        <v/>
      </c>
      <c r="X312" s="127" t="str">
        <f t="shared" si="4"/>
        <v/>
      </c>
      <c r="Y312" s="127" t="str">
        <f t="shared" si="5"/>
        <v/>
      </c>
    </row>
    <row r="313">
      <c r="A313" s="127"/>
      <c r="B313" s="127" t="str">
        <f>IF(A313="","",VLOOKUP(A313,'BASE OS'!$A$2:$I1000,2,FALSE))</f>
        <v/>
      </c>
      <c r="C313" s="132"/>
      <c r="D313" s="127"/>
      <c r="E313" s="127"/>
      <c r="F313" s="127"/>
      <c r="G313" s="127"/>
      <c r="H313" s="130"/>
      <c r="I313" s="130"/>
      <c r="J313" s="130">
        <f t="shared" si="1"/>
        <v>0</v>
      </c>
      <c r="K313" s="130"/>
      <c r="L313" s="130"/>
      <c r="M313" s="130">
        <f t="shared" si="2"/>
        <v>0</v>
      </c>
      <c r="N313" s="130"/>
      <c r="O313" s="130"/>
      <c r="P313" s="127"/>
      <c r="Q313" s="127"/>
      <c r="R313" s="127"/>
      <c r="S313" s="127"/>
      <c r="T313" s="127" t="str">
        <f>IF(A313="","",VLOOKUP(A313,'BASE OS'!$A$2:$I1000,4,FALSE))</f>
        <v/>
      </c>
      <c r="U313" s="127"/>
      <c r="V313" s="127"/>
      <c r="W313" s="127" t="str">
        <f t="shared" si="3"/>
        <v/>
      </c>
      <c r="X313" s="127" t="str">
        <f t="shared" si="4"/>
        <v/>
      </c>
      <c r="Y313" s="127" t="str">
        <f t="shared" si="5"/>
        <v/>
      </c>
    </row>
    <row r="314">
      <c r="A314" s="127"/>
      <c r="B314" s="127" t="str">
        <f>IF(A314="","",VLOOKUP(A314,'BASE OS'!$A$2:$I1000,2,FALSE))</f>
        <v/>
      </c>
      <c r="C314" s="132"/>
      <c r="D314" s="127"/>
      <c r="E314" s="127"/>
      <c r="F314" s="127"/>
      <c r="G314" s="127"/>
      <c r="H314" s="130"/>
      <c r="I314" s="130"/>
      <c r="J314" s="130">
        <f t="shared" si="1"/>
        <v>0</v>
      </c>
      <c r="K314" s="130"/>
      <c r="L314" s="130"/>
      <c r="M314" s="130">
        <f t="shared" si="2"/>
        <v>0</v>
      </c>
      <c r="N314" s="130"/>
      <c r="O314" s="130"/>
      <c r="P314" s="127"/>
      <c r="Q314" s="127"/>
      <c r="R314" s="127"/>
      <c r="S314" s="127"/>
      <c r="T314" s="127" t="str">
        <f>IF(A314="","",VLOOKUP(A314,'BASE OS'!$A$2:$I1000,4,FALSE))</f>
        <v/>
      </c>
      <c r="U314" s="127"/>
      <c r="V314" s="127"/>
      <c r="W314" s="127" t="str">
        <f t="shared" si="3"/>
        <v/>
      </c>
      <c r="X314" s="127" t="str">
        <f t="shared" si="4"/>
        <v/>
      </c>
      <c r="Y314" s="127" t="str">
        <f t="shared" si="5"/>
        <v/>
      </c>
    </row>
    <row r="315">
      <c r="A315" s="127"/>
      <c r="B315" s="127" t="str">
        <f>IF(A315="","",VLOOKUP(A315,'BASE OS'!$A$2:$I1000,2,FALSE))</f>
        <v/>
      </c>
      <c r="C315" s="132"/>
      <c r="D315" s="127"/>
      <c r="E315" s="127"/>
      <c r="F315" s="127"/>
      <c r="G315" s="127"/>
      <c r="H315" s="130"/>
      <c r="I315" s="130"/>
      <c r="J315" s="130">
        <f t="shared" si="1"/>
        <v>0</v>
      </c>
      <c r="K315" s="130"/>
      <c r="L315" s="130"/>
      <c r="M315" s="130">
        <f t="shared" si="2"/>
        <v>0</v>
      </c>
      <c r="N315" s="130"/>
      <c r="O315" s="130"/>
      <c r="P315" s="127"/>
      <c r="Q315" s="127"/>
      <c r="R315" s="127"/>
      <c r="S315" s="127"/>
      <c r="T315" s="127" t="str">
        <f>IF(A315="","",VLOOKUP(A315,'BASE OS'!$A$2:$I1000,4,FALSE))</f>
        <v/>
      </c>
      <c r="U315" s="127"/>
      <c r="V315" s="127"/>
      <c r="W315" s="127" t="str">
        <f t="shared" si="3"/>
        <v/>
      </c>
      <c r="X315" s="127" t="str">
        <f t="shared" si="4"/>
        <v/>
      </c>
      <c r="Y315" s="127" t="str">
        <f t="shared" si="5"/>
        <v/>
      </c>
    </row>
    <row r="316">
      <c r="A316" s="127"/>
      <c r="B316" s="127" t="str">
        <f>IF(A316="","",VLOOKUP(A316,'BASE OS'!$A$2:$I1000,2,FALSE))</f>
        <v/>
      </c>
      <c r="C316" s="132"/>
      <c r="D316" s="127"/>
      <c r="E316" s="127"/>
      <c r="F316" s="127"/>
      <c r="G316" s="127"/>
      <c r="H316" s="130"/>
      <c r="I316" s="130"/>
      <c r="J316" s="130">
        <f t="shared" si="1"/>
        <v>0</v>
      </c>
      <c r="K316" s="130"/>
      <c r="L316" s="130"/>
      <c r="M316" s="130">
        <f t="shared" si="2"/>
        <v>0</v>
      </c>
      <c r="N316" s="130"/>
      <c r="O316" s="130"/>
      <c r="P316" s="127"/>
      <c r="Q316" s="127"/>
      <c r="R316" s="127"/>
      <c r="S316" s="127"/>
      <c r="T316" s="127" t="str">
        <f>IF(A316="","",VLOOKUP(A316,'BASE OS'!$A$2:$I1000,4,FALSE))</f>
        <v/>
      </c>
      <c r="U316" s="127"/>
      <c r="V316" s="127"/>
      <c r="W316" s="127" t="str">
        <f t="shared" si="3"/>
        <v/>
      </c>
      <c r="X316" s="127" t="str">
        <f t="shared" si="4"/>
        <v/>
      </c>
      <c r="Y316" s="127" t="str">
        <f t="shared" si="5"/>
        <v/>
      </c>
    </row>
    <row r="317">
      <c r="A317" s="127"/>
      <c r="B317" s="127" t="str">
        <f>IF(A317="","",VLOOKUP(A317,'BASE OS'!$A$2:$I1000,2,FALSE))</f>
        <v/>
      </c>
      <c r="C317" s="132"/>
      <c r="D317" s="127"/>
      <c r="E317" s="127"/>
      <c r="F317" s="127"/>
      <c r="G317" s="127"/>
      <c r="H317" s="130"/>
      <c r="I317" s="130"/>
      <c r="J317" s="130">
        <f t="shared" si="1"/>
        <v>0</v>
      </c>
      <c r="K317" s="130"/>
      <c r="L317" s="130"/>
      <c r="M317" s="130">
        <f t="shared" si="2"/>
        <v>0</v>
      </c>
      <c r="N317" s="130"/>
      <c r="O317" s="130"/>
      <c r="P317" s="127"/>
      <c r="Q317" s="127"/>
      <c r="R317" s="127"/>
      <c r="S317" s="127"/>
      <c r="T317" s="127" t="str">
        <f>IF(A317="","",VLOOKUP(A317,'BASE OS'!$A$2:$I1000,4,FALSE))</f>
        <v/>
      </c>
      <c r="U317" s="127"/>
      <c r="V317" s="127"/>
      <c r="W317" s="127" t="str">
        <f t="shared" si="3"/>
        <v/>
      </c>
      <c r="X317" s="127" t="str">
        <f t="shared" si="4"/>
        <v/>
      </c>
      <c r="Y317" s="127" t="str">
        <f t="shared" si="5"/>
        <v/>
      </c>
    </row>
    <row r="318">
      <c r="A318" s="127"/>
      <c r="B318" s="127" t="str">
        <f>IF(A318="","",VLOOKUP(A318,'BASE OS'!$A$2:$I1000,2,FALSE))</f>
        <v/>
      </c>
      <c r="C318" s="132"/>
      <c r="D318" s="127"/>
      <c r="E318" s="127"/>
      <c r="F318" s="127"/>
      <c r="G318" s="127"/>
      <c r="H318" s="130"/>
      <c r="I318" s="130"/>
      <c r="J318" s="130">
        <f t="shared" si="1"/>
        <v>0</v>
      </c>
      <c r="K318" s="130"/>
      <c r="L318" s="130"/>
      <c r="M318" s="130">
        <f t="shared" si="2"/>
        <v>0</v>
      </c>
      <c r="N318" s="130"/>
      <c r="O318" s="130"/>
      <c r="P318" s="127"/>
      <c r="Q318" s="127"/>
      <c r="R318" s="127"/>
      <c r="S318" s="127"/>
      <c r="T318" s="127" t="str">
        <f>IF(A318="","",VLOOKUP(A318,'BASE OS'!$A$2:$I1000,4,FALSE))</f>
        <v/>
      </c>
      <c r="U318" s="127"/>
      <c r="V318" s="127"/>
      <c r="W318" s="127" t="str">
        <f t="shared" si="3"/>
        <v/>
      </c>
      <c r="X318" s="127" t="str">
        <f t="shared" si="4"/>
        <v/>
      </c>
      <c r="Y318" s="127" t="str">
        <f t="shared" si="5"/>
        <v/>
      </c>
    </row>
    <row r="319">
      <c r="A319" s="127"/>
      <c r="B319" s="127" t="str">
        <f>IF(A319="","",VLOOKUP(A319,'BASE OS'!$A$2:$I1000,2,FALSE))</f>
        <v/>
      </c>
      <c r="C319" s="132"/>
      <c r="D319" s="127"/>
      <c r="E319" s="127"/>
      <c r="F319" s="127"/>
      <c r="G319" s="127"/>
      <c r="H319" s="130"/>
      <c r="I319" s="130"/>
      <c r="J319" s="130">
        <f t="shared" si="1"/>
        <v>0</v>
      </c>
      <c r="K319" s="130"/>
      <c r="L319" s="130"/>
      <c r="M319" s="130">
        <f t="shared" si="2"/>
        <v>0</v>
      </c>
      <c r="N319" s="130"/>
      <c r="O319" s="130"/>
      <c r="P319" s="127"/>
      <c r="Q319" s="127"/>
      <c r="R319" s="127"/>
      <c r="S319" s="127"/>
      <c r="T319" s="127" t="str">
        <f>IF(A319="","",VLOOKUP(A319,'BASE OS'!$A$2:$I1000,4,FALSE))</f>
        <v/>
      </c>
      <c r="U319" s="127"/>
      <c r="V319" s="127"/>
      <c r="W319" s="127" t="str">
        <f t="shared" si="3"/>
        <v/>
      </c>
      <c r="X319" s="127" t="str">
        <f t="shared" si="4"/>
        <v/>
      </c>
      <c r="Y319" s="127" t="str">
        <f t="shared" si="5"/>
        <v/>
      </c>
    </row>
    <row r="320">
      <c r="A320" s="127"/>
      <c r="B320" s="127" t="str">
        <f>IF(A320="","",VLOOKUP(A320,'BASE OS'!$A$2:$I1000,2,FALSE))</f>
        <v/>
      </c>
      <c r="C320" s="132"/>
      <c r="D320" s="127"/>
      <c r="E320" s="127"/>
      <c r="F320" s="127"/>
      <c r="G320" s="127"/>
      <c r="H320" s="130"/>
      <c r="I320" s="130"/>
      <c r="J320" s="130">
        <f t="shared" si="1"/>
        <v>0</v>
      </c>
      <c r="K320" s="130"/>
      <c r="L320" s="130"/>
      <c r="M320" s="130">
        <f t="shared" si="2"/>
        <v>0</v>
      </c>
      <c r="N320" s="130"/>
      <c r="O320" s="130"/>
      <c r="P320" s="127"/>
      <c r="Q320" s="127"/>
      <c r="R320" s="127"/>
      <c r="S320" s="127"/>
      <c r="T320" s="127" t="str">
        <f>IF(A320="","",VLOOKUP(A320,'BASE OS'!$A$2:$I1000,4,FALSE))</f>
        <v/>
      </c>
      <c r="U320" s="127"/>
      <c r="V320" s="127"/>
      <c r="W320" s="127" t="str">
        <f t="shared" si="3"/>
        <v/>
      </c>
      <c r="X320" s="127" t="str">
        <f t="shared" si="4"/>
        <v/>
      </c>
      <c r="Y320" s="127" t="str">
        <f t="shared" si="5"/>
        <v/>
      </c>
    </row>
    <row r="321">
      <c r="A321" s="127"/>
      <c r="B321" s="127" t="str">
        <f>IF(A321="","",VLOOKUP(A321,'BASE OS'!$A$2:$I1000,2,FALSE))</f>
        <v/>
      </c>
      <c r="C321" s="132"/>
      <c r="D321" s="127"/>
      <c r="E321" s="127"/>
      <c r="F321" s="127"/>
      <c r="G321" s="127"/>
      <c r="H321" s="130"/>
      <c r="I321" s="130"/>
      <c r="J321" s="130">
        <f t="shared" si="1"/>
        <v>0</v>
      </c>
      <c r="K321" s="130"/>
      <c r="L321" s="130"/>
      <c r="M321" s="130">
        <f t="shared" si="2"/>
        <v>0</v>
      </c>
      <c r="N321" s="130"/>
      <c r="O321" s="130"/>
      <c r="P321" s="127"/>
      <c r="Q321" s="127"/>
      <c r="R321" s="127"/>
      <c r="S321" s="127"/>
      <c r="T321" s="127" t="str">
        <f>IF(A321="","",VLOOKUP(A321,'BASE OS'!$A$2:$I1000,4,FALSE))</f>
        <v/>
      </c>
      <c r="U321" s="127"/>
      <c r="V321" s="127"/>
      <c r="W321" s="127" t="str">
        <f t="shared" si="3"/>
        <v/>
      </c>
      <c r="X321" s="127" t="str">
        <f t="shared" si="4"/>
        <v/>
      </c>
      <c r="Y321" s="127" t="str">
        <f t="shared" si="5"/>
        <v/>
      </c>
    </row>
    <row r="322">
      <c r="A322" s="127"/>
      <c r="B322" s="127" t="str">
        <f>IF(A322="","",VLOOKUP(A322,'BASE OS'!$A$2:$I1000,2,FALSE))</f>
        <v/>
      </c>
      <c r="C322" s="132"/>
      <c r="D322" s="127"/>
      <c r="E322" s="127"/>
      <c r="F322" s="127"/>
      <c r="G322" s="127"/>
      <c r="H322" s="130"/>
      <c r="I322" s="130"/>
      <c r="J322" s="130">
        <f t="shared" si="1"/>
        <v>0</v>
      </c>
      <c r="K322" s="130"/>
      <c r="L322" s="130"/>
      <c r="M322" s="130">
        <f t="shared" si="2"/>
        <v>0</v>
      </c>
      <c r="N322" s="130"/>
      <c r="O322" s="130"/>
      <c r="P322" s="127"/>
      <c r="Q322" s="127"/>
      <c r="R322" s="127"/>
      <c r="S322" s="127"/>
      <c r="T322" s="127" t="str">
        <f>IF(A322="","",VLOOKUP(A322,'BASE OS'!$A$2:$I1000,4,FALSE))</f>
        <v/>
      </c>
      <c r="U322" s="127"/>
      <c r="V322" s="127"/>
      <c r="W322" s="127" t="str">
        <f t="shared" si="3"/>
        <v/>
      </c>
      <c r="X322" s="127" t="str">
        <f t="shared" si="4"/>
        <v/>
      </c>
      <c r="Y322" s="127" t="str">
        <f t="shared" si="5"/>
        <v/>
      </c>
    </row>
    <row r="323">
      <c r="A323" s="127"/>
      <c r="B323" s="127" t="str">
        <f>IF(A323="","",VLOOKUP(A323,'BASE OS'!$A$2:$I1000,2,FALSE))</f>
        <v/>
      </c>
      <c r="C323" s="132"/>
      <c r="D323" s="127"/>
      <c r="E323" s="127"/>
      <c r="F323" s="127"/>
      <c r="G323" s="127"/>
      <c r="H323" s="130"/>
      <c r="I323" s="130"/>
      <c r="J323" s="130">
        <f t="shared" si="1"/>
        <v>0</v>
      </c>
      <c r="K323" s="130"/>
      <c r="L323" s="130"/>
      <c r="M323" s="130">
        <f t="shared" si="2"/>
        <v>0</v>
      </c>
      <c r="N323" s="130"/>
      <c r="O323" s="130"/>
      <c r="P323" s="127"/>
      <c r="Q323" s="127"/>
      <c r="R323" s="127"/>
      <c r="S323" s="127"/>
      <c r="T323" s="127" t="str">
        <f>IF(A323="","",VLOOKUP(A323,'BASE OS'!$A$2:$I1000,4,FALSE))</f>
        <v/>
      </c>
      <c r="U323" s="127"/>
      <c r="V323" s="127"/>
      <c r="W323" s="127" t="str">
        <f t="shared" si="3"/>
        <v/>
      </c>
      <c r="X323" s="127" t="str">
        <f t="shared" si="4"/>
        <v/>
      </c>
      <c r="Y323" s="127" t="str">
        <f t="shared" si="5"/>
        <v/>
      </c>
    </row>
    <row r="324">
      <c r="A324" s="127"/>
      <c r="B324" s="127" t="str">
        <f>IF(A324="","",VLOOKUP(A324,'BASE OS'!$A$2:$I1000,2,FALSE))</f>
        <v/>
      </c>
      <c r="C324" s="132"/>
      <c r="D324" s="127"/>
      <c r="E324" s="127"/>
      <c r="F324" s="127"/>
      <c r="G324" s="127"/>
      <c r="H324" s="130"/>
      <c r="I324" s="130"/>
      <c r="J324" s="130">
        <f t="shared" si="1"/>
        <v>0</v>
      </c>
      <c r="K324" s="130"/>
      <c r="L324" s="130"/>
      <c r="M324" s="130">
        <f t="shared" si="2"/>
        <v>0</v>
      </c>
      <c r="N324" s="130"/>
      <c r="O324" s="130"/>
      <c r="P324" s="127"/>
      <c r="Q324" s="127"/>
      <c r="R324" s="127"/>
      <c r="S324" s="127"/>
      <c r="T324" s="127" t="str">
        <f>IF(A324="","",VLOOKUP(A324,'BASE OS'!$A$2:$I1000,4,FALSE))</f>
        <v/>
      </c>
      <c r="U324" s="127"/>
      <c r="V324" s="127"/>
      <c r="W324" s="127" t="str">
        <f t="shared" si="3"/>
        <v/>
      </c>
      <c r="X324" s="127" t="str">
        <f t="shared" si="4"/>
        <v/>
      </c>
      <c r="Y324" s="127" t="str">
        <f t="shared" si="5"/>
        <v/>
      </c>
    </row>
    <row r="325">
      <c r="A325" s="127"/>
      <c r="B325" s="127" t="str">
        <f>IF(A325="","",VLOOKUP(A325,'BASE OS'!$A$2:$I1000,2,FALSE))</f>
        <v/>
      </c>
      <c r="C325" s="132"/>
      <c r="D325" s="127"/>
      <c r="E325" s="127"/>
      <c r="F325" s="127"/>
      <c r="G325" s="127"/>
      <c r="H325" s="130"/>
      <c r="I325" s="130"/>
      <c r="J325" s="130">
        <f t="shared" si="1"/>
        <v>0</v>
      </c>
      <c r="K325" s="130"/>
      <c r="L325" s="130"/>
      <c r="M325" s="130">
        <f t="shared" si="2"/>
        <v>0</v>
      </c>
      <c r="N325" s="130"/>
      <c r="O325" s="130"/>
      <c r="P325" s="127"/>
      <c r="Q325" s="127"/>
      <c r="R325" s="127"/>
      <c r="S325" s="127"/>
      <c r="T325" s="127" t="str">
        <f>IF(A325="","",VLOOKUP(A325,'BASE OS'!$A$2:$I1000,4,FALSE))</f>
        <v/>
      </c>
      <c r="U325" s="127"/>
      <c r="V325" s="127"/>
      <c r="W325" s="127" t="str">
        <f t="shared" si="3"/>
        <v/>
      </c>
      <c r="X325" s="127" t="str">
        <f t="shared" si="4"/>
        <v/>
      </c>
      <c r="Y325" s="127" t="str">
        <f t="shared" si="5"/>
        <v/>
      </c>
    </row>
    <row r="326">
      <c r="A326" s="127"/>
      <c r="B326" s="127" t="str">
        <f>IF(A326="","",VLOOKUP(A326,'BASE OS'!$A$2:$I1000,2,FALSE))</f>
        <v/>
      </c>
      <c r="C326" s="132"/>
      <c r="D326" s="127"/>
      <c r="E326" s="127"/>
      <c r="F326" s="127"/>
      <c r="G326" s="127"/>
      <c r="H326" s="130"/>
      <c r="I326" s="130"/>
      <c r="J326" s="130">
        <f t="shared" si="1"/>
        <v>0</v>
      </c>
      <c r="K326" s="130"/>
      <c r="L326" s="130"/>
      <c r="M326" s="130">
        <f t="shared" si="2"/>
        <v>0</v>
      </c>
      <c r="N326" s="130"/>
      <c r="O326" s="130"/>
      <c r="P326" s="127"/>
      <c r="Q326" s="127"/>
      <c r="R326" s="127"/>
      <c r="S326" s="127"/>
      <c r="T326" s="127" t="str">
        <f>IF(A326="","",VLOOKUP(A326,'BASE OS'!$A$2:$I1000,4,FALSE))</f>
        <v/>
      </c>
      <c r="U326" s="127"/>
      <c r="V326" s="127"/>
      <c r="W326" s="127" t="str">
        <f t="shared" si="3"/>
        <v/>
      </c>
      <c r="X326" s="127" t="str">
        <f t="shared" si="4"/>
        <v/>
      </c>
      <c r="Y326" s="127" t="str">
        <f t="shared" si="5"/>
        <v/>
      </c>
    </row>
    <row r="327">
      <c r="A327" s="127"/>
      <c r="B327" s="127" t="str">
        <f>IF(A327="","",VLOOKUP(A327,'BASE OS'!$A$2:$I1000,2,FALSE))</f>
        <v/>
      </c>
      <c r="C327" s="132"/>
      <c r="D327" s="127"/>
      <c r="E327" s="127"/>
      <c r="F327" s="127"/>
      <c r="G327" s="127"/>
      <c r="H327" s="130"/>
      <c r="I327" s="130"/>
      <c r="J327" s="130">
        <f t="shared" si="1"/>
        <v>0</v>
      </c>
      <c r="K327" s="130"/>
      <c r="L327" s="130"/>
      <c r="M327" s="130">
        <f t="shared" si="2"/>
        <v>0</v>
      </c>
      <c r="N327" s="130"/>
      <c r="O327" s="130"/>
      <c r="P327" s="127"/>
      <c r="Q327" s="127"/>
      <c r="R327" s="127"/>
      <c r="S327" s="127"/>
      <c r="T327" s="127" t="str">
        <f>IF(A327="","",VLOOKUP(A327,'BASE OS'!$A$2:$I1000,4,FALSE))</f>
        <v/>
      </c>
      <c r="U327" s="127"/>
      <c r="V327" s="127"/>
      <c r="W327" s="127" t="str">
        <f t="shared" si="3"/>
        <v/>
      </c>
      <c r="X327" s="127" t="str">
        <f t="shared" si="4"/>
        <v/>
      </c>
      <c r="Y327" s="127" t="str">
        <f t="shared" si="5"/>
        <v/>
      </c>
    </row>
    <row r="328">
      <c r="A328" s="127"/>
      <c r="B328" s="127" t="str">
        <f>IF(A328="","",VLOOKUP(A328,'BASE OS'!$A$2:$I1000,2,FALSE))</f>
        <v/>
      </c>
      <c r="C328" s="132"/>
      <c r="D328" s="127"/>
      <c r="E328" s="127"/>
      <c r="F328" s="127"/>
      <c r="G328" s="127"/>
      <c r="H328" s="130"/>
      <c r="I328" s="130"/>
      <c r="J328" s="130">
        <f t="shared" si="1"/>
        <v>0</v>
      </c>
      <c r="K328" s="130"/>
      <c r="L328" s="130"/>
      <c r="M328" s="130">
        <f t="shared" si="2"/>
        <v>0</v>
      </c>
      <c r="N328" s="130"/>
      <c r="O328" s="130"/>
      <c r="P328" s="127"/>
      <c r="Q328" s="127"/>
      <c r="R328" s="127"/>
      <c r="S328" s="127"/>
      <c r="T328" s="127" t="str">
        <f>IF(A328="","",VLOOKUP(A328,'BASE OS'!$A$2:$I1000,4,FALSE))</f>
        <v/>
      </c>
      <c r="U328" s="127"/>
      <c r="V328" s="127"/>
      <c r="W328" s="127" t="str">
        <f t="shared" si="3"/>
        <v/>
      </c>
      <c r="X328" s="127" t="str">
        <f t="shared" si="4"/>
        <v/>
      </c>
      <c r="Y328" s="127" t="str">
        <f t="shared" si="5"/>
        <v/>
      </c>
    </row>
    <row r="329">
      <c r="A329" s="127"/>
      <c r="B329" s="127" t="str">
        <f>IF(A329="","",VLOOKUP(A329,'BASE OS'!$A$2:$I1000,2,FALSE))</f>
        <v/>
      </c>
      <c r="C329" s="132"/>
      <c r="D329" s="127"/>
      <c r="E329" s="127"/>
      <c r="F329" s="127"/>
      <c r="G329" s="127"/>
      <c r="H329" s="130"/>
      <c r="I329" s="130"/>
      <c r="J329" s="130">
        <f t="shared" si="1"/>
        <v>0</v>
      </c>
      <c r="K329" s="130"/>
      <c r="L329" s="130"/>
      <c r="M329" s="130">
        <f t="shared" si="2"/>
        <v>0</v>
      </c>
      <c r="N329" s="130"/>
      <c r="O329" s="130"/>
      <c r="P329" s="127"/>
      <c r="Q329" s="127"/>
      <c r="R329" s="127"/>
      <c r="S329" s="127"/>
      <c r="T329" s="127" t="str">
        <f>IF(A329="","",VLOOKUP(A329,'BASE OS'!$A$2:$I1000,4,FALSE))</f>
        <v/>
      </c>
      <c r="U329" s="127"/>
      <c r="V329" s="127"/>
      <c r="W329" s="127" t="str">
        <f t="shared" si="3"/>
        <v/>
      </c>
      <c r="X329" s="127" t="str">
        <f t="shared" si="4"/>
        <v/>
      </c>
      <c r="Y329" s="127" t="str">
        <f t="shared" si="5"/>
        <v/>
      </c>
    </row>
    <row r="330">
      <c r="A330" s="127"/>
      <c r="B330" s="127" t="str">
        <f>IF(A330="","",VLOOKUP(A330,'BASE OS'!$A$2:$I1000,2,FALSE))</f>
        <v/>
      </c>
      <c r="C330" s="132"/>
      <c r="D330" s="127"/>
      <c r="E330" s="127"/>
      <c r="F330" s="127"/>
      <c r="G330" s="127"/>
      <c r="H330" s="130"/>
      <c r="I330" s="130"/>
      <c r="J330" s="130">
        <f t="shared" si="1"/>
        <v>0</v>
      </c>
      <c r="K330" s="130"/>
      <c r="L330" s="130"/>
      <c r="M330" s="130">
        <f t="shared" si="2"/>
        <v>0</v>
      </c>
      <c r="N330" s="130"/>
      <c r="O330" s="130"/>
      <c r="P330" s="127"/>
      <c r="Q330" s="127"/>
      <c r="R330" s="127"/>
      <c r="S330" s="127"/>
      <c r="T330" s="127" t="str">
        <f>IF(A330="","",VLOOKUP(A330,'BASE OS'!$A$2:$I1000,4,FALSE))</f>
        <v/>
      </c>
      <c r="U330" s="127"/>
      <c r="V330" s="127"/>
      <c r="W330" s="127" t="str">
        <f t="shared" si="3"/>
        <v/>
      </c>
      <c r="X330" s="127" t="str">
        <f t="shared" si="4"/>
        <v/>
      </c>
      <c r="Y330" s="127" t="str">
        <f t="shared" si="5"/>
        <v/>
      </c>
    </row>
    <row r="331">
      <c r="A331" s="127"/>
      <c r="B331" s="127" t="str">
        <f>IF(A331="","",VLOOKUP(A331,'BASE OS'!$A$2:$I1000,2,FALSE))</f>
        <v/>
      </c>
      <c r="C331" s="132"/>
      <c r="D331" s="127"/>
      <c r="E331" s="127"/>
      <c r="F331" s="127"/>
      <c r="G331" s="127"/>
      <c r="H331" s="130"/>
      <c r="I331" s="130"/>
      <c r="J331" s="130">
        <f t="shared" si="1"/>
        <v>0</v>
      </c>
      <c r="K331" s="130"/>
      <c r="L331" s="130"/>
      <c r="M331" s="130">
        <f t="shared" si="2"/>
        <v>0</v>
      </c>
      <c r="N331" s="130"/>
      <c r="O331" s="130"/>
      <c r="P331" s="127"/>
      <c r="Q331" s="127"/>
      <c r="R331" s="127"/>
      <c r="S331" s="127"/>
      <c r="T331" s="127" t="str">
        <f>IF(A331="","",VLOOKUP(A331,'BASE OS'!$A$2:$I1000,4,FALSE))</f>
        <v/>
      </c>
      <c r="U331" s="127"/>
      <c r="V331" s="127"/>
      <c r="W331" s="127" t="str">
        <f t="shared" si="3"/>
        <v/>
      </c>
      <c r="X331" s="127" t="str">
        <f t="shared" si="4"/>
        <v/>
      </c>
      <c r="Y331" s="127" t="str">
        <f t="shared" si="5"/>
        <v/>
      </c>
    </row>
    <row r="332">
      <c r="A332" s="127"/>
      <c r="B332" s="127" t="str">
        <f>IF(A332="","",VLOOKUP(A332,'BASE OS'!$A$2:$I1000,2,FALSE))</f>
        <v/>
      </c>
      <c r="C332" s="132"/>
      <c r="D332" s="127"/>
      <c r="E332" s="127"/>
      <c r="F332" s="127"/>
      <c r="G332" s="127"/>
      <c r="H332" s="130"/>
      <c r="I332" s="130"/>
      <c r="J332" s="130">
        <f t="shared" si="1"/>
        <v>0</v>
      </c>
      <c r="K332" s="130"/>
      <c r="L332" s="130"/>
      <c r="M332" s="130">
        <f t="shared" si="2"/>
        <v>0</v>
      </c>
      <c r="N332" s="130"/>
      <c r="O332" s="130"/>
      <c r="P332" s="127"/>
      <c r="Q332" s="127"/>
      <c r="R332" s="127"/>
      <c r="S332" s="127"/>
      <c r="T332" s="127" t="str">
        <f>IF(A332="","",VLOOKUP(A332,'BASE OS'!$A$2:$I1000,4,FALSE))</f>
        <v/>
      </c>
      <c r="U332" s="127"/>
      <c r="V332" s="127"/>
      <c r="W332" s="127" t="str">
        <f t="shared" si="3"/>
        <v/>
      </c>
      <c r="X332" s="127" t="str">
        <f t="shared" si="4"/>
        <v/>
      </c>
      <c r="Y332" s="127" t="str">
        <f t="shared" si="5"/>
        <v/>
      </c>
    </row>
    <row r="333">
      <c r="A333" s="127"/>
      <c r="B333" s="127" t="str">
        <f>IF(A333="","",VLOOKUP(A333,'BASE OS'!$A$2:$I1000,2,FALSE))</f>
        <v/>
      </c>
      <c r="C333" s="132"/>
      <c r="D333" s="127"/>
      <c r="E333" s="127"/>
      <c r="F333" s="127"/>
      <c r="G333" s="127"/>
      <c r="H333" s="130"/>
      <c r="I333" s="130"/>
      <c r="J333" s="130">
        <f t="shared" si="1"/>
        <v>0</v>
      </c>
      <c r="K333" s="130"/>
      <c r="L333" s="130"/>
      <c r="M333" s="130">
        <f t="shared" si="2"/>
        <v>0</v>
      </c>
      <c r="N333" s="130"/>
      <c r="O333" s="130"/>
      <c r="P333" s="127"/>
      <c r="Q333" s="127"/>
      <c r="R333" s="127"/>
      <c r="S333" s="127"/>
      <c r="T333" s="127" t="str">
        <f>IF(A333="","",VLOOKUP(A333,'BASE OS'!$A$2:$I1000,4,FALSE))</f>
        <v/>
      </c>
      <c r="U333" s="127"/>
      <c r="V333" s="127"/>
      <c r="W333" s="127" t="str">
        <f t="shared" si="3"/>
        <v/>
      </c>
      <c r="X333" s="127" t="str">
        <f t="shared" si="4"/>
        <v/>
      </c>
      <c r="Y333" s="127" t="str">
        <f t="shared" si="5"/>
        <v/>
      </c>
    </row>
    <row r="334">
      <c r="A334" s="127"/>
      <c r="B334" s="127" t="str">
        <f>IF(A334="","",VLOOKUP(A334,'BASE OS'!$A$2:$I1000,2,FALSE))</f>
        <v/>
      </c>
      <c r="C334" s="132"/>
      <c r="D334" s="127"/>
      <c r="E334" s="127"/>
      <c r="F334" s="127"/>
      <c r="G334" s="127"/>
      <c r="H334" s="130"/>
      <c r="I334" s="130"/>
      <c r="J334" s="130">
        <f t="shared" si="1"/>
        <v>0</v>
      </c>
      <c r="K334" s="130"/>
      <c r="L334" s="130"/>
      <c r="M334" s="130">
        <f t="shared" si="2"/>
        <v>0</v>
      </c>
      <c r="N334" s="130"/>
      <c r="O334" s="130"/>
      <c r="P334" s="127"/>
      <c r="Q334" s="127"/>
      <c r="R334" s="127"/>
      <c r="S334" s="127"/>
      <c r="T334" s="127" t="str">
        <f>IF(A334="","",VLOOKUP(A334,'BASE OS'!$A$2:$I1000,4,FALSE))</f>
        <v/>
      </c>
      <c r="U334" s="127"/>
      <c r="V334" s="127"/>
      <c r="W334" s="127" t="str">
        <f t="shared" si="3"/>
        <v/>
      </c>
      <c r="X334" s="127" t="str">
        <f t="shared" si="4"/>
        <v/>
      </c>
      <c r="Y334" s="127" t="str">
        <f t="shared" si="5"/>
        <v/>
      </c>
    </row>
    <row r="335">
      <c r="A335" s="127"/>
      <c r="B335" s="127" t="str">
        <f>IF(A335="","",VLOOKUP(A335,'BASE OS'!$A$2:$I1000,2,FALSE))</f>
        <v/>
      </c>
      <c r="C335" s="132"/>
      <c r="D335" s="127"/>
      <c r="E335" s="127"/>
      <c r="F335" s="127"/>
      <c r="G335" s="127"/>
      <c r="H335" s="130"/>
      <c r="I335" s="130"/>
      <c r="J335" s="130">
        <f t="shared" si="1"/>
        <v>0</v>
      </c>
      <c r="K335" s="130"/>
      <c r="L335" s="130"/>
      <c r="M335" s="130">
        <f t="shared" si="2"/>
        <v>0</v>
      </c>
      <c r="N335" s="130"/>
      <c r="O335" s="130"/>
      <c r="P335" s="127"/>
      <c r="Q335" s="127"/>
      <c r="R335" s="127"/>
      <c r="S335" s="127"/>
      <c r="T335" s="127" t="str">
        <f>IF(A335="","",VLOOKUP(A335,'BASE OS'!$A$2:$I1000,4,FALSE))</f>
        <v/>
      </c>
      <c r="U335" s="127"/>
      <c r="V335" s="127"/>
      <c r="W335" s="127" t="str">
        <f t="shared" si="3"/>
        <v/>
      </c>
      <c r="X335" s="127" t="str">
        <f t="shared" si="4"/>
        <v/>
      </c>
      <c r="Y335" s="127" t="str">
        <f t="shared" si="5"/>
        <v/>
      </c>
    </row>
    <row r="336">
      <c r="A336" s="127"/>
      <c r="B336" s="127" t="str">
        <f>IF(A336="","",VLOOKUP(A336,'BASE OS'!$A$2:$I1000,2,FALSE))</f>
        <v/>
      </c>
      <c r="C336" s="132"/>
      <c r="D336" s="127"/>
      <c r="E336" s="127"/>
      <c r="F336" s="127"/>
      <c r="G336" s="127"/>
      <c r="H336" s="130"/>
      <c r="I336" s="130"/>
      <c r="J336" s="130">
        <f t="shared" si="1"/>
        <v>0</v>
      </c>
      <c r="K336" s="130"/>
      <c r="L336" s="130"/>
      <c r="M336" s="130">
        <f t="shared" si="2"/>
        <v>0</v>
      </c>
      <c r="N336" s="130"/>
      <c r="O336" s="130"/>
      <c r="P336" s="127"/>
      <c r="Q336" s="127"/>
      <c r="R336" s="127"/>
      <c r="S336" s="127"/>
      <c r="T336" s="127" t="str">
        <f>IF(A336="","",VLOOKUP(A336,'BASE OS'!$A$2:$I1000,4,FALSE))</f>
        <v/>
      </c>
      <c r="U336" s="127"/>
      <c r="V336" s="127"/>
      <c r="W336" s="127" t="str">
        <f t="shared" si="3"/>
        <v/>
      </c>
      <c r="X336" s="127" t="str">
        <f t="shared" si="4"/>
        <v/>
      </c>
      <c r="Y336" s="127" t="str">
        <f t="shared" si="5"/>
        <v/>
      </c>
    </row>
    <row r="337">
      <c r="A337" s="127"/>
      <c r="B337" s="127" t="str">
        <f>IF(A337="","",VLOOKUP(A337,'BASE OS'!$A$2:$I1000,2,FALSE))</f>
        <v/>
      </c>
      <c r="C337" s="132"/>
      <c r="D337" s="127"/>
      <c r="E337" s="127"/>
      <c r="F337" s="127"/>
      <c r="G337" s="127"/>
      <c r="H337" s="130"/>
      <c r="I337" s="130"/>
      <c r="J337" s="130">
        <f t="shared" si="1"/>
        <v>0</v>
      </c>
      <c r="K337" s="130"/>
      <c r="L337" s="130"/>
      <c r="M337" s="130">
        <f t="shared" si="2"/>
        <v>0</v>
      </c>
      <c r="N337" s="130"/>
      <c r="O337" s="130"/>
      <c r="P337" s="127"/>
      <c r="Q337" s="127"/>
      <c r="R337" s="127"/>
      <c r="S337" s="127"/>
      <c r="T337" s="127" t="str">
        <f>IF(A337="","",VLOOKUP(A337,'BASE OS'!$A$2:$I1000,4,FALSE))</f>
        <v/>
      </c>
      <c r="U337" s="127"/>
      <c r="V337" s="127"/>
      <c r="W337" s="127" t="str">
        <f t="shared" si="3"/>
        <v/>
      </c>
      <c r="X337" s="127" t="str">
        <f t="shared" si="4"/>
        <v/>
      </c>
      <c r="Y337" s="127" t="str">
        <f t="shared" si="5"/>
        <v/>
      </c>
    </row>
    <row r="338">
      <c r="A338" s="127"/>
      <c r="B338" s="127" t="str">
        <f>IF(A338="","",VLOOKUP(A338,'BASE OS'!$A$2:$I1000,2,FALSE))</f>
        <v/>
      </c>
      <c r="C338" s="132"/>
      <c r="D338" s="127"/>
      <c r="E338" s="127"/>
      <c r="F338" s="127"/>
      <c r="G338" s="127"/>
      <c r="H338" s="130"/>
      <c r="I338" s="130"/>
      <c r="J338" s="130">
        <f t="shared" si="1"/>
        <v>0</v>
      </c>
      <c r="K338" s="130"/>
      <c r="L338" s="130"/>
      <c r="M338" s="130">
        <f t="shared" si="2"/>
        <v>0</v>
      </c>
      <c r="N338" s="130"/>
      <c r="O338" s="130"/>
      <c r="P338" s="127"/>
      <c r="Q338" s="127"/>
      <c r="R338" s="127"/>
      <c r="S338" s="127"/>
      <c r="T338" s="127" t="str">
        <f>IF(A338="","",VLOOKUP(A338,'BASE OS'!$A$2:$I1000,4,FALSE))</f>
        <v/>
      </c>
      <c r="U338" s="127"/>
      <c r="V338" s="127"/>
      <c r="W338" s="127" t="str">
        <f t="shared" si="3"/>
        <v/>
      </c>
      <c r="X338" s="127" t="str">
        <f t="shared" si="4"/>
        <v/>
      </c>
      <c r="Y338" s="127" t="str">
        <f t="shared" si="5"/>
        <v/>
      </c>
    </row>
    <row r="339">
      <c r="A339" s="127"/>
      <c r="B339" s="127" t="str">
        <f>IF(A339="","",VLOOKUP(A339,'BASE OS'!$A$2:$I1000,2,FALSE))</f>
        <v/>
      </c>
      <c r="C339" s="132"/>
      <c r="D339" s="127"/>
      <c r="E339" s="127"/>
      <c r="F339" s="127"/>
      <c r="G339" s="127"/>
      <c r="H339" s="130"/>
      <c r="I339" s="130"/>
      <c r="J339" s="130">
        <f t="shared" si="1"/>
        <v>0</v>
      </c>
      <c r="K339" s="130"/>
      <c r="L339" s="130"/>
      <c r="M339" s="130">
        <f t="shared" si="2"/>
        <v>0</v>
      </c>
      <c r="N339" s="130"/>
      <c r="O339" s="130"/>
      <c r="P339" s="127"/>
      <c r="Q339" s="127"/>
      <c r="R339" s="127"/>
      <c r="S339" s="127"/>
      <c r="T339" s="127" t="str">
        <f>IF(A339="","",VLOOKUP(A339,'BASE OS'!$A$2:$I1000,4,FALSE))</f>
        <v/>
      </c>
      <c r="U339" s="127"/>
      <c r="V339" s="127"/>
      <c r="W339" s="127" t="str">
        <f t="shared" si="3"/>
        <v/>
      </c>
      <c r="X339" s="127" t="str">
        <f t="shared" si="4"/>
        <v/>
      </c>
      <c r="Y339" s="127" t="str">
        <f t="shared" si="5"/>
        <v/>
      </c>
    </row>
    <row r="340">
      <c r="A340" s="127"/>
      <c r="B340" s="127" t="str">
        <f>IF(A340="","",VLOOKUP(A340,'BASE OS'!$A$2:$I1000,2,FALSE))</f>
        <v/>
      </c>
      <c r="C340" s="132"/>
      <c r="D340" s="127"/>
      <c r="E340" s="127"/>
      <c r="F340" s="127"/>
      <c r="G340" s="127"/>
      <c r="H340" s="130"/>
      <c r="I340" s="130"/>
      <c r="J340" s="130">
        <f t="shared" si="1"/>
        <v>0</v>
      </c>
      <c r="K340" s="130"/>
      <c r="L340" s="130"/>
      <c r="M340" s="130">
        <f t="shared" si="2"/>
        <v>0</v>
      </c>
      <c r="N340" s="130"/>
      <c r="O340" s="130"/>
      <c r="P340" s="127"/>
      <c r="Q340" s="127"/>
      <c r="R340" s="127"/>
      <c r="S340" s="127"/>
      <c r="T340" s="127" t="str">
        <f>IF(A340="","",VLOOKUP(A340,'BASE OS'!$A$2:$I1000,4,FALSE))</f>
        <v/>
      </c>
      <c r="U340" s="127"/>
      <c r="V340" s="127"/>
      <c r="W340" s="127" t="str">
        <f t="shared" si="3"/>
        <v/>
      </c>
      <c r="X340" s="127" t="str">
        <f t="shared" si="4"/>
        <v/>
      </c>
      <c r="Y340" s="127" t="str">
        <f t="shared" si="5"/>
        <v/>
      </c>
    </row>
    <row r="341">
      <c r="A341" s="127"/>
      <c r="B341" s="127" t="str">
        <f>IF(A341="","",VLOOKUP(A341,'BASE OS'!$A$2:$I1000,2,FALSE))</f>
        <v/>
      </c>
      <c r="C341" s="132"/>
      <c r="D341" s="127"/>
      <c r="E341" s="127"/>
      <c r="F341" s="127"/>
      <c r="G341" s="127"/>
      <c r="H341" s="130"/>
      <c r="I341" s="130"/>
      <c r="J341" s="130">
        <f t="shared" si="1"/>
        <v>0</v>
      </c>
      <c r="K341" s="130"/>
      <c r="L341" s="130"/>
      <c r="M341" s="130">
        <f t="shared" si="2"/>
        <v>0</v>
      </c>
      <c r="N341" s="130"/>
      <c r="O341" s="130"/>
      <c r="P341" s="127"/>
      <c r="Q341" s="127"/>
      <c r="R341" s="127"/>
      <c r="S341" s="127"/>
      <c r="T341" s="127" t="str">
        <f>IF(A341="","",VLOOKUP(A341,'BASE OS'!$A$2:$I1000,4,FALSE))</f>
        <v/>
      </c>
      <c r="U341" s="127"/>
      <c r="V341" s="127"/>
      <c r="W341" s="127" t="str">
        <f t="shared" si="3"/>
        <v/>
      </c>
      <c r="X341" s="127" t="str">
        <f t="shared" si="4"/>
        <v/>
      </c>
      <c r="Y341" s="127" t="str">
        <f t="shared" si="5"/>
        <v/>
      </c>
    </row>
    <row r="342">
      <c r="A342" s="127"/>
      <c r="B342" s="127" t="str">
        <f>IF(A342="","",VLOOKUP(A342,'BASE OS'!$A$2:$I1000,2,FALSE))</f>
        <v/>
      </c>
      <c r="C342" s="132"/>
      <c r="D342" s="127"/>
      <c r="E342" s="127"/>
      <c r="F342" s="127"/>
      <c r="G342" s="127"/>
      <c r="H342" s="130"/>
      <c r="I342" s="130"/>
      <c r="J342" s="130">
        <f t="shared" si="1"/>
        <v>0</v>
      </c>
      <c r="K342" s="130"/>
      <c r="L342" s="130"/>
      <c r="M342" s="130">
        <f t="shared" si="2"/>
        <v>0</v>
      </c>
      <c r="N342" s="130"/>
      <c r="O342" s="130"/>
      <c r="P342" s="127"/>
      <c r="Q342" s="127"/>
      <c r="R342" s="127"/>
      <c r="S342" s="127"/>
      <c r="T342" s="127" t="str">
        <f>IF(A342="","",VLOOKUP(A342,'BASE OS'!$A$2:$I1000,4,FALSE))</f>
        <v/>
      </c>
      <c r="U342" s="127"/>
      <c r="V342" s="127"/>
      <c r="W342" s="127" t="str">
        <f t="shared" si="3"/>
        <v/>
      </c>
      <c r="X342" s="127" t="str">
        <f t="shared" si="4"/>
        <v/>
      </c>
      <c r="Y342" s="127" t="str">
        <f t="shared" si="5"/>
        <v/>
      </c>
    </row>
    <row r="343">
      <c r="A343" s="127"/>
      <c r="B343" s="127" t="str">
        <f>IF(A343="","",VLOOKUP(A343,'BASE OS'!$A$2:$I1000,2,FALSE))</f>
        <v/>
      </c>
      <c r="C343" s="132"/>
      <c r="D343" s="127"/>
      <c r="E343" s="127"/>
      <c r="F343" s="127"/>
      <c r="G343" s="127"/>
      <c r="H343" s="130"/>
      <c r="I343" s="130"/>
      <c r="J343" s="130">
        <f t="shared" si="1"/>
        <v>0</v>
      </c>
      <c r="K343" s="130"/>
      <c r="L343" s="130"/>
      <c r="M343" s="130">
        <f t="shared" si="2"/>
        <v>0</v>
      </c>
      <c r="N343" s="130"/>
      <c r="O343" s="130"/>
      <c r="P343" s="127"/>
      <c r="Q343" s="127"/>
      <c r="R343" s="127"/>
      <c r="S343" s="127"/>
      <c r="T343" s="127" t="str">
        <f>IF(A343="","",VLOOKUP(A343,'BASE OS'!$A$2:$I1000,4,FALSE))</f>
        <v/>
      </c>
      <c r="U343" s="127"/>
      <c r="V343" s="127"/>
      <c r="W343" s="127" t="str">
        <f t="shared" si="3"/>
        <v/>
      </c>
      <c r="X343" s="127" t="str">
        <f t="shared" si="4"/>
        <v/>
      </c>
      <c r="Y343" s="127" t="str">
        <f t="shared" si="5"/>
        <v/>
      </c>
    </row>
    <row r="344">
      <c r="A344" s="127"/>
      <c r="B344" s="127" t="str">
        <f>IF(A344="","",VLOOKUP(A344,'BASE OS'!$A$2:$I1000,2,FALSE))</f>
        <v/>
      </c>
      <c r="C344" s="132"/>
      <c r="D344" s="127"/>
      <c r="E344" s="127"/>
      <c r="F344" s="127"/>
      <c r="G344" s="127"/>
      <c r="H344" s="130"/>
      <c r="I344" s="130"/>
      <c r="J344" s="130">
        <f t="shared" si="1"/>
        <v>0</v>
      </c>
      <c r="K344" s="130"/>
      <c r="L344" s="130"/>
      <c r="M344" s="130">
        <f t="shared" si="2"/>
        <v>0</v>
      </c>
      <c r="N344" s="130"/>
      <c r="O344" s="130"/>
      <c r="P344" s="127"/>
      <c r="Q344" s="127"/>
      <c r="R344" s="127"/>
      <c r="S344" s="127"/>
      <c r="T344" s="127" t="str">
        <f>IF(A344="","",VLOOKUP(A344,'BASE OS'!$A$2:$I1000,4,FALSE))</f>
        <v/>
      </c>
      <c r="U344" s="127"/>
      <c r="V344" s="127"/>
      <c r="W344" s="127" t="str">
        <f t="shared" si="3"/>
        <v/>
      </c>
      <c r="X344" s="127" t="str">
        <f t="shared" si="4"/>
        <v/>
      </c>
      <c r="Y344" s="127" t="str">
        <f t="shared" si="5"/>
        <v/>
      </c>
    </row>
    <row r="345">
      <c r="A345" s="127"/>
      <c r="B345" s="127" t="str">
        <f>IF(A345="","",VLOOKUP(A345,'BASE OS'!$A$2:$I1000,2,FALSE))</f>
        <v/>
      </c>
      <c r="C345" s="132"/>
      <c r="D345" s="127"/>
      <c r="E345" s="127"/>
      <c r="F345" s="127"/>
      <c r="G345" s="127"/>
      <c r="H345" s="130"/>
      <c r="I345" s="130"/>
      <c r="J345" s="130">
        <f t="shared" si="1"/>
        <v>0</v>
      </c>
      <c r="K345" s="130"/>
      <c r="L345" s="130"/>
      <c r="M345" s="130">
        <f t="shared" si="2"/>
        <v>0</v>
      </c>
      <c r="N345" s="130"/>
      <c r="O345" s="130"/>
      <c r="P345" s="127"/>
      <c r="Q345" s="127"/>
      <c r="R345" s="127"/>
      <c r="S345" s="127"/>
      <c r="T345" s="127" t="str">
        <f>IF(A345="","",VLOOKUP(A345,'BASE OS'!$A$2:$I1000,4,FALSE))</f>
        <v/>
      </c>
      <c r="U345" s="127"/>
      <c r="V345" s="127"/>
      <c r="W345" s="127" t="str">
        <f t="shared" si="3"/>
        <v/>
      </c>
      <c r="X345" s="127" t="str">
        <f t="shared" si="4"/>
        <v/>
      </c>
      <c r="Y345" s="127" t="str">
        <f t="shared" si="5"/>
        <v/>
      </c>
    </row>
    <row r="346">
      <c r="A346" s="127"/>
      <c r="B346" s="127" t="str">
        <f>IF(A346="","",VLOOKUP(A346,'BASE OS'!$A$2:$I1000,2,FALSE))</f>
        <v/>
      </c>
      <c r="C346" s="132"/>
      <c r="D346" s="127"/>
      <c r="E346" s="127"/>
      <c r="F346" s="127"/>
      <c r="G346" s="127"/>
      <c r="H346" s="130"/>
      <c r="I346" s="130"/>
      <c r="J346" s="130">
        <f t="shared" si="1"/>
        <v>0</v>
      </c>
      <c r="K346" s="130"/>
      <c r="L346" s="130"/>
      <c r="M346" s="130">
        <f t="shared" si="2"/>
        <v>0</v>
      </c>
      <c r="N346" s="130"/>
      <c r="O346" s="130"/>
      <c r="P346" s="127"/>
      <c r="Q346" s="127"/>
      <c r="R346" s="127"/>
      <c r="S346" s="127"/>
      <c r="T346" s="127" t="str">
        <f>IF(A346="","",VLOOKUP(A346,'BASE OS'!$A$2:$I1000,4,FALSE))</f>
        <v/>
      </c>
      <c r="U346" s="127"/>
      <c r="V346" s="127"/>
      <c r="W346" s="127" t="str">
        <f t="shared" si="3"/>
        <v/>
      </c>
      <c r="X346" s="127" t="str">
        <f t="shared" si="4"/>
        <v/>
      </c>
      <c r="Y346" s="127" t="str">
        <f t="shared" si="5"/>
        <v/>
      </c>
    </row>
    <row r="347">
      <c r="A347" s="127"/>
      <c r="B347" s="127" t="str">
        <f>IF(A347="","",VLOOKUP(A347,'BASE OS'!$A$2:$I1000,2,FALSE))</f>
        <v/>
      </c>
      <c r="C347" s="132"/>
      <c r="D347" s="127"/>
      <c r="E347" s="127"/>
      <c r="F347" s="127"/>
      <c r="G347" s="127"/>
      <c r="H347" s="130"/>
      <c r="I347" s="130"/>
      <c r="J347" s="130">
        <f t="shared" si="1"/>
        <v>0</v>
      </c>
      <c r="K347" s="130"/>
      <c r="L347" s="130"/>
      <c r="M347" s="130">
        <f t="shared" si="2"/>
        <v>0</v>
      </c>
      <c r="N347" s="130"/>
      <c r="O347" s="130"/>
      <c r="P347" s="127"/>
      <c r="Q347" s="127"/>
      <c r="R347" s="127"/>
      <c r="S347" s="127"/>
      <c r="T347" s="127" t="str">
        <f>IF(A347="","",VLOOKUP(A347,'BASE OS'!$A$2:$I1000,4,FALSE))</f>
        <v/>
      </c>
      <c r="U347" s="127"/>
      <c r="V347" s="127"/>
      <c r="W347" s="127" t="str">
        <f t="shared" si="3"/>
        <v/>
      </c>
      <c r="X347" s="127" t="str">
        <f t="shared" si="4"/>
        <v/>
      </c>
      <c r="Y347" s="127" t="str">
        <f t="shared" si="5"/>
        <v/>
      </c>
    </row>
    <row r="348">
      <c r="A348" s="127"/>
      <c r="B348" s="127" t="str">
        <f>IF(A348="","",VLOOKUP(A348,'BASE OS'!$A$2:$I1000,2,FALSE))</f>
        <v/>
      </c>
      <c r="C348" s="132"/>
      <c r="D348" s="127"/>
      <c r="E348" s="127"/>
      <c r="F348" s="127"/>
      <c r="G348" s="127"/>
      <c r="H348" s="130"/>
      <c r="I348" s="130"/>
      <c r="J348" s="130">
        <f t="shared" si="1"/>
        <v>0</v>
      </c>
      <c r="K348" s="130"/>
      <c r="L348" s="130"/>
      <c r="M348" s="130">
        <f t="shared" si="2"/>
        <v>0</v>
      </c>
      <c r="N348" s="130"/>
      <c r="O348" s="130"/>
      <c r="P348" s="127"/>
      <c r="Q348" s="127"/>
      <c r="R348" s="127"/>
      <c r="S348" s="127"/>
      <c r="T348" s="127" t="str">
        <f>IF(A348="","",VLOOKUP(A348,'BASE OS'!$A$2:$I1000,4,FALSE))</f>
        <v/>
      </c>
      <c r="U348" s="127"/>
      <c r="V348" s="127"/>
      <c r="W348" s="127" t="str">
        <f t="shared" si="3"/>
        <v/>
      </c>
      <c r="X348" s="127" t="str">
        <f t="shared" si="4"/>
        <v/>
      </c>
      <c r="Y348" s="127" t="str">
        <f t="shared" si="5"/>
        <v/>
      </c>
    </row>
    <row r="349">
      <c r="A349" s="127"/>
      <c r="B349" s="127" t="str">
        <f>IF(A349="","",VLOOKUP(A349,'BASE OS'!$A$2:$I1000,2,FALSE))</f>
        <v/>
      </c>
      <c r="C349" s="132"/>
      <c r="D349" s="127"/>
      <c r="E349" s="127"/>
      <c r="F349" s="127"/>
      <c r="G349" s="127"/>
      <c r="H349" s="130"/>
      <c r="I349" s="130"/>
      <c r="J349" s="130">
        <f t="shared" si="1"/>
        <v>0</v>
      </c>
      <c r="K349" s="130"/>
      <c r="L349" s="130"/>
      <c r="M349" s="130">
        <f t="shared" si="2"/>
        <v>0</v>
      </c>
      <c r="N349" s="130"/>
      <c r="O349" s="130"/>
      <c r="P349" s="127"/>
      <c r="Q349" s="127"/>
      <c r="R349" s="127"/>
      <c r="S349" s="127"/>
      <c r="T349" s="127" t="str">
        <f>IF(A349="","",VLOOKUP(A349,'BASE OS'!$A$2:$I1000,4,FALSE))</f>
        <v/>
      </c>
      <c r="U349" s="127"/>
      <c r="V349" s="127"/>
      <c r="W349" s="127" t="str">
        <f t="shared" si="3"/>
        <v/>
      </c>
      <c r="X349" s="127" t="str">
        <f t="shared" si="4"/>
        <v/>
      </c>
      <c r="Y349" s="127" t="str">
        <f t="shared" si="5"/>
        <v/>
      </c>
    </row>
    <row r="350">
      <c r="A350" s="127"/>
      <c r="B350" s="127" t="str">
        <f>IF(A350="","",VLOOKUP(A350,'BASE OS'!$A$2:$I1000,2,FALSE))</f>
        <v/>
      </c>
      <c r="C350" s="132"/>
      <c r="D350" s="127"/>
      <c r="E350" s="127"/>
      <c r="F350" s="127"/>
      <c r="G350" s="127"/>
      <c r="H350" s="130"/>
      <c r="I350" s="130"/>
      <c r="J350" s="130">
        <f t="shared" si="1"/>
        <v>0</v>
      </c>
      <c r="K350" s="130"/>
      <c r="L350" s="130"/>
      <c r="M350" s="130">
        <f t="shared" si="2"/>
        <v>0</v>
      </c>
      <c r="N350" s="130"/>
      <c r="O350" s="130"/>
      <c r="P350" s="127"/>
      <c r="Q350" s="127"/>
      <c r="R350" s="127"/>
      <c r="S350" s="127"/>
      <c r="T350" s="127" t="str">
        <f>IF(A350="","",VLOOKUP(A350,'BASE OS'!$A$2:$I1000,4,FALSE))</f>
        <v/>
      </c>
      <c r="U350" s="127"/>
      <c r="V350" s="127"/>
      <c r="W350" s="127" t="str">
        <f t="shared" si="3"/>
        <v/>
      </c>
      <c r="X350" s="127" t="str">
        <f t="shared" si="4"/>
        <v/>
      </c>
      <c r="Y350" s="127" t="str">
        <f t="shared" si="5"/>
        <v/>
      </c>
    </row>
    <row r="351">
      <c r="A351" s="127"/>
      <c r="B351" s="127" t="str">
        <f>IF(A351="","",VLOOKUP(A351,'BASE OS'!$A$2:$I1000,2,FALSE))</f>
        <v/>
      </c>
      <c r="C351" s="132"/>
      <c r="D351" s="127"/>
      <c r="E351" s="127"/>
      <c r="F351" s="127"/>
      <c r="G351" s="127"/>
      <c r="H351" s="130"/>
      <c r="I351" s="130"/>
      <c r="J351" s="130">
        <f t="shared" si="1"/>
        <v>0</v>
      </c>
      <c r="K351" s="130"/>
      <c r="L351" s="130"/>
      <c r="M351" s="130">
        <f t="shared" si="2"/>
        <v>0</v>
      </c>
      <c r="N351" s="130"/>
      <c r="O351" s="130"/>
      <c r="P351" s="127"/>
      <c r="Q351" s="127"/>
      <c r="R351" s="127"/>
      <c r="S351" s="127"/>
      <c r="T351" s="127" t="str">
        <f>IF(A351="","",VLOOKUP(A351,'BASE OS'!$A$2:$I1000,4,FALSE))</f>
        <v/>
      </c>
      <c r="U351" s="127"/>
      <c r="V351" s="127"/>
      <c r="W351" s="127" t="str">
        <f t="shared" si="3"/>
        <v/>
      </c>
      <c r="X351" s="127" t="str">
        <f t="shared" si="4"/>
        <v/>
      </c>
      <c r="Y351" s="127" t="str">
        <f t="shared" si="5"/>
        <v/>
      </c>
    </row>
    <row r="352">
      <c r="A352" s="127"/>
      <c r="B352" s="127" t="str">
        <f>IF(A352="","",VLOOKUP(A352,'BASE OS'!$A$2:$I1000,2,FALSE))</f>
        <v/>
      </c>
      <c r="C352" s="132"/>
      <c r="D352" s="127"/>
      <c r="E352" s="127"/>
      <c r="F352" s="127"/>
      <c r="G352" s="127"/>
      <c r="H352" s="130"/>
      <c r="I352" s="130"/>
      <c r="J352" s="130">
        <f t="shared" si="1"/>
        <v>0</v>
      </c>
      <c r="K352" s="130"/>
      <c r="L352" s="130"/>
      <c r="M352" s="130">
        <f t="shared" si="2"/>
        <v>0</v>
      </c>
      <c r="N352" s="130"/>
      <c r="O352" s="130"/>
      <c r="P352" s="127"/>
      <c r="Q352" s="127"/>
      <c r="R352" s="127"/>
      <c r="S352" s="127"/>
      <c r="T352" s="127" t="str">
        <f>IF(A352="","",VLOOKUP(A352,'BASE OS'!$A$2:$I1000,4,FALSE))</f>
        <v/>
      </c>
      <c r="U352" s="127"/>
      <c r="V352" s="127"/>
      <c r="W352" s="127" t="str">
        <f t="shared" si="3"/>
        <v/>
      </c>
      <c r="X352" s="127" t="str">
        <f t="shared" si="4"/>
        <v/>
      </c>
      <c r="Y352" s="127" t="str">
        <f t="shared" si="5"/>
        <v/>
      </c>
    </row>
    <row r="353">
      <c r="A353" s="127"/>
      <c r="B353" s="127" t="str">
        <f>IF(A353="","",VLOOKUP(A353,'BASE OS'!$A$2:$I1000,2,FALSE))</f>
        <v/>
      </c>
      <c r="C353" s="132"/>
      <c r="D353" s="127"/>
      <c r="E353" s="127"/>
      <c r="F353" s="127"/>
      <c r="G353" s="127"/>
      <c r="H353" s="130"/>
      <c r="I353" s="130"/>
      <c r="J353" s="130">
        <f t="shared" si="1"/>
        <v>0</v>
      </c>
      <c r="K353" s="130"/>
      <c r="L353" s="130"/>
      <c r="M353" s="130">
        <f t="shared" si="2"/>
        <v>0</v>
      </c>
      <c r="N353" s="130"/>
      <c r="O353" s="130"/>
      <c r="P353" s="127"/>
      <c r="Q353" s="127"/>
      <c r="R353" s="127"/>
      <c r="S353" s="127"/>
      <c r="T353" s="127" t="str">
        <f>IF(A353="","",VLOOKUP(A353,'BASE OS'!$A$2:$I1000,4,FALSE))</f>
        <v/>
      </c>
      <c r="U353" s="127"/>
      <c r="V353" s="127"/>
      <c r="W353" s="127" t="str">
        <f t="shared" si="3"/>
        <v/>
      </c>
      <c r="X353" s="127" t="str">
        <f t="shared" si="4"/>
        <v/>
      </c>
      <c r="Y353" s="127" t="str">
        <f t="shared" si="5"/>
        <v/>
      </c>
    </row>
    <row r="354">
      <c r="A354" s="127"/>
      <c r="B354" s="127" t="str">
        <f>IF(A354="","",VLOOKUP(A354,'BASE OS'!$A$2:$I1000,2,FALSE))</f>
        <v/>
      </c>
      <c r="C354" s="132"/>
      <c r="D354" s="127"/>
      <c r="E354" s="127"/>
      <c r="F354" s="127"/>
      <c r="G354" s="127"/>
      <c r="H354" s="130"/>
      <c r="I354" s="130"/>
      <c r="J354" s="130">
        <f t="shared" si="1"/>
        <v>0</v>
      </c>
      <c r="K354" s="130"/>
      <c r="L354" s="130"/>
      <c r="M354" s="130">
        <f t="shared" si="2"/>
        <v>0</v>
      </c>
      <c r="N354" s="130"/>
      <c r="O354" s="130"/>
      <c r="P354" s="127"/>
      <c r="Q354" s="127"/>
      <c r="R354" s="127"/>
      <c r="S354" s="127"/>
      <c r="T354" s="127" t="str">
        <f>IF(A354="","",VLOOKUP(A354,'BASE OS'!$A$2:$I1000,4,FALSE))</f>
        <v/>
      </c>
      <c r="U354" s="127"/>
      <c r="V354" s="127"/>
      <c r="W354" s="127" t="str">
        <f t="shared" si="3"/>
        <v/>
      </c>
      <c r="X354" s="127" t="str">
        <f t="shared" si="4"/>
        <v/>
      </c>
      <c r="Y354" s="127" t="str">
        <f t="shared" si="5"/>
        <v/>
      </c>
    </row>
    <row r="355">
      <c r="A355" s="127"/>
      <c r="B355" s="127" t="str">
        <f>IF(A355="","",VLOOKUP(A355,'BASE OS'!$A$2:$I1000,2,FALSE))</f>
        <v/>
      </c>
      <c r="C355" s="132"/>
      <c r="D355" s="127"/>
      <c r="E355" s="127"/>
      <c r="F355" s="127"/>
      <c r="G355" s="127"/>
      <c r="H355" s="130"/>
      <c r="I355" s="130"/>
      <c r="J355" s="130">
        <f t="shared" si="1"/>
        <v>0</v>
      </c>
      <c r="K355" s="130"/>
      <c r="L355" s="130"/>
      <c r="M355" s="130">
        <f t="shared" si="2"/>
        <v>0</v>
      </c>
      <c r="N355" s="130"/>
      <c r="O355" s="130"/>
      <c r="P355" s="127"/>
      <c r="Q355" s="127"/>
      <c r="R355" s="127"/>
      <c r="S355" s="127"/>
      <c r="T355" s="127" t="str">
        <f>IF(A355="","",VLOOKUP(A355,'BASE OS'!$A$2:$I1000,4,FALSE))</f>
        <v/>
      </c>
      <c r="U355" s="127"/>
      <c r="V355" s="127"/>
      <c r="W355" s="127" t="str">
        <f t="shared" si="3"/>
        <v/>
      </c>
      <c r="X355" s="127" t="str">
        <f t="shared" si="4"/>
        <v/>
      </c>
      <c r="Y355" s="127" t="str">
        <f t="shared" si="5"/>
        <v/>
      </c>
    </row>
    <row r="356">
      <c r="A356" s="127"/>
      <c r="B356" s="127" t="str">
        <f>IF(A356="","",VLOOKUP(A356,'BASE OS'!$A$2:$I1000,2,FALSE))</f>
        <v/>
      </c>
      <c r="C356" s="132"/>
      <c r="D356" s="127"/>
      <c r="E356" s="127"/>
      <c r="F356" s="127"/>
      <c r="G356" s="127"/>
      <c r="H356" s="130"/>
      <c r="I356" s="130"/>
      <c r="J356" s="130">
        <f t="shared" si="1"/>
        <v>0</v>
      </c>
      <c r="K356" s="130"/>
      <c r="L356" s="130"/>
      <c r="M356" s="130">
        <f t="shared" si="2"/>
        <v>0</v>
      </c>
      <c r="N356" s="130"/>
      <c r="O356" s="130"/>
      <c r="P356" s="127"/>
      <c r="Q356" s="127"/>
      <c r="R356" s="127"/>
      <c r="S356" s="127"/>
      <c r="T356" s="127" t="str">
        <f>IF(A356="","",VLOOKUP(A356,'BASE OS'!$A$2:$I1000,4,FALSE))</f>
        <v/>
      </c>
      <c r="U356" s="127"/>
      <c r="V356" s="127"/>
      <c r="W356" s="127" t="str">
        <f t="shared" si="3"/>
        <v/>
      </c>
      <c r="X356" s="127" t="str">
        <f t="shared" si="4"/>
        <v/>
      </c>
      <c r="Y356" s="127" t="str">
        <f t="shared" si="5"/>
        <v/>
      </c>
    </row>
    <row r="357">
      <c r="A357" s="127"/>
      <c r="B357" s="127" t="str">
        <f>IF(A357="","",VLOOKUP(A357,'BASE OS'!$A$2:$I1000,2,FALSE))</f>
        <v/>
      </c>
      <c r="C357" s="132"/>
      <c r="D357" s="127"/>
      <c r="E357" s="127"/>
      <c r="F357" s="127"/>
      <c r="G357" s="127"/>
      <c r="H357" s="130"/>
      <c r="I357" s="130"/>
      <c r="J357" s="130">
        <f t="shared" si="1"/>
        <v>0</v>
      </c>
      <c r="K357" s="130"/>
      <c r="L357" s="130"/>
      <c r="M357" s="130">
        <f t="shared" si="2"/>
        <v>0</v>
      </c>
      <c r="N357" s="130"/>
      <c r="O357" s="130"/>
      <c r="P357" s="127"/>
      <c r="Q357" s="127"/>
      <c r="R357" s="127"/>
      <c r="S357" s="127"/>
      <c r="T357" s="127" t="str">
        <f>IF(A357="","",VLOOKUP(A357,'BASE OS'!$A$2:$I1000,4,FALSE))</f>
        <v/>
      </c>
      <c r="U357" s="127"/>
      <c r="V357" s="127"/>
      <c r="W357" s="127" t="str">
        <f t="shared" si="3"/>
        <v/>
      </c>
      <c r="X357" s="127" t="str">
        <f t="shared" si="4"/>
        <v/>
      </c>
      <c r="Y357" s="127" t="str">
        <f t="shared" si="5"/>
        <v/>
      </c>
    </row>
    <row r="358">
      <c r="A358" s="127"/>
      <c r="B358" s="127" t="str">
        <f>IF(A358="","",VLOOKUP(A358,'BASE OS'!$A$2:$I1000,2,FALSE))</f>
        <v/>
      </c>
      <c r="C358" s="132"/>
      <c r="D358" s="127"/>
      <c r="E358" s="127"/>
      <c r="F358" s="127"/>
      <c r="G358" s="127"/>
      <c r="H358" s="130"/>
      <c r="I358" s="130"/>
      <c r="J358" s="130">
        <f t="shared" si="1"/>
        <v>0</v>
      </c>
      <c r="K358" s="130"/>
      <c r="L358" s="130"/>
      <c r="M358" s="130">
        <f t="shared" si="2"/>
        <v>0</v>
      </c>
      <c r="N358" s="130"/>
      <c r="O358" s="130"/>
      <c r="P358" s="127"/>
      <c r="Q358" s="127"/>
      <c r="R358" s="127"/>
      <c r="S358" s="127"/>
      <c r="T358" s="127" t="str">
        <f>IF(A358="","",VLOOKUP(A358,'BASE OS'!$A$2:$I1000,4,FALSE))</f>
        <v/>
      </c>
      <c r="U358" s="127"/>
      <c r="V358" s="127"/>
      <c r="W358" s="127" t="str">
        <f t="shared" si="3"/>
        <v/>
      </c>
      <c r="X358" s="127" t="str">
        <f t="shared" si="4"/>
        <v/>
      </c>
      <c r="Y358" s="127" t="str">
        <f t="shared" si="5"/>
        <v/>
      </c>
    </row>
    <row r="359">
      <c r="A359" s="127"/>
      <c r="B359" s="127" t="str">
        <f>IF(A359="","",VLOOKUP(A359,'BASE OS'!$A$2:$I1000,2,FALSE))</f>
        <v/>
      </c>
      <c r="C359" s="132"/>
      <c r="D359" s="127"/>
      <c r="E359" s="127"/>
      <c r="F359" s="127"/>
      <c r="G359" s="127"/>
      <c r="H359" s="130"/>
      <c r="I359" s="130"/>
      <c r="J359" s="130">
        <f t="shared" si="1"/>
        <v>0</v>
      </c>
      <c r="K359" s="130"/>
      <c r="L359" s="130"/>
      <c r="M359" s="130">
        <f t="shared" si="2"/>
        <v>0</v>
      </c>
      <c r="N359" s="130"/>
      <c r="O359" s="130"/>
      <c r="P359" s="127"/>
      <c r="Q359" s="127"/>
      <c r="R359" s="127"/>
      <c r="S359" s="127"/>
      <c r="T359" s="127" t="str">
        <f>IF(A359="","",VLOOKUP(A359,'BASE OS'!$A$2:$I1000,4,FALSE))</f>
        <v/>
      </c>
      <c r="U359" s="127"/>
      <c r="V359" s="127"/>
      <c r="W359" s="127" t="str">
        <f t="shared" si="3"/>
        <v/>
      </c>
      <c r="X359" s="127" t="str">
        <f t="shared" si="4"/>
        <v/>
      </c>
      <c r="Y359" s="127" t="str">
        <f t="shared" si="5"/>
        <v/>
      </c>
    </row>
    <row r="360">
      <c r="A360" s="127"/>
      <c r="B360" s="127" t="str">
        <f>IF(A360="","",VLOOKUP(A360,'BASE OS'!$A$2:$I1000,2,FALSE))</f>
        <v/>
      </c>
      <c r="C360" s="132"/>
      <c r="D360" s="127"/>
      <c r="E360" s="127"/>
      <c r="F360" s="127"/>
      <c r="G360" s="127"/>
      <c r="H360" s="130"/>
      <c r="I360" s="130"/>
      <c r="J360" s="130">
        <f t="shared" si="1"/>
        <v>0</v>
      </c>
      <c r="K360" s="130"/>
      <c r="L360" s="130"/>
      <c r="M360" s="130">
        <f t="shared" si="2"/>
        <v>0</v>
      </c>
      <c r="N360" s="130"/>
      <c r="O360" s="130"/>
      <c r="P360" s="127"/>
      <c r="Q360" s="127"/>
      <c r="R360" s="127"/>
      <c r="S360" s="127"/>
      <c r="T360" s="127" t="str">
        <f>IF(A360="","",VLOOKUP(A360,'BASE OS'!$A$2:$I1000,4,FALSE))</f>
        <v/>
      </c>
      <c r="U360" s="127"/>
      <c r="V360" s="127"/>
      <c r="W360" s="127" t="str">
        <f t="shared" si="3"/>
        <v/>
      </c>
      <c r="X360" s="127" t="str">
        <f t="shared" si="4"/>
        <v/>
      </c>
      <c r="Y360" s="127" t="str">
        <f t="shared" si="5"/>
        <v/>
      </c>
    </row>
    <row r="361">
      <c r="A361" s="127"/>
      <c r="B361" s="127" t="str">
        <f>IF(A361="","",VLOOKUP(A361,'BASE OS'!$A$2:$I1000,2,FALSE))</f>
        <v/>
      </c>
      <c r="C361" s="132"/>
      <c r="D361" s="127"/>
      <c r="E361" s="127"/>
      <c r="F361" s="127"/>
      <c r="G361" s="127"/>
      <c r="H361" s="130"/>
      <c r="I361" s="130"/>
      <c r="J361" s="130">
        <f t="shared" si="1"/>
        <v>0</v>
      </c>
      <c r="K361" s="130"/>
      <c r="L361" s="130"/>
      <c r="M361" s="130">
        <f t="shared" si="2"/>
        <v>0</v>
      </c>
      <c r="N361" s="130"/>
      <c r="O361" s="130"/>
      <c r="P361" s="127"/>
      <c r="Q361" s="127"/>
      <c r="R361" s="127"/>
      <c r="S361" s="127"/>
      <c r="T361" s="127" t="str">
        <f>IF(A361="","",VLOOKUP(A361,'BASE OS'!$A$2:$I1000,4,FALSE))</f>
        <v/>
      </c>
      <c r="U361" s="127"/>
      <c r="V361" s="127"/>
      <c r="W361" s="127" t="str">
        <f t="shared" si="3"/>
        <v/>
      </c>
      <c r="X361" s="127" t="str">
        <f t="shared" si="4"/>
        <v/>
      </c>
      <c r="Y361" s="127" t="str">
        <f t="shared" si="5"/>
        <v/>
      </c>
    </row>
    <row r="362">
      <c r="A362" s="127"/>
      <c r="B362" s="127" t="str">
        <f>IF(A362="","",VLOOKUP(A362,'BASE OS'!$A$2:$I1000,2,FALSE))</f>
        <v/>
      </c>
      <c r="C362" s="132"/>
      <c r="D362" s="127"/>
      <c r="E362" s="127"/>
      <c r="F362" s="127"/>
      <c r="G362" s="127"/>
      <c r="H362" s="130"/>
      <c r="I362" s="130"/>
      <c r="J362" s="130">
        <f t="shared" si="1"/>
        <v>0</v>
      </c>
      <c r="K362" s="130"/>
      <c r="L362" s="130"/>
      <c r="M362" s="130">
        <f t="shared" si="2"/>
        <v>0</v>
      </c>
      <c r="N362" s="130"/>
      <c r="O362" s="130"/>
      <c r="P362" s="127"/>
      <c r="Q362" s="127"/>
      <c r="R362" s="127"/>
      <c r="S362" s="127"/>
      <c r="T362" s="127" t="str">
        <f>IF(A362="","",VLOOKUP(A362,'BASE OS'!$A$2:$I1000,4,FALSE))</f>
        <v/>
      </c>
      <c r="U362" s="127"/>
      <c r="V362" s="127"/>
      <c r="W362" s="127" t="str">
        <f t="shared" si="3"/>
        <v/>
      </c>
      <c r="X362" s="127" t="str">
        <f t="shared" si="4"/>
        <v/>
      </c>
      <c r="Y362" s="127" t="str">
        <f t="shared" si="5"/>
        <v/>
      </c>
    </row>
    <row r="363">
      <c r="A363" s="127"/>
      <c r="B363" s="127" t="str">
        <f>IF(A363="","",VLOOKUP(A363,'BASE OS'!$A$2:$I1000,2,FALSE))</f>
        <v/>
      </c>
      <c r="C363" s="132"/>
      <c r="D363" s="127"/>
      <c r="E363" s="127"/>
      <c r="F363" s="127"/>
      <c r="G363" s="127"/>
      <c r="H363" s="130"/>
      <c r="I363" s="130"/>
      <c r="J363" s="130">
        <f t="shared" si="1"/>
        <v>0</v>
      </c>
      <c r="K363" s="130"/>
      <c r="L363" s="130"/>
      <c r="M363" s="130">
        <f t="shared" si="2"/>
        <v>0</v>
      </c>
      <c r="N363" s="130"/>
      <c r="O363" s="130"/>
      <c r="P363" s="127"/>
      <c r="Q363" s="127"/>
      <c r="R363" s="127"/>
      <c r="S363" s="127"/>
      <c r="T363" s="127" t="str">
        <f>IF(A363="","",VLOOKUP(A363,'BASE OS'!$A$2:$I1000,4,FALSE))</f>
        <v/>
      </c>
      <c r="U363" s="127"/>
      <c r="V363" s="127"/>
      <c r="W363" s="127" t="str">
        <f t="shared" si="3"/>
        <v/>
      </c>
      <c r="X363" s="127" t="str">
        <f t="shared" si="4"/>
        <v/>
      </c>
      <c r="Y363" s="127" t="str">
        <f t="shared" si="5"/>
        <v/>
      </c>
    </row>
    <row r="364">
      <c r="A364" s="127"/>
      <c r="B364" s="127" t="str">
        <f>IF(A364="","",VLOOKUP(A364,'BASE OS'!$A$2:$I1000,2,FALSE))</f>
        <v/>
      </c>
      <c r="C364" s="132"/>
      <c r="D364" s="127"/>
      <c r="E364" s="127"/>
      <c r="F364" s="127"/>
      <c r="G364" s="127"/>
      <c r="H364" s="130"/>
      <c r="I364" s="130"/>
      <c r="J364" s="130">
        <f t="shared" si="1"/>
        <v>0</v>
      </c>
      <c r="K364" s="130"/>
      <c r="L364" s="130"/>
      <c r="M364" s="130">
        <f t="shared" si="2"/>
        <v>0</v>
      </c>
      <c r="N364" s="130"/>
      <c r="O364" s="130"/>
      <c r="P364" s="127"/>
      <c r="Q364" s="127"/>
      <c r="R364" s="127"/>
      <c r="S364" s="127"/>
      <c r="T364" s="127" t="str">
        <f>IF(A364="","",VLOOKUP(A364,'BASE OS'!$A$2:$I1000,4,FALSE))</f>
        <v/>
      </c>
      <c r="U364" s="127"/>
      <c r="V364" s="127"/>
      <c r="W364" s="127" t="str">
        <f t="shared" si="3"/>
        <v/>
      </c>
      <c r="X364" s="127" t="str">
        <f t="shared" si="4"/>
        <v/>
      </c>
      <c r="Y364" s="127" t="str">
        <f t="shared" si="5"/>
        <v/>
      </c>
    </row>
    <row r="365">
      <c r="A365" s="127"/>
      <c r="B365" s="127" t="str">
        <f>IF(A365="","",VLOOKUP(A365,'BASE OS'!$A$2:$I1000,2,FALSE))</f>
        <v/>
      </c>
      <c r="C365" s="132"/>
      <c r="D365" s="127"/>
      <c r="E365" s="127"/>
      <c r="F365" s="127"/>
      <c r="G365" s="127"/>
      <c r="H365" s="130"/>
      <c r="I365" s="130"/>
      <c r="J365" s="130">
        <f t="shared" si="1"/>
        <v>0</v>
      </c>
      <c r="K365" s="130"/>
      <c r="L365" s="130"/>
      <c r="M365" s="130">
        <f t="shared" si="2"/>
        <v>0</v>
      </c>
      <c r="N365" s="130"/>
      <c r="O365" s="130"/>
      <c r="P365" s="127"/>
      <c r="Q365" s="127"/>
      <c r="R365" s="127"/>
      <c r="S365" s="127"/>
      <c r="T365" s="127" t="str">
        <f>IF(A365="","",VLOOKUP(A365,'BASE OS'!$A$2:$I1000,4,FALSE))</f>
        <v/>
      </c>
      <c r="U365" s="127"/>
      <c r="V365" s="127"/>
      <c r="W365" s="127" t="str">
        <f t="shared" si="3"/>
        <v/>
      </c>
      <c r="X365" s="127" t="str">
        <f t="shared" si="4"/>
        <v/>
      </c>
      <c r="Y365" s="127" t="str">
        <f t="shared" si="5"/>
        <v/>
      </c>
    </row>
    <row r="366">
      <c r="A366" s="127"/>
      <c r="B366" s="127" t="str">
        <f>IF(A366="","",VLOOKUP(A366,'BASE OS'!$A$2:$I1000,2,FALSE))</f>
        <v/>
      </c>
      <c r="C366" s="132"/>
      <c r="D366" s="127"/>
      <c r="E366" s="127"/>
      <c r="F366" s="127"/>
      <c r="G366" s="127"/>
      <c r="H366" s="130"/>
      <c r="I366" s="130"/>
      <c r="J366" s="130">
        <f t="shared" si="1"/>
        <v>0</v>
      </c>
      <c r="K366" s="130"/>
      <c r="L366" s="130"/>
      <c r="M366" s="130">
        <f t="shared" si="2"/>
        <v>0</v>
      </c>
      <c r="N366" s="130"/>
      <c r="O366" s="130"/>
      <c r="P366" s="127"/>
      <c r="Q366" s="127"/>
      <c r="R366" s="127"/>
      <c r="S366" s="127"/>
      <c r="T366" s="127" t="str">
        <f>IF(A366="","",VLOOKUP(A366,'BASE OS'!$A$2:$I1000,4,FALSE))</f>
        <v/>
      </c>
      <c r="U366" s="127"/>
      <c r="V366" s="127"/>
      <c r="W366" s="127" t="str">
        <f t="shared" si="3"/>
        <v/>
      </c>
      <c r="X366" s="127" t="str">
        <f t="shared" si="4"/>
        <v/>
      </c>
      <c r="Y366" s="127" t="str">
        <f t="shared" si="5"/>
        <v/>
      </c>
    </row>
    <row r="367">
      <c r="A367" s="127"/>
      <c r="B367" s="127" t="str">
        <f>IF(A367="","",VLOOKUP(A367,'BASE OS'!$A$2:$I1000,2,FALSE))</f>
        <v/>
      </c>
      <c r="C367" s="132"/>
      <c r="D367" s="127"/>
      <c r="E367" s="127"/>
      <c r="F367" s="127"/>
      <c r="G367" s="127"/>
      <c r="H367" s="130"/>
      <c r="I367" s="130"/>
      <c r="J367" s="130">
        <f t="shared" si="1"/>
        <v>0</v>
      </c>
      <c r="K367" s="130"/>
      <c r="L367" s="130"/>
      <c r="M367" s="130">
        <f t="shared" si="2"/>
        <v>0</v>
      </c>
      <c r="N367" s="130"/>
      <c r="O367" s="130"/>
      <c r="P367" s="127"/>
      <c r="Q367" s="127"/>
      <c r="R367" s="127"/>
      <c r="S367" s="127"/>
      <c r="T367" s="127" t="str">
        <f>IF(A367="","",VLOOKUP(A367,'BASE OS'!$A$2:$I1000,4,FALSE))</f>
        <v/>
      </c>
      <c r="U367" s="127"/>
      <c r="V367" s="127"/>
      <c r="W367" s="127" t="str">
        <f t="shared" si="3"/>
        <v/>
      </c>
      <c r="X367" s="127" t="str">
        <f t="shared" si="4"/>
        <v/>
      </c>
      <c r="Y367" s="127" t="str">
        <f t="shared" si="5"/>
        <v/>
      </c>
    </row>
    <row r="368">
      <c r="A368" s="127"/>
      <c r="B368" s="127" t="str">
        <f>IF(A368="","",VLOOKUP(A368,'BASE OS'!$A$2:$I1000,2,FALSE))</f>
        <v/>
      </c>
      <c r="C368" s="132"/>
      <c r="D368" s="127"/>
      <c r="E368" s="127"/>
      <c r="F368" s="127"/>
      <c r="G368" s="127"/>
      <c r="H368" s="130"/>
      <c r="I368" s="130"/>
      <c r="J368" s="130">
        <f t="shared" si="1"/>
        <v>0</v>
      </c>
      <c r="K368" s="130"/>
      <c r="L368" s="130"/>
      <c r="M368" s="130">
        <f t="shared" si="2"/>
        <v>0</v>
      </c>
      <c r="N368" s="130"/>
      <c r="O368" s="130"/>
      <c r="P368" s="127"/>
      <c r="Q368" s="127"/>
      <c r="R368" s="127"/>
      <c r="S368" s="127"/>
      <c r="T368" s="127" t="str">
        <f>IF(A368="","",VLOOKUP(A368,'BASE OS'!$A$2:$I1000,4,FALSE))</f>
        <v/>
      </c>
      <c r="U368" s="127"/>
      <c r="V368" s="127"/>
      <c r="W368" s="127" t="str">
        <f t="shared" si="3"/>
        <v/>
      </c>
      <c r="X368" s="127" t="str">
        <f t="shared" si="4"/>
        <v/>
      </c>
      <c r="Y368" s="127" t="str">
        <f t="shared" si="5"/>
        <v/>
      </c>
    </row>
    <row r="369">
      <c r="A369" s="127"/>
      <c r="B369" s="127" t="str">
        <f>IF(A369="","",VLOOKUP(A369,'BASE OS'!$A$2:$I1000,2,FALSE))</f>
        <v/>
      </c>
      <c r="C369" s="132"/>
      <c r="D369" s="127"/>
      <c r="E369" s="127"/>
      <c r="F369" s="127"/>
      <c r="G369" s="127"/>
      <c r="H369" s="130"/>
      <c r="I369" s="130"/>
      <c r="J369" s="130">
        <f t="shared" si="1"/>
        <v>0</v>
      </c>
      <c r="K369" s="130"/>
      <c r="L369" s="130"/>
      <c r="M369" s="130">
        <f t="shared" si="2"/>
        <v>0</v>
      </c>
      <c r="N369" s="130"/>
      <c r="O369" s="130"/>
      <c r="P369" s="127"/>
      <c r="Q369" s="127"/>
      <c r="R369" s="127"/>
      <c r="S369" s="127"/>
      <c r="T369" s="127" t="str">
        <f>IF(A369="","",VLOOKUP(A369,'BASE OS'!$A$2:$I1000,4,FALSE))</f>
        <v/>
      </c>
      <c r="U369" s="127"/>
      <c r="V369" s="127"/>
      <c r="W369" s="127" t="str">
        <f t="shared" si="3"/>
        <v/>
      </c>
      <c r="X369" s="127" t="str">
        <f t="shared" si="4"/>
        <v/>
      </c>
      <c r="Y369" s="127" t="str">
        <f t="shared" si="5"/>
        <v/>
      </c>
    </row>
    <row r="370">
      <c r="A370" s="127"/>
      <c r="B370" s="127" t="str">
        <f>IF(A370="","",VLOOKUP(A370,'BASE OS'!$A$2:$I1000,2,FALSE))</f>
        <v/>
      </c>
      <c r="C370" s="132"/>
      <c r="D370" s="127"/>
      <c r="E370" s="127"/>
      <c r="F370" s="127"/>
      <c r="G370" s="127"/>
      <c r="H370" s="130"/>
      <c r="I370" s="130"/>
      <c r="J370" s="130">
        <f t="shared" si="1"/>
        <v>0</v>
      </c>
      <c r="K370" s="130"/>
      <c r="L370" s="130"/>
      <c r="M370" s="130">
        <f t="shared" si="2"/>
        <v>0</v>
      </c>
      <c r="N370" s="130"/>
      <c r="O370" s="130"/>
      <c r="P370" s="127"/>
      <c r="Q370" s="127"/>
      <c r="R370" s="127"/>
      <c r="S370" s="127"/>
      <c r="T370" s="127" t="str">
        <f>IF(A370="","",VLOOKUP(A370,'BASE OS'!$A$2:$I1000,4,FALSE))</f>
        <v/>
      </c>
      <c r="U370" s="127"/>
      <c r="V370" s="127"/>
      <c r="W370" s="127" t="str">
        <f t="shared" si="3"/>
        <v/>
      </c>
      <c r="X370" s="127" t="str">
        <f t="shared" si="4"/>
        <v/>
      </c>
      <c r="Y370" s="127" t="str">
        <f t="shared" si="5"/>
        <v/>
      </c>
    </row>
    <row r="371">
      <c r="A371" s="127"/>
      <c r="B371" s="127" t="str">
        <f>IF(A371="","",VLOOKUP(A371,'BASE OS'!$A$2:$I1000,2,FALSE))</f>
        <v/>
      </c>
      <c r="C371" s="132"/>
      <c r="D371" s="127"/>
      <c r="E371" s="127"/>
      <c r="F371" s="127"/>
      <c r="G371" s="127"/>
      <c r="H371" s="130"/>
      <c r="I371" s="130"/>
      <c r="J371" s="130">
        <f t="shared" si="1"/>
        <v>0</v>
      </c>
      <c r="K371" s="130"/>
      <c r="L371" s="130"/>
      <c r="M371" s="130">
        <f t="shared" si="2"/>
        <v>0</v>
      </c>
      <c r="N371" s="130"/>
      <c r="O371" s="130"/>
      <c r="P371" s="127"/>
      <c r="Q371" s="127"/>
      <c r="R371" s="127"/>
      <c r="S371" s="127"/>
      <c r="T371" s="127" t="str">
        <f>IF(A371="","",VLOOKUP(A371,'BASE OS'!$A$2:$I1000,4,FALSE))</f>
        <v/>
      </c>
      <c r="U371" s="127"/>
      <c r="V371" s="127"/>
      <c r="W371" s="127" t="str">
        <f t="shared" si="3"/>
        <v/>
      </c>
      <c r="X371" s="127" t="str">
        <f t="shared" si="4"/>
        <v/>
      </c>
      <c r="Y371" s="127" t="str">
        <f t="shared" si="5"/>
        <v/>
      </c>
    </row>
    <row r="372">
      <c r="A372" s="127"/>
      <c r="B372" s="127" t="str">
        <f>IF(A372="","",VLOOKUP(A372,'BASE OS'!$A$2:$I1000,2,FALSE))</f>
        <v/>
      </c>
      <c r="C372" s="132"/>
      <c r="D372" s="127"/>
      <c r="E372" s="127"/>
      <c r="F372" s="127"/>
      <c r="G372" s="127"/>
      <c r="H372" s="130"/>
      <c r="I372" s="130"/>
      <c r="J372" s="130">
        <f t="shared" si="1"/>
        <v>0</v>
      </c>
      <c r="K372" s="130"/>
      <c r="L372" s="130"/>
      <c r="M372" s="130">
        <f t="shared" si="2"/>
        <v>0</v>
      </c>
      <c r="N372" s="130"/>
      <c r="O372" s="130"/>
      <c r="P372" s="127"/>
      <c r="Q372" s="127"/>
      <c r="R372" s="127"/>
      <c r="S372" s="127"/>
      <c r="T372" s="127" t="str">
        <f>IF(A372="","",VLOOKUP(A372,'BASE OS'!$A$2:$I1000,4,FALSE))</f>
        <v/>
      </c>
      <c r="U372" s="127"/>
      <c r="V372" s="127"/>
      <c r="W372" s="127" t="str">
        <f t="shared" si="3"/>
        <v/>
      </c>
      <c r="X372" s="127" t="str">
        <f t="shared" si="4"/>
        <v/>
      </c>
      <c r="Y372" s="127" t="str">
        <f t="shared" si="5"/>
        <v/>
      </c>
    </row>
    <row r="373">
      <c r="A373" s="127"/>
      <c r="B373" s="127" t="str">
        <f>IF(A373="","",VLOOKUP(A373,'BASE OS'!$A$2:$I1000,2,FALSE))</f>
        <v/>
      </c>
      <c r="C373" s="132"/>
      <c r="D373" s="127"/>
      <c r="E373" s="127"/>
      <c r="F373" s="127"/>
      <c r="G373" s="127"/>
      <c r="H373" s="130"/>
      <c r="I373" s="130"/>
      <c r="J373" s="130">
        <f t="shared" si="1"/>
        <v>0</v>
      </c>
      <c r="K373" s="130"/>
      <c r="L373" s="130"/>
      <c r="M373" s="130">
        <f t="shared" si="2"/>
        <v>0</v>
      </c>
      <c r="N373" s="130"/>
      <c r="O373" s="130"/>
      <c r="P373" s="127"/>
      <c r="Q373" s="127"/>
      <c r="R373" s="127"/>
      <c r="S373" s="127"/>
      <c r="T373" s="127" t="str">
        <f>IF(A373="","",VLOOKUP(A373,'BASE OS'!$A$2:$I1000,4,FALSE))</f>
        <v/>
      </c>
      <c r="U373" s="127"/>
      <c r="V373" s="127"/>
      <c r="W373" s="127" t="str">
        <f t="shared" si="3"/>
        <v/>
      </c>
      <c r="X373" s="127" t="str">
        <f t="shared" si="4"/>
        <v/>
      </c>
      <c r="Y373" s="127" t="str">
        <f t="shared" si="5"/>
        <v/>
      </c>
    </row>
    <row r="374">
      <c r="A374" s="127"/>
      <c r="B374" s="127" t="str">
        <f>IF(A374="","",VLOOKUP(A374,'BASE OS'!$A$2:$I1000,2,FALSE))</f>
        <v/>
      </c>
      <c r="C374" s="132"/>
      <c r="D374" s="127"/>
      <c r="E374" s="127"/>
      <c r="F374" s="127"/>
      <c r="G374" s="127"/>
      <c r="H374" s="130"/>
      <c r="I374" s="130"/>
      <c r="J374" s="130">
        <f t="shared" si="1"/>
        <v>0</v>
      </c>
      <c r="K374" s="130"/>
      <c r="L374" s="130"/>
      <c r="M374" s="130">
        <f t="shared" si="2"/>
        <v>0</v>
      </c>
      <c r="N374" s="130"/>
      <c r="O374" s="130"/>
      <c r="P374" s="127"/>
      <c r="Q374" s="127"/>
      <c r="R374" s="127"/>
      <c r="S374" s="127"/>
      <c r="T374" s="127" t="str">
        <f>IF(A374="","",VLOOKUP(A374,'BASE OS'!$A$2:$I1000,4,FALSE))</f>
        <v/>
      </c>
      <c r="U374" s="127"/>
      <c r="V374" s="127"/>
      <c r="W374" s="127" t="str">
        <f t="shared" si="3"/>
        <v/>
      </c>
      <c r="X374" s="127" t="str">
        <f t="shared" si="4"/>
        <v/>
      </c>
      <c r="Y374" s="127" t="str">
        <f t="shared" si="5"/>
        <v/>
      </c>
    </row>
    <row r="375">
      <c r="A375" s="127"/>
      <c r="B375" s="127" t="str">
        <f>IF(A375="","",VLOOKUP(A375,'BASE OS'!$A$2:$I1000,2,FALSE))</f>
        <v/>
      </c>
      <c r="C375" s="132"/>
      <c r="D375" s="127"/>
      <c r="E375" s="127"/>
      <c r="F375" s="127"/>
      <c r="G375" s="127"/>
      <c r="H375" s="130"/>
      <c r="I375" s="130"/>
      <c r="J375" s="130">
        <f t="shared" si="1"/>
        <v>0</v>
      </c>
      <c r="K375" s="130"/>
      <c r="L375" s="130"/>
      <c r="M375" s="130">
        <f t="shared" si="2"/>
        <v>0</v>
      </c>
      <c r="N375" s="130"/>
      <c r="O375" s="130"/>
      <c r="P375" s="127"/>
      <c r="Q375" s="127"/>
      <c r="R375" s="127"/>
      <c r="S375" s="127"/>
      <c r="T375" s="127" t="str">
        <f>IF(A375="","",VLOOKUP(A375,'BASE OS'!$A$2:$I1000,4,FALSE))</f>
        <v/>
      </c>
      <c r="U375" s="127"/>
      <c r="V375" s="127"/>
      <c r="W375" s="127" t="str">
        <f t="shared" si="3"/>
        <v/>
      </c>
      <c r="X375" s="127" t="str">
        <f t="shared" si="4"/>
        <v/>
      </c>
      <c r="Y375" s="127" t="str">
        <f t="shared" si="5"/>
        <v/>
      </c>
    </row>
    <row r="376">
      <c r="A376" s="127"/>
      <c r="B376" s="127" t="str">
        <f>IF(A376="","",VLOOKUP(A376,'BASE OS'!$A$2:$I1000,2,FALSE))</f>
        <v/>
      </c>
      <c r="C376" s="132"/>
      <c r="D376" s="127"/>
      <c r="E376" s="127"/>
      <c r="F376" s="127"/>
      <c r="G376" s="127"/>
      <c r="H376" s="130"/>
      <c r="I376" s="130"/>
      <c r="J376" s="130">
        <f t="shared" si="1"/>
        <v>0</v>
      </c>
      <c r="K376" s="130"/>
      <c r="L376" s="130"/>
      <c r="M376" s="130">
        <f t="shared" si="2"/>
        <v>0</v>
      </c>
      <c r="N376" s="130"/>
      <c r="O376" s="130"/>
      <c r="P376" s="127"/>
      <c r="Q376" s="127"/>
      <c r="R376" s="127"/>
      <c r="S376" s="127"/>
      <c r="T376" s="127" t="str">
        <f>IF(A376="","",VLOOKUP(A376,'BASE OS'!$A$2:$I1000,4,FALSE))</f>
        <v/>
      </c>
      <c r="U376" s="127"/>
      <c r="V376" s="127"/>
      <c r="W376" s="127" t="str">
        <f t="shared" si="3"/>
        <v/>
      </c>
      <c r="X376" s="127" t="str">
        <f t="shared" si="4"/>
        <v/>
      </c>
      <c r="Y376" s="127" t="str">
        <f t="shared" si="5"/>
        <v/>
      </c>
    </row>
    <row r="377">
      <c r="A377" s="127"/>
      <c r="B377" s="127" t="str">
        <f>IF(A377="","",VLOOKUP(A377,'BASE OS'!$A$2:$I1000,2,FALSE))</f>
        <v/>
      </c>
      <c r="C377" s="132"/>
      <c r="D377" s="127"/>
      <c r="E377" s="127"/>
      <c r="F377" s="127"/>
      <c r="G377" s="127"/>
      <c r="H377" s="130"/>
      <c r="I377" s="130"/>
      <c r="J377" s="130">
        <f t="shared" si="1"/>
        <v>0</v>
      </c>
      <c r="K377" s="130"/>
      <c r="L377" s="130"/>
      <c r="M377" s="130">
        <f t="shared" si="2"/>
        <v>0</v>
      </c>
      <c r="N377" s="130"/>
      <c r="O377" s="130"/>
      <c r="P377" s="127"/>
      <c r="Q377" s="127"/>
      <c r="R377" s="127"/>
      <c r="S377" s="127"/>
      <c r="T377" s="127" t="str">
        <f>IF(A377="","",VLOOKUP(A377,'BASE OS'!$A$2:$I1000,4,FALSE))</f>
        <v/>
      </c>
      <c r="U377" s="127"/>
      <c r="V377" s="127"/>
      <c r="W377" s="127" t="str">
        <f t="shared" si="3"/>
        <v/>
      </c>
      <c r="X377" s="127" t="str">
        <f t="shared" si="4"/>
        <v/>
      </c>
      <c r="Y377" s="127" t="str">
        <f t="shared" si="5"/>
        <v/>
      </c>
    </row>
    <row r="378">
      <c r="A378" s="127"/>
      <c r="B378" s="127" t="str">
        <f>IF(A378="","",VLOOKUP(A378,'BASE OS'!$A$2:$I1000,2,FALSE))</f>
        <v/>
      </c>
      <c r="C378" s="132"/>
      <c r="D378" s="127"/>
      <c r="E378" s="127"/>
      <c r="F378" s="127"/>
      <c r="G378" s="127"/>
      <c r="H378" s="130"/>
      <c r="I378" s="130"/>
      <c r="J378" s="130">
        <f t="shared" si="1"/>
        <v>0</v>
      </c>
      <c r="K378" s="130"/>
      <c r="L378" s="130"/>
      <c r="M378" s="130">
        <f t="shared" si="2"/>
        <v>0</v>
      </c>
      <c r="N378" s="130"/>
      <c r="O378" s="130"/>
      <c r="P378" s="127"/>
      <c r="Q378" s="127"/>
      <c r="R378" s="127"/>
      <c r="S378" s="127"/>
      <c r="T378" s="127" t="str">
        <f>IF(A378="","",VLOOKUP(A378,'BASE OS'!$A$2:$I1000,4,FALSE))</f>
        <v/>
      </c>
      <c r="U378" s="127"/>
      <c r="V378" s="127"/>
      <c r="W378" s="127" t="str">
        <f t="shared" si="3"/>
        <v/>
      </c>
      <c r="X378" s="127" t="str">
        <f t="shared" si="4"/>
        <v/>
      </c>
      <c r="Y378" s="127" t="str">
        <f t="shared" si="5"/>
        <v/>
      </c>
    </row>
    <row r="379">
      <c r="A379" s="127"/>
      <c r="B379" s="127" t="str">
        <f>IF(A379="","",VLOOKUP(A379,'BASE OS'!$A$2:$I1000,2,FALSE))</f>
        <v/>
      </c>
      <c r="C379" s="132"/>
      <c r="D379" s="127"/>
      <c r="E379" s="127"/>
      <c r="F379" s="127"/>
      <c r="G379" s="127"/>
      <c r="H379" s="130"/>
      <c r="I379" s="130"/>
      <c r="J379" s="130">
        <f t="shared" si="1"/>
        <v>0</v>
      </c>
      <c r="K379" s="130"/>
      <c r="L379" s="130"/>
      <c r="M379" s="130">
        <f t="shared" si="2"/>
        <v>0</v>
      </c>
      <c r="N379" s="130"/>
      <c r="O379" s="130"/>
      <c r="P379" s="127"/>
      <c r="Q379" s="127"/>
      <c r="R379" s="127"/>
      <c r="S379" s="127"/>
      <c r="T379" s="127" t="str">
        <f>IF(A379="","",VLOOKUP(A379,'BASE OS'!$A$2:$I1000,4,FALSE))</f>
        <v/>
      </c>
      <c r="U379" s="127"/>
      <c r="V379" s="127"/>
      <c r="W379" s="127" t="str">
        <f t="shared" si="3"/>
        <v/>
      </c>
      <c r="X379" s="127" t="str">
        <f t="shared" si="4"/>
        <v/>
      </c>
      <c r="Y379" s="127" t="str">
        <f t="shared" si="5"/>
        <v/>
      </c>
    </row>
    <row r="380">
      <c r="A380" s="127"/>
      <c r="B380" s="127" t="str">
        <f>IF(A380="","",VLOOKUP(A380,'BASE OS'!$A$2:$I1000,2,FALSE))</f>
        <v/>
      </c>
      <c r="C380" s="132"/>
      <c r="D380" s="127"/>
      <c r="E380" s="127"/>
      <c r="F380" s="127"/>
      <c r="G380" s="127"/>
      <c r="H380" s="130"/>
      <c r="I380" s="130"/>
      <c r="J380" s="130">
        <f t="shared" si="1"/>
        <v>0</v>
      </c>
      <c r="K380" s="130"/>
      <c r="L380" s="130"/>
      <c r="M380" s="130">
        <f t="shared" si="2"/>
        <v>0</v>
      </c>
      <c r="N380" s="130"/>
      <c r="O380" s="130"/>
      <c r="P380" s="127"/>
      <c r="Q380" s="127"/>
      <c r="R380" s="127"/>
      <c r="S380" s="127"/>
      <c r="T380" s="127" t="str">
        <f>IF(A380="","",VLOOKUP(A380,'BASE OS'!$A$2:$I1000,4,FALSE))</f>
        <v/>
      </c>
      <c r="U380" s="127"/>
      <c r="V380" s="127"/>
      <c r="W380" s="127" t="str">
        <f t="shared" si="3"/>
        <v/>
      </c>
      <c r="X380" s="127" t="str">
        <f t="shared" si="4"/>
        <v/>
      </c>
      <c r="Y380" s="127" t="str">
        <f t="shared" si="5"/>
        <v/>
      </c>
    </row>
    <row r="381">
      <c r="A381" s="127"/>
      <c r="B381" s="127" t="str">
        <f>IF(A381="","",VLOOKUP(A381,'BASE OS'!$A$2:$I1000,2,FALSE))</f>
        <v/>
      </c>
      <c r="C381" s="132"/>
      <c r="D381" s="127"/>
      <c r="E381" s="127"/>
      <c r="F381" s="127"/>
      <c r="G381" s="127"/>
      <c r="H381" s="130"/>
      <c r="I381" s="130"/>
      <c r="J381" s="130">
        <f t="shared" si="1"/>
        <v>0</v>
      </c>
      <c r="K381" s="130"/>
      <c r="L381" s="130"/>
      <c r="M381" s="130">
        <f t="shared" si="2"/>
        <v>0</v>
      </c>
      <c r="N381" s="130"/>
      <c r="O381" s="130"/>
      <c r="P381" s="127"/>
      <c r="Q381" s="127"/>
      <c r="R381" s="127"/>
      <c r="S381" s="127"/>
      <c r="T381" s="127" t="str">
        <f>IF(A381="","",VLOOKUP(A381,'BASE OS'!$A$2:$I1000,4,FALSE))</f>
        <v/>
      </c>
      <c r="U381" s="127"/>
      <c r="V381" s="127"/>
      <c r="W381" s="127" t="str">
        <f t="shared" si="3"/>
        <v/>
      </c>
      <c r="X381" s="127" t="str">
        <f t="shared" si="4"/>
        <v/>
      </c>
      <c r="Y381" s="127" t="str">
        <f t="shared" si="5"/>
        <v/>
      </c>
    </row>
    <row r="382">
      <c r="A382" s="127"/>
      <c r="B382" s="127" t="str">
        <f>IF(A382="","",VLOOKUP(A382,'BASE OS'!$A$2:$I1000,2,FALSE))</f>
        <v/>
      </c>
      <c r="C382" s="132"/>
      <c r="D382" s="127"/>
      <c r="E382" s="127"/>
      <c r="F382" s="127"/>
      <c r="G382" s="127"/>
      <c r="H382" s="130"/>
      <c r="I382" s="130"/>
      <c r="J382" s="130">
        <f t="shared" si="1"/>
        <v>0</v>
      </c>
      <c r="K382" s="130"/>
      <c r="L382" s="130"/>
      <c r="M382" s="130">
        <f t="shared" si="2"/>
        <v>0</v>
      </c>
      <c r="N382" s="130"/>
      <c r="O382" s="130"/>
      <c r="P382" s="127"/>
      <c r="Q382" s="127"/>
      <c r="R382" s="127"/>
      <c r="S382" s="127"/>
      <c r="T382" s="127" t="str">
        <f>IF(A382="","",VLOOKUP(A382,'BASE OS'!$A$2:$I1000,4,FALSE))</f>
        <v/>
      </c>
      <c r="U382" s="127"/>
      <c r="V382" s="127"/>
      <c r="W382" s="127" t="str">
        <f t="shared" si="3"/>
        <v/>
      </c>
      <c r="X382" s="127" t="str">
        <f t="shared" si="4"/>
        <v/>
      </c>
      <c r="Y382" s="127" t="str">
        <f t="shared" si="5"/>
        <v/>
      </c>
    </row>
    <row r="383">
      <c r="A383" s="127"/>
      <c r="B383" s="127" t="str">
        <f>IF(A383="","",VLOOKUP(A383,'BASE OS'!$A$2:$I1000,2,FALSE))</f>
        <v/>
      </c>
      <c r="C383" s="132"/>
      <c r="D383" s="127"/>
      <c r="E383" s="127"/>
      <c r="F383" s="127"/>
      <c r="G383" s="127"/>
      <c r="H383" s="130"/>
      <c r="I383" s="130"/>
      <c r="J383" s="130">
        <f t="shared" si="1"/>
        <v>0</v>
      </c>
      <c r="K383" s="130"/>
      <c r="L383" s="130"/>
      <c r="M383" s="130">
        <f t="shared" si="2"/>
        <v>0</v>
      </c>
      <c r="N383" s="130"/>
      <c r="O383" s="130"/>
      <c r="P383" s="127"/>
      <c r="Q383" s="127"/>
      <c r="R383" s="127"/>
      <c r="S383" s="127"/>
      <c r="T383" s="127" t="str">
        <f>IF(A383="","",VLOOKUP(A383,'BASE OS'!$A$2:$I1000,4,FALSE))</f>
        <v/>
      </c>
      <c r="U383" s="127"/>
      <c r="V383" s="127"/>
      <c r="W383" s="127" t="str">
        <f t="shared" si="3"/>
        <v/>
      </c>
      <c r="X383" s="127" t="str">
        <f t="shared" si="4"/>
        <v/>
      </c>
      <c r="Y383" s="127" t="str">
        <f t="shared" si="5"/>
        <v/>
      </c>
    </row>
    <row r="384">
      <c r="A384" s="127"/>
      <c r="B384" s="127" t="str">
        <f>IF(A384="","",VLOOKUP(A384,'BASE OS'!$A$2:$I1000,2,FALSE))</f>
        <v/>
      </c>
      <c r="C384" s="132"/>
      <c r="D384" s="127"/>
      <c r="E384" s="127"/>
      <c r="F384" s="127"/>
      <c r="G384" s="127"/>
      <c r="H384" s="130"/>
      <c r="I384" s="130"/>
      <c r="J384" s="130">
        <f t="shared" si="1"/>
        <v>0</v>
      </c>
      <c r="K384" s="130"/>
      <c r="L384" s="130"/>
      <c r="M384" s="130">
        <f t="shared" si="2"/>
        <v>0</v>
      </c>
      <c r="N384" s="130"/>
      <c r="O384" s="130"/>
      <c r="P384" s="127"/>
      <c r="Q384" s="127"/>
      <c r="R384" s="127"/>
      <c r="S384" s="127"/>
      <c r="T384" s="127" t="str">
        <f>IF(A384="","",VLOOKUP(A384,'BASE OS'!$A$2:$I1000,4,FALSE))</f>
        <v/>
      </c>
      <c r="U384" s="127"/>
      <c r="V384" s="127"/>
      <c r="W384" s="127" t="str">
        <f t="shared" si="3"/>
        <v/>
      </c>
      <c r="X384" s="127" t="str">
        <f t="shared" si="4"/>
        <v/>
      </c>
      <c r="Y384" s="127" t="str">
        <f t="shared" si="5"/>
        <v/>
      </c>
    </row>
    <row r="385">
      <c r="A385" s="127"/>
      <c r="B385" s="127" t="str">
        <f>IF(A385="","",VLOOKUP(A385,'BASE OS'!$A$2:$I1000,2,FALSE))</f>
        <v/>
      </c>
      <c r="C385" s="132"/>
      <c r="D385" s="127"/>
      <c r="E385" s="127"/>
      <c r="F385" s="127"/>
      <c r="G385" s="127"/>
      <c r="H385" s="130"/>
      <c r="I385" s="130"/>
      <c r="J385" s="130">
        <f t="shared" si="1"/>
        <v>0</v>
      </c>
      <c r="K385" s="130"/>
      <c r="L385" s="130"/>
      <c r="M385" s="130">
        <f t="shared" si="2"/>
        <v>0</v>
      </c>
      <c r="N385" s="130"/>
      <c r="O385" s="130"/>
      <c r="P385" s="127"/>
      <c r="Q385" s="127"/>
      <c r="R385" s="127"/>
      <c r="S385" s="127"/>
      <c r="T385" s="127" t="str">
        <f>IF(A385="","",VLOOKUP(A385,'BASE OS'!$A$2:$I1000,4,FALSE))</f>
        <v/>
      </c>
      <c r="U385" s="127"/>
      <c r="V385" s="127"/>
      <c r="W385" s="127" t="str">
        <f t="shared" si="3"/>
        <v/>
      </c>
      <c r="X385" s="127" t="str">
        <f t="shared" si="4"/>
        <v/>
      </c>
      <c r="Y385" s="127" t="str">
        <f t="shared" si="5"/>
        <v/>
      </c>
    </row>
    <row r="386">
      <c r="A386" s="127"/>
      <c r="B386" s="127" t="str">
        <f>IF(A386="","",VLOOKUP(A386,'BASE OS'!$A$2:$I1000,2,FALSE))</f>
        <v/>
      </c>
      <c r="C386" s="132"/>
      <c r="D386" s="127"/>
      <c r="E386" s="127"/>
      <c r="F386" s="127"/>
      <c r="G386" s="127"/>
      <c r="H386" s="130"/>
      <c r="I386" s="130"/>
      <c r="J386" s="130">
        <f t="shared" si="1"/>
        <v>0</v>
      </c>
      <c r="K386" s="130"/>
      <c r="L386" s="130"/>
      <c r="M386" s="130">
        <f t="shared" si="2"/>
        <v>0</v>
      </c>
      <c r="N386" s="130"/>
      <c r="O386" s="130"/>
      <c r="P386" s="127"/>
      <c r="Q386" s="127"/>
      <c r="R386" s="127"/>
      <c r="S386" s="127"/>
      <c r="T386" s="127" t="str">
        <f>IF(A386="","",VLOOKUP(A386,'BASE OS'!$A$2:$I1000,4,FALSE))</f>
        <v/>
      </c>
      <c r="U386" s="127"/>
      <c r="V386" s="127"/>
      <c r="W386" s="127" t="str">
        <f t="shared" si="3"/>
        <v/>
      </c>
      <c r="X386" s="127" t="str">
        <f t="shared" si="4"/>
        <v/>
      </c>
      <c r="Y386" s="127" t="str">
        <f t="shared" si="5"/>
        <v/>
      </c>
    </row>
    <row r="387">
      <c r="A387" s="127"/>
      <c r="B387" s="127" t="str">
        <f>IF(A387="","",VLOOKUP(A387,'BASE OS'!$A$2:$I1000,2,FALSE))</f>
        <v/>
      </c>
      <c r="C387" s="132"/>
      <c r="D387" s="127"/>
      <c r="E387" s="127"/>
      <c r="F387" s="127"/>
      <c r="G387" s="127"/>
      <c r="H387" s="130"/>
      <c r="I387" s="130"/>
      <c r="J387" s="130">
        <f t="shared" si="1"/>
        <v>0</v>
      </c>
      <c r="K387" s="130"/>
      <c r="L387" s="130"/>
      <c r="M387" s="130">
        <f t="shared" si="2"/>
        <v>0</v>
      </c>
      <c r="N387" s="130"/>
      <c r="O387" s="130"/>
      <c r="P387" s="127"/>
      <c r="Q387" s="127"/>
      <c r="R387" s="127"/>
      <c r="S387" s="127"/>
      <c r="T387" s="127" t="str">
        <f>IF(A387="","",VLOOKUP(A387,'BASE OS'!$A$2:$I1000,4,FALSE))</f>
        <v/>
      </c>
      <c r="U387" s="127"/>
      <c r="V387" s="127"/>
      <c r="W387" s="127" t="str">
        <f t="shared" si="3"/>
        <v/>
      </c>
      <c r="X387" s="127" t="str">
        <f t="shared" si="4"/>
        <v/>
      </c>
      <c r="Y387" s="127" t="str">
        <f t="shared" si="5"/>
        <v/>
      </c>
    </row>
    <row r="388">
      <c r="A388" s="127"/>
      <c r="B388" s="127" t="str">
        <f>IF(A388="","",VLOOKUP(A388,'BASE OS'!$A$2:$I1000,2,FALSE))</f>
        <v/>
      </c>
      <c r="C388" s="132"/>
      <c r="D388" s="127"/>
      <c r="E388" s="127"/>
      <c r="F388" s="127"/>
      <c r="G388" s="127"/>
      <c r="H388" s="130"/>
      <c r="I388" s="130"/>
      <c r="J388" s="130">
        <f t="shared" si="1"/>
        <v>0</v>
      </c>
      <c r="K388" s="130"/>
      <c r="L388" s="130"/>
      <c r="M388" s="130">
        <f t="shared" si="2"/>
        <v>0</v>
      </c>
      <c r="N388" s="130"/>
      <c r="O388" s="130"/>
      <c r="P388" s="127"/>
      <c r="Q388" s="127"/>
      <c r="R388" s="127"/>
      <c r="S388" s="127"/>
      <c r="T388" s="127" t="str">
        <f>IF(A388="","",VLOOKUP(A388,'BASE OS'!$A$2:$I1000,4,FALSE))</f>
        <v/>
      </c>
      <c r="U388" s="127"/>
      <c r="V388" s="127"/>
      <c r="W388" s="127" t="str">
        <f t="shared" si="3"/>
        <v/>
      </c>
      <c r="X388" s="127" t="str">
        <f t="shared" si="4"/>
        <v/>
      </c>
      <c r="Y388" s="127" t="str">
        <f t="shared" si="5"/>
        <v/>
      </c>
    </row>
    <row r="389">
      <c r="A389" s="127"/>
      <c r="B389" s="127" t="str">
        <f>IF(A389="","",VLOOKUP(A389,'BASE OS'!$A$2:$I1000,2,FALSE))</f>
        <v/>
      </c>
      <c r="C389" s="132"/>
      <c r="D389" s="127"/>
      <c r="E389" s="127"/>
      <c r="F389" s="127"/>
      <c r="G389" s="127"/>
      <c r="H389" s="130"/>
      <c r="I389" s="130"/>
      <c r="J389" s="130">
        <f t="shared" si="1"/>
        <v>0</v>
      </c>
      <c r="K389" s="130"/>
      <c r="L389" s="130"/>
      <c r="M389" s="130">
        <f t="shared" si="2"/>
        <v>0</v>
      </c>
      <c r="N389" s="130"/>
      <c r="O389" s="130"/>
      <c r="P389" s="127"/>
      <c r="Q389" s="127"/>
      <c r="R389" s="127"/>
      <c r="S389" s="127"/>
      <c r="T389" s="127" t="str">
        <f>IF(A389="","",VLOOKUP(A389,'BASE OS'!$A$2:$I1000,4,FALSE))</f>
        <v/>
      </c>
      <c r="U389" s="127"/>
      <c r="V389" s="127"/>
      <c r="W389" s="127" t="str">
        <f t="shared" si="3"/>
        <v/>
      </c>
      <c r="X389" s="127" t="str">
        <f t="shared" si="4"/>
        <v/>
      </c>
      <c r="Y389" s="127" t="str">
        <f t="shared" si="5"/>
        <v/>
      </c>
    </row>
    <row r="390">
      <c r="A390" s="127"/>
      <c r="B390" s="127" t="str">
        <f>IF(A390="","",VLOOKUP(A390,'BASE OS'!$A$2:$I1000,2,FALSE))</f>
        <v/>
      </c>
      <c r="C390" s="132"/>
      <c r="D390" s="127"/>
      <c r="E390" s="127"/>
      <c r="F390" s="127"/>
      <c r="G390" s="127"/>
      <c r="H390" s="130"/>
      <c r="I390" s="130"/>
      <c r="J390" s="130">
        <f t="shared" si="1"/>
        <v>0</v>
      </c>
      <c r="K390" s="130"/>
      <c r="L390" s="130"/>
      <c r="M390" s="130">
        <f t="shared" si="2"/>
        <v>0</v>
      </c>
      <c r="N390" s="130"/>
      <c r="O390" s="130"/>
      <c r="P390" s="127"/>
      <c r="Q390" s="127"/>
      <c r="R390" s="127"/>
      <c r="S390" s="127"/>
      <c r="T390" s="127" t="str">
        <f>IF(A390="","",VLOOKUP(A390,'BASE OS'!$A$2:$I1000,4,FALSE))</f>
        <v/>
      </c>
      <c r="U390" s="127"/>
      <c r="V390" s="127"/>
      <c r="W390" s="127" t="str">
        <f t="shared" si="3"/>
        <v/>
      </c>
      <c r="X390" s="127" t="str">
        <f t="shared" si="4"/>
        <v/>
      </c>
      <c r="Y390" s="127" t="str">
        <f t="shared" si="5"/>
        <v/>
      </c>
    </row>
    <row r="391">
      <c r="A391" s="127"/>
      <c r="B391" s="127" t="str">
        <f>IF(A391="","",VLOOKUP(A391,'BASE OS'!$A$2:$I1000,2,FALSE))</f>
        <v/>
      </c>
      <c r="C391" s="132"/>
      <c r="D391" s="127"/>
      <c r="E391" s="127"/>
      <c r="F391" s="127"/>
      <c r="G391" s="127"/>
      <c r="H391" s="130"/>
      <c r="I391" s="130"/>
      <c r="J391" s="130">
        <f t="shared" si="1"/>
        <v>0</v>
      </c>
      <c r="K391" s="130"/>
      <c r="L391" s="130"/>
      <c r="M391" s="130">
        <f t="shared" si="2"/>
        <v>0</v>
      </c>
      <c r="N391" s="130"/>
      <c r="O391" s="130"/>
      <c r="P391" s="127"/>
      <c r="Q391" s="127"/>
      <c r="R391" s="127"/>
      <c r="S391" s="127"/>
      <c r="T391" s="127" t="str">
        <f>IF(A391="","",VLOOKUP(A391,'BASE OS'!$A$2:$I1000,4,FALSE))</f>
        <v/>
      </c>
      <c r="U391" s="127"/>
      <c r="V391" s="127"/>
      <c r="W391" s="127" t="str">
        <f t="shared" si="3"/>
        <v/>
      </c>
      <c r="X391" s="127" t="str">
        <f t="shared" si="4"/>
        <v/>
      </c>
      <c r="Y391" s="127" t="str">
        <f t="shared" si="5"/>
        <v/>
      </c>
    </row>
    <row r="392">
      <c r="A392" s="127"/>
      <c r="B392" s="127" t="str">
        <f>IF(A392="","",VLOOKUP(A392,'BASE OS'!$A$2:$I1000,2,FALSE))</f>
        <v/>
      </c>
      <c r="C392" s="132"/>
      <c r="D392" s="127"/>
      <c r="E392" s="127"/>
      <c r="F392" s="127"/>
      <c r="G392" s="127"/>
      <c r="H392" s="130"/>
      <c r="I392" s="130"/>
      <c r="J392" s="130">
        <f t="shared" si="1"/>
        <v>0</v>
      </c>
      <c r="K392" s="130"/>
      <c r="L392" s="130"/>
      <c r="M392" s="130">
        <f t="shared" si="2"/>
        <v>0</v>
      </c>
      <c r="N392" s="130"/>
      <c r="O392" s="130"/>
      <c r="P392" s="127"/>
      <c r="Q392" s="127"/>
      <c r="R392" s="127"/>
      <c r="S392" s="127"/>
      <c r="T392" s="127" t="str">
        <f>IF(A392="","",VLOOKUP(A392,'BASE OS'!$A$2:$I1000,4,FALSE))</f>
        <v/>
      </c>
      <c r="U392" s="127"/>
      <c r="V392" s="127"/>
      <c r="W392" s="127" t="str">
        <f t="shared" si="3"/>
        <v/>
      </c>
      <c r="X392" s="127" t="str">
        <f t="shared" si="4"/>
        <v/>
      </c>
      <c r="Y392" s="127" t="str">
        <f t="shared" si="5"/>
        <v/>
      </c>
    </row>
    <row r="393">
      <c r="A393" s="127"/>
      <c r="B393" s="127" t="str">
        <f>IF(A393="","",VLOOKUP(A393,'BASE OS'!$A$2:$I1000,2,FALSE))</f>
        <v/>
      </c>
      <c r="C393" s="132"/>
      <c r="D393" s="127"/>
      <c r="E393" s="127"/>
      <c r="F393" s="127"/>
      <c r="G393" s="127"/>
      <c r="H393" s="130"/>
      <c r="I393" s="130"/>
      <c r="J393" s="130">
        <f t="shared" si="1"/>
        <v>0</v>
      </c>
      <c r="K393" s="130"/>
      <c r="L393" s="130"/>
      <c r="M393" s="130">
        <f t="shared" si="2"/>
        <v>0</v>
      </c>
      <c r="N393" s="130"/>
      <c r="O393" s="130"/>
      <c r="P393" s="127"/>
      <c r="Q393" s="127"/>
      <c r="R393" s="127"/>
      <c r="S393" s="127"/>
      <c r="T393" s="127" t="str">
        <f>IF(A393="","",VLOOKUP(A393,'BASE OS'!$A$2:$I1000,4,FALSE))</f>
        <v/>
      </c>
      <c r="U393" s="127"/>
      <c r="V393" s="127"/>
      <c r="W393" s="127" t="str">
        <f t="shared" si="3"/>
        <v/>
      </c>
      <c r="X393" s="127" t="str">
        <f t="shared" si="4"/>
        <v/>
      </c>
      <c r="Y393" s="127" t="str">
        <f t="shared" si="5"/>
        <v/>
      </c>
    </row>
    <row r="394">
      <c r="A394" s="127"/>
      <c r="B394" s="127" t="str">
        <f>IF(A394="","",VLOOKUP(A394,'BASE OS'!$A$2:$I1000,2,FALSE))</f>
        <v/>
      </c>
      <c r="C394" s="132"/>
      <c r="D394" s="127"/>
      <c r="E394" s="127"/>
      <c r="F394" s="127"/>
      <c r="G394" s="127"/>
      <c r="H394" s="130"/>
      <c r="I394" s="130"/>
      <c r="J394" s="130">
        <f t="shared" si="1"/>
        <v>0</v>
      </c>
      <c r="K394" s="130"/>
      <c r="L394" s="130"/>
      <c r="M394" s="130">
        <f t="shared" si="2"/>
        <v>0</v>
      </c>
      <c r="N394" s="130"/>
      <c r="O394" s="130"/>
      <c r="P394" s="127"/>
      <c r="Q394" s="127"/>
      <c r="R394" s="127"/>
      <c r="S394" s="127"/>
      <c r="T394" s="127" t="str">
        <f>IF(A394="","",VLOOKUP(A394,'BASE OS'!$A$2:$I1000,4,FALSE))</f>
        <v/>
      </c>
      <c r="U394" s="127"/>
      <c r="V394" s="127"/>
      <c r="W394" s="127" t="str">
        <f t="shared" si="3"/>
        <v/>
      </c>
      <c r="X394" s="127" t="str">
        <f t="shared" si="4"/>
        <v/>
      </c>
      <c r="Y394" s="127" t="str">
        <f t="shared" si="5"/>
        <v/>
      </c>
    </row>
    <row r="395">
      <c r="A395" s="127"/>
      <c r="B395" s="127" t="str">
        <f>IF(A395="","",VLOOKUP(A395,'BASE OS'!$A$2:$I1000,2,FALSE))</f>
        <v/>
      </c>
      <c r="C395" s="132"/>
      <c r="D395" s="127"/>
      <c r="E395" s="127"/>
      <c r="F395" s="127"/>
      <c r="G395" s="127"/>
      <c r="H395" s="130"/>
      <c r="I395" s="130"/>
      <c r="J395" s="130">
        <f t="shared" si="1"/>
        <v>0</v>
      </c>
      <c r="K395" s="130"/>
      <c r="L395" s="130"/>
      <c r="M395" s="130">
        <f t="shared" si="2"/>
        <v>0</v>
      </c>
      <c r="N395" s="130"/>
      <c r="O395" s="130"/>
      <c r="P395" s="127"/>
      <c r="Q395" s="127"/>
      <c r="R395" s="127"/>
      <c r="S395" s="127"/>
      <c r="T395" s="127" t="str">
        <f>IF(A395="","",VLOOKUP(A395,'BASE OS'!$A$2:$I1000,4,FALSE))</f>
        <v/>
      </c>
      <c r="U395" s="127"/>
      <c r="V395" s="127"/>
      <c r="W395" s="127" t="str">
        <f t="shared" si="3"/>
        <v/>
      </c>
      <c r="X395" s="127" t="str">
        <f t="shared" si="4"/>
        <v/>
      </c>
      <c r="Y395" s="127" t="str">
        <f t="shared" si="5"/>
        <v/>
      </c>
    </row>
    <row r="396">
      <c r="A396" s="127"/>
      <c r="B396" s="127" t="str">
        <f>IF(A396="","",VLOOKUP(A396,'BASE OS'!$A$2:$I1000,2,FALSE))</f>
        <v/>
      </c>
      <c r="C396" s="132"/>
      <c r="D396" s="127"/>
      <c r="E396" s="127"/>
      <c r="F396" s="127"/>
      <c r="G396" s="127"/>
      <c r="H396" s="130"/>
      <c r="I396" s="130"/>
      <c r="J396" s="130">
        <f t="shared" si="1"/>
        <v>0</v>
      </c>
      <c r="K396" s="130"/>
      <c r="L396" s="130"/>
      <c r="M396" s="130">
        <f t="shared" si="2"/>
        <v>0</v>
      </c>
      <c r="N396" s="130"/>
      <c r="O396" s="130"/>
      <c r="P396" s="127"/>
      <c r="Q396" s="127"/>
      <c r="R396" s="127"/>
      <c r="S396" s="127"/>
      <c r="T396" s="127" t="str">
        <f>IF(A396="","",VLOOKUP(A396,'BASE OS'!$A$2:$I1000,4,FALSE))</f>
        <v/>
      </c>
      <c r="U396" s="127"/>
      <c r="V396" s="127"/>
      <c r="W396" s="127" t="str">
        <f t="shared" si="3"/>
        <v/>
      </c>
      <c r="X396" s="127" t="str">
        <f t="shared" si="4"/>
        <v/>
      </c>
      <c r="Y396" s="127" t="str">
        <f t="shared" si="5"/>
        <v/>
      </c>
    </row>
    <row r="397">
      <c r="A397" s="127"/>
      <c r="B397" s="127" t="str">
        <f>IF(A397="","",VLOOKUP(A397,'BASE OS'!$A$2:$I1000,2,FALSE))</f>
        <v/>
      </c>
      <c r="C397" s="132"/>
      <c r="D397" s="127"/>
      <c r="E397" s="127"/>
      <c r="F397" s="127"/>
      <c r="G397" s="127"/>
      <c r="H397" s="130"/>
      <c r="I397" s="130"/>
      <c r="J397" s="130">
        <f t="shared" si="1"/>
        <v>0</v>
      </c>
      <c r="K397" s="130"/>
      <c r="L397" s="130"/>
      <c r="M397" s="130">
        <f t="shared" si="2"/>
        <v>0</v>
      </c>
      <c r="N397" s="130"/>
      <c r="O397" s="130"/>
      <c r="P397" s="127"/>
      <c r="Q397" s="127"/>
      <c r="R397" s="127"/>
      <c r="S397" s="127"/>
      <c r="T397" s="127" t="str">
        <f>IF(A397="","",VLOOKUP(A397,'BASE OS'!$A$2:$I1000,4,FALSE))</f>
        <v/>
      </c>
      <c r="U397" s="127"/>
      <c r="V397" s="127"/>
      <c r="W397" s="127" t="str">
        <f t="shared" si="3"/>
        <v/>
      </c>
      <c r="X397" s="127" t="str">
        <f t="shared" si="4"/>
        <v/>
      </c>
      <c r="Y397" s="127" t="str">
        <f t="shared" si="5"/>
        <v/>
      </c>
    </row>
    <row r="398">
      <c r="A398" s="127"/>
      <c r="B398" s="127" t="str">
        <f>IF(A398="","",VLOOKUP(A398,'BASE OS'!$A$2:$I1000,2,FALSE))</f>
        <v/>
      </c>
      <c r="C398" s="132"/>
      <c r="D398" s="127"/>
      <c r="E398" s="127"/>
      <c r="F398" s="127"/>
      <c r="G398" s="127"/>
      <c r="H398" s="130"/>
      <c r="I398" s="130"/>
      <c r="J398" s="130">
        <f t="shared" si="1"/>
        <v>0</v>
      </c>
      <c r="K398" s="130"/>
      <c r="L398" s="130"/>
      <c r="M398" s="130">
        <f t="shared" si="2"/>
        <v>0</v>
      </c>
      <c r="N398" s="130"/>
      <c r="O398" s="130"/>
      <c r="P398" s="127"/>
      <c r="Q398" s="127"/>
      <c r="R398" s="127"/>
      <c r="S398" s="127"/>
      <c r="T398" s="127" t="str">
        <f>IF(A398="","",VLOOKUP(A398,'BASE OS'!$A$2:$I1000,4,FALSE))</f>
        <v/>
      </c>
      <c r="U398" s="127"/>
      <c r="V398" s="127"/>
      <c r="W398" s="127" t="str">
        <f t="shared" si="3"/>
        <v/>
      </c>
      <c r="X398" s="127" t="str">
        <f t="shared" si="4"/>
        <v/>
      </c>
      <c r="Y398" s="127" t="str">
        <f t="shared" si="5"/>
        <v/>
      </c>
    </row>
    <row r="399">
      <c r="A399" s="127"/>
      <c r="B399" s="127" t="str">
        <f>IF(A399="","",VLOOKUP(A399,'BASE OS'!$A$2:$I1000,2,FALSE))</f>
        <v/>
      </c>
      <c r="C399" s="132"/>
      <c r="D399" s="127"/>
      <c r="E399" s="127"/>
      <c r="F399" s="127"/>
      <c r="G399" s="127"/>
      <c r="H399" s="130"/>
      <c r="I399" s="130"/>
      <c r="J399" s="130">
        <f t="shared" si="1"/>
        <v>0</v>
      </c>
      <c r="K399" s="130"/>
      <c r="L399" s="130"/>
      <c r="M399" s="130">
        <f t="shared" si="2"/>
        <v>0</v>
      </c>
      <c r="N399" s="130"/>
      <c r="O399" s="130"/>
      <c r="P399" s="127"/>
      <c r="Q399" s="127"/>
      <c r="R399" s="127"/>
      <c r="S399" s="127"/>
      <c r="T399" s="127" t="str">
        <f>IF(A399="","",VLOOKUP(A399,'BASE OS'!$A$2:$I1000,4,FALSE))</f>
        <v/>
      </c>
      <c r="U399" s="127"/>
      <c r="V399" s="127"/>
      <c r="W399" s="127" t="str">
        <f t="shared" si="3"/>
        <v/>
      </c>
      <c r="X399" s="127" t="str">
        <f t="shared" si="4"/>
        <v/>
      </c>
      <c r="Y399" s="127" t="str">
        <f t="shared" si="5"/>
        <v/>
      </c>
    </row>
    <row r="400">
      <c r="A400" s="127"/>
      <c r="B400" s="127" t="str">
        <f>IF(A400="","",VLOOKUP(A400,'BASE OS'!$A$2:$I1000,2,FALSE))</f>
        <v/>
      </c>
      <c r="C400" s="132"/>
      <c r="D400" s="127"/>
      <c r="E400" s="127"/>
      <c r="F400" s="127"/>
      <c r="G400" s="127"/>
      <c r="H400" s="130"/>
      <c r="I400" s="130"/>
      <c r="J400" s="130">
        <f t="shared" si="1"/>
        <v>0</v>
      </c>
      <c r="K400" s="130"/>
      <c r="L400" s="130"/>
      <c r="M400" s="130">
        <f t="shared" si="2"/>
        <v>0</v>
      </c>
      <c r="N400" s="130"/>
      <c r="O400" s="130"/>
      <c r="P400" s="127"/>
      <c r="Q400" s="127"/>
      <c r="R400" s="127"/>
      <c r="S400" s="127"/>
      <c r="T400" s="127" t="str">
        <f>IF(A400="","",VLOOKUP(A400,'BASE OS'!$A$2:$I1000,4,FALSE))</f>
        <v/>
      </c>
      <c r="U400" s="127"/>
      <c r="V400" s="127"/>
      <c r="W400" s="127" t="str">
        <f t="shared" si="3"/>
        <v/>
      </c>
      <c r="X400" s="127" t="str">
        <f t="shared" si="4"/>
        <v/>
      </c>
      <c r="Y400" s="127" t="str">
        <f t="shared" si="5"/>
        <v/>
      </c>
    </row>
    <row r="401">
      <c r="A401" s="127"/>
      <c r="B401" s="127" t="str">
        <f>IF(A401="","",VLOOKUP(A401,'BASE OS'!$A$2:$I1000,2,FALSE))</f>
        <v/>
      </c>
      <c r="C401" s="132"/>
      <c r="D401" s="127"/>
      <c r="E401" s="127"/>
      <c r="F401" s="127"/>
      <c r="G401" s="127"/>
      <c r="H401" s="130"/>
      <c r="I401" s="130"/>
      <c r="J401" s="130">
        <f t="shared" si="1"/>
        <v>0</v>
      </c>
      <c r="K401" s="130"/>
      <c r="L401" s="130"/>
      <c r="M401" s="130">
        <f t="shared" si="2"/>
        <v>0</v>
      </c>
      <c r="N401" s="130"/>
      <c r="O401" s="130"/>
      <c r="P401" s="127"/>
      <c r="Q401" s="127"/>
      <c r="R401" s="127"/>
      <c r="S401" s="127"/>
      <c r="T401" s="127" t="str">
        <f>IF(A401="","",VLOOKUP(A401,'BASE OS'!$A$2:$I1000,4,FALSE))</f>
        <v/>
      </c>
      <c r="U401" s="127"/>
      <c r="V401" s="127"/>
      <c r="W401" s="127" t="str">
        <f t="shared" si="3"/>
        <v/>
      </c>
      <c r="X401" s="127" t="str">
        <f t="shared" si="4"/>
        <v/>
      </c>
      <c r="Y401" s="127" t="str">
        <f t="shared" si="5"/>
        <v/>
      </c>
    </row>
    <row r="402">
      <c r="A402" s="127"/>
      <c r="B402" s="127" t="str">
        <f>IF(A402="","",VLOOKUP(A402,'BASE OS'!$A$2:$I1000,2,FALSE))</f>
        <v/>
      </c>
      <c r="C402" s="132"/>
      <c r="D402" s="127"/>
      <c r="E402" s="127"/>
      <c r="F402" s="127"/>
      <c r="G402" s="127"/>
      <c r="H402" s="130"/>
      <c r="I402" s="130"/>
      <c r="J402" s="130">
        <f t="shared" si="1"/>
        <v>0</v>
      </c>
      <c r="K402" s="130"/>
      <c r="L402" s="130"/>
      <c r="M402" s="130">
        <f t="shared" si="2"/>
        <v>0</v>
      </c>
      <c r="N402" s="130"/>
      <c r="O402" s="130"/>
      <c r="P402" s="127"/>
      <c r="Q402" s="127"/>
      <c r="R402" s="127"/>
      <c r="S402" s="127"/>
      <c r="T402" s="127" t="str">
        <f>IF(A402="","",VLOOKUP(A402,'BASE OS'!$A$2:$I1000,4,FALSE))</f>
        <v/>
      </c>
      <c r="U402" s="127"/>
      <c r="V402" s="127"/>
      <c r="W402" s="127" t="str">
        <f t="shared" si="3"/>
        <v/>
      </c>
      <c r="X402" s="127" t="str">
        <f t="shared" si="4"/>
        <v/>
      </c>
      <c r="Y402" s="127" t="str">
        <f t="shared" si="5"/>
        <v/>
      </c>
    </row>
    <row r="403">
      <c r="A403" s="127"/>
      <c r="B403" s="127" t="str">
        <f>IF(A403="","",VLOOKUP(A403,'BASE OS'!$A$2:$I1000,2,FALSE))</f>
        <v/>
      </c>
      <c r="C403" s="132"/>
      <c r="D403" s="127"/>
      <c r="E403" s="127"/>
      <c r="F403" s="127"/>
      <c r="G403" s="127"/>
      <c r="H403" s="130"/>
      <c r="I403" s="130"/>
      <c r="J403" s="130">
        <f t="shared" si="1"/>
        <v>0</v>
      </c>
      <c r="K403" s="130"/>
      <c r="L403" s="130"/>
      <c r="M403" s="130">
        <f t="shared" si="2"/>
        <v>0</v>
      </c>
      <c r="N403" s="130"/>
      <c r="O403" s="130"/>
      <c r="P403" s="127"/>
      <c r="Q403" s="127"/>
      <c r="R403" s="127"/>
      <c r="S403" s="127"/>
      <c r="T403" s="127" t="str">
        <f>IF(A403="","",VLOOKUP(A403,'BASE OS'!$A$2:$I1000,4,FALSE))</f>
        <v/>
      </c>
      <c r="U403" s="127"/>
      <c r="V403" s="127"/>
      <c r="W403" s="127" t="str">
        <f t="shared" si="3"/>
        <v/>
      </c>
      <c r="X403" s="127" t="str">
        <f t="shared" si="4"/>
        <v/>
      </c>
      <c r="Y403" s="127" t="str">
        <f t="shared" si="5"/>
        <v/>
      </c>
    </row>
    <row r="404">
      <c r="A404" s="127"/>
      <c r="B404" s="127" t="str">
        <f>IF(A404="","",VLOOKUP(A404,'BASE OS'!$A$2:$I1000,2,FALSE))</f>
        <v/>
      </c>
      <c r="C404" s="132"/>
      <c r="D404" s="127"/>
      <c r="E404" s="127"/>
      <c r="F404" s="127"/>
      <c r="G404" s="127"/>
      <c r="H404" s="130"/>
      <c r="I404" s="130"/>
      <c r="J404" s="130">
        <f t="shared" si="1"/>
        <v>0</v>
      </c>
      <c r="K404" s="130"/>
      <c r="L404" s="130"/>
      <c r="M404" s="130">
        <f t="shared" si="2"/>
        <v>0</v>
      </c>
      <c r="N404" s="130"/>
      <c r="O404" s="130"/>
      <c r="P404" s="127"/>
      <c r="Q404" s="127"/>
      <c r="R404" s="127"/>
      <c r="S404" s="127"/>
      <c r="T404" s="127" t="str">
        <f>IF(A404="","",VLOOKUP(A404,'BASE OS'!$A$2:$I1000,4,FALSE))</f>
        <v/>
      </c>
      <c r="U404" s="127"/>
      <c r="V404" s="127"/>
      <c r="W404" s="127" t="str">
        <f t="shared" si="3"/>
        <v/>
      </c>
      <c r="X404" s="127" t="str">
        <f t="shared" si="4"/>
        <v/>
      </c>
      <c r="Y404" s="127" t="str">
        <f t="shared" si="5"/>
        <v/>
      </c>
    </row>
    <row r="405">
      <c r="A405" s="127"/>
      <c r="B405" s="127" t="str">
        <f>IF(A405="","",VLOOKUP(A405,'BASE OS'!$A$2:$I1000,2,FALSE))</f>
        <v/>
      </c>
      <c r="C405" s="132"/>
      <c r="D405" s="127"/>
      <c r="E405" s="127"/>
      <c r="F405" s="127"/>
      <c r="G405" s="127"/>
      <c r="H405" s="130"/>
      <c r="I405" s="130"/>
      <c r="J405" s="130">
        <f t="shared" si="1"/>
        <v>0</v>
      </c>
      <c r="K405" s="130"/>
      <c r="L405" s="130"/>
      <c r="M405" s="130">
        <f t="shared" si="2"/>
        <v>0</v>
      </c>
      <c r="N405" s="130"/>
      <c r="O405" s="130"/>
      <c r="P405" s="127"/>
      <c r="Q405" s="127"/>
      <c r="R405" s="127"/>
      <c r="S405" s="127"/>
      <c r="T405" s="127" t="str">
        <f>IF(A405="","",VLOOKUP(A405,'BASE OS'!$A$2:$I1000,4,FALSE))</f>
        <v/>
      </c>
      <c r="U405" s="127"/>
      <c r="V405" s="127"/>
      <c r="W405" s="127" t="str">
        <f t="shared" si="3"/>
        <v/>
      </c>
      <c r="X405" s="127" t="str">
        <f t="shared" si="4"/>
        <v/>
      </c>
      <c r="Y405" s="127" t="str">
        <f t="shared" si="5"/>
        <v/>
      </c>
    </row>
    <row r="406">
      <c r="A406" s="127"/>
      <c r="B406" s="127" t="str">
        <f>IF(A406="","",VLOOKUP(A406,'BASE OS'!$A$2:$I1000,2,FALSE))</f>
        <v/>
      </c>
      <c r="C406" s="132"/>
      <c r="D406" s="127"/>
      <c r="E406" s="127"/>
      <c r="F406" s="127"/>
      <c r="G406" s="127"/>
      <c r="H406" s="130"/>
      <c r="I406" s="130"/>
      <c r="J406" s="130">
        <f t="shared" si="1"/>
        <v>0</v>
      </c>
      <c r="K406" s="130"/>
      <c r="L406" s="130"/>
      <c r="M406" s="130">
        <f t="shared" si="2"/>
        <v>0</v>
      </c>
      <c r="N406" s="130"/>
      <c r="O406" s="130"/>
      <c r="P406" s="127"/>
      <c r="Q406" s="127"/>
      <c r="R406" s="127"/>
      <c r="S406" s="127"/>
      <c r="T406" s="127" t="str">
        <f>IF(A406="","",VLOOKUP(A406,'BASE OS'!$A$2:$I1000,4,FALSE))</f>
        <v/>
      </c>
      <c r="U406" s="127"/>
      <c r="V406" s="127"/>
      <c r="W406" s="127" t="str">
        <f t="shared" si="3"/>
        <v/>
      </c>
      <c r="X406" s="127" t="str">
        <f t="shared" si="4"/>
        <v/>
      </c>
      <c r="Y406" s="127" t="str">
        <f t="shared" si="5"/>
        <v/>
      </c>
    </row>
    <row r="407">
      <c r="A407" s="127"/>
      <c r="B407" s="127" t="str">
        <f>IF(A407="","",VLOOKUP(A407,'BASE OS'!$A$2:$I1000,2,FALSE))</f>
        <v/>
      </c>
      <c r="C407" s="132"/>
      <c r="D407" s="127"/>
      <c r="E407" s="127"/>
      <c r="F407" s="127"/>
      <c r="G407" s="127"/>
      <c r="H407" s="130"/>
      <c r="I407" s="130"/>
      <c r="J407" s="130">
        <f t="shared" si="1"/>
        <v>0</v>
      </c>
      <c r="K407" s="130"/>
      <c r="L407" s="130"/>
      <c r="M407" s="130">
        <f t="shared" si="2"/>
        <v>0</v>
      </c>
      <c r="N407" s="130"/>
      <c r="O407" s="130"/>
      <c r="P407" s="127"/>
      <c r="Q407" s="127"/>
      <c r="R407" s="127"/>
      <c r="S407" s="127"/>
      <c r="T407" s="127" t="str">
        <f>IF(A407="","",VLOOKUP(A407,'BASE OS'!$A$2:$I1000,4,FALSE))</f>
        <v/>
      </c>
      <c r="U407" s="127"/>
      <c r="V407" s="127"/>
      <c r="W407" s="127" t="str">
        <f t="shared" si="3"/>
        <v/>
      </c>
      <c r="X407" s="127" t="str">
        <f t="shared" si="4"/>
        <v/>
      </c>
      <c r="Y407" s="127" t="str">
        <f t="shared" si="5"/>
        <v/>
      </c>
    </row>
    <row r="408">
      <c r="A408" s="127"/>
      <c r="B408" s="127" t="str">
        <f>IF(A408="","",VLOOKUP(A408,'BASE OS'!$A$2:$I1000,2,FALSE))</f>
        <v/>
      </c>
      <c r="C408" s="132"/>
      <c r="D408" s="127"/>
      <c r="E408" s="127"/>
      <c r="F408" s="127"/>
      <c r="G408" s="127"/>
      <c r="H408" s="130"/>
      <c r="I408" s="130"/>
      <c r="J408" s="130">
        <f t="shared" si="1"/>
        <v>0</v>
      </c>
      <c r="K408" s="130"/>
      <c r="L408" s="130"/>
      <c r="M408" s="130">
        <f t="shared" si="2"/>
        <v>0</v>
      </c>
      <c r="N408" s="130"/>
      <c r="O408" s="130"/>
      <c r="P408" s="127"/>
      <c r="Q408" s="127"/>
      <c r="R408" s="127"/>
      <c r="S408" s="127"/>
      <c r="T408" s="127" t="str">
        <f>IF(A408="","",VLOOKUP(A408,'BASE OS'!$A$2:$I1000,4,FALSE))</f>
        <v/>
      </c>
      <c r="U408" s="127"/>
      <c r="V408" s="127"/>
      <c r="W408" s="127" t="str">
        <f t="shared" si="3"/>
        <v/>
      </c>
      <c r="X408" s="127" t="str">
        <f t="shared" si="4"/>
        <v/>
      </c>
      <c r="Y408" s="127" t="str">
        <f t="shared" si="5"/>
        <v/>
      </c>
    </row>
    <row r="409">
      <c r="A409" s="127"/>
      <c r="B409" s="127" t="str">
        <f>IF(A409="","",VLOOKUP(A409,'BASE OS'!$A$2:$I1000,2,FALSE))</f>
        <v/>
      </c>
      <c r="C409" s="132"/>
      <c r="D409" s="127"/>
      <c r="E409" s="127"/>
      <c r="F409" s="127"/>
      <c r="G409" s="127"/>
      <c r="H409" s="130"/>
      <c r="I409" s="130"/>
      <c r="J409" s="130">
        <f t="shared" si="1"/>
        <v>0</v>
      </c>
      <c r="K409" s="130"/>
      <c r="L409" s="130"/>
      <c r="M409" s="130">
        <f t="shared" si="2"/>
        <v>0</v>
      </c>
      <c r="N409" s="130"/>
      <c r="O409" s="130"/>
      <c r="P409" s="127"/>
      <c r="Q409" s="127"/>
      <c r="R409" s="127"/>
      <c r="S409" s="127"/>
      <c r="T409" s="127" t="str">
        <f>IF(A409="","",VLOOKUP(A409,'BASE OS'!$A$2:$I1000,4,FALSE))</f>
        <v/>
      </c>
      <c r="U409" s="127"/>
      <c r="V409" s="127"/>
      <c r="W409" s="127" t="str">
        <f t="shared" si="3"/>
        <v/>
      </c>
      <c r="X409" s="127" t="str">
        <f t="shared" si="4"/>
        <v/>
      </c>
      <c r="Y409" s="127" t="str">
        <f t="shared" si="5"/>
        <v/>
      </c>
    </row>
    <row r="410">
      <c r="A410" s="127"/>
      <c r="B410" s="127" t="str">
        <f>IF(A410="","",VLOOKUP(A410,'BASE OS'!$A$2:$I1000,2,FALSE))</f>
        <v/>
      </c>
      <c r="C410" s="132"/>
      <c r="D410" s="127"/>
      <c r="E410" s="127"/>
      <c r="F410" s="127"/>
      <c r="G410" s="127"/>
      <c r="H410" s="130"/>
      <c r="I410" s="130"/>
      <c r="J410" s="130">
        <f t="shared" si="1"/>
        <v>0</v>
      </c>
      <c r="K410" s="130"/>
      <c r="L410" s="130"/>
      <c r="M410" s="130">
        <f t="shared" si="2"/>
        <v>0</v>
      </c>
      <c r="N410" s="130"/>
      <c r="O410" s="130"/>
      <c r="P410" s="127"/>
      <c r="Q410" s="127"/>
      <c r="R410" s="127"/>
      <c r="S410" s="127"/>
      <c r="T410" s="127" t="str">
        <f>IF(A410="","",VLOOKUP(A410,'BASE OS'!$A$2:$I1000,4,FALSE))</f>
        <v/>
      </c>
      <c r="U410" s="127"/>
      <c r="V410" s="127"/>
      <c r="W410" s="127" t="str">
        <f t="shared" si="3"/>
        <v/>
      </c>
      <c r="X410" s="127" t="str">
        <f t="shared" si="4"/>
        <v/>
      </c>
      <c r="Y410" s="127" t="str">
        <f t="shared" si="5"/>
        <v/>
      </c>
    </row>
    <row r="411">
      <c r="A411" s="127"/>
      <c r="B411" s="127" t="str">
        <f>IF(A411="","",VLOOKUP(A411,'BASE OS'!$A$2:$I1000,2,FALSE))</f>
        <v/>
      </c>
      <c r="C411" s="132"/>
      <c r="D411" s="127"/>
      <c r="E411" s="127"/>
      <c r="F411" s="127"/>
      <c r="G411" s="127"/>
      <c r="H411" s="130"/>
      <c r="I411" s="130"/>
      <c r="J411" s="130">
        <f t="shared" si="1"/>
        <v>0</v>
      </c>
      <c r="K411" s="130"/>
      <c r="L411" s="130"/>
      <c r="M411" s="130">
        <f t="shared" si="2"/>
        <v>0</v>
      </c>
      <c r="N411" s="130"/>
      <c r="O411" s="130"/>
      <c r="P411" s="127"/>
      <c r="Q411" s="127"/>
      <c r="R411" s="127"/>
      <c r="S411" s="127"/>
      <c r="T411" s="127" t="str">
        <f>IF(A411="","",VLOOKUP(A411,'BASE OS'!$A$2:$I1000,4,FALSE))</f>
        <v/>
      </c>
      <c r="U411" s="127"/>
      <c r="V411" s="127"/>
      <c r="W411" s="127" t="str">
        <f t="shared" si="3"/>
        <v/>
      </c>
      <c r="X411" s="127" t="str">
        <f t="shared" si="4"/>
        <v/>
      </c>
      <c r="Y411" s="127" t="str">
        <f t="shared" si="5"/>
        <v/>
      </c>
    </row>
    <row r="412">
      <c r="A412" s="127"/>
      <c r="B412" s="127" t="str">
        <f>IF(A412="","",VLOOKUP(A412,'BASE OS'!$A$2:$I1000,2,FALSE))</f>
        <v/>
      </c>
      <c r="C412" s="132"/>
      <c r="D412" s="127"/>
      <c r="E412" s="127"/>
      <c r="F412" s="127"/>
      <c r="G412" s="127"/>
      <c r="H412" s="130"/>
      <c r="I412" s="130"/>
      <c r="J412" s="130">
        <f t="shared" si="1"/>
        <v>0</v>
      </c>
      <c r="K412" s="130"/>
      <c r="L412" s="130"/>
      <c r="M412" s="130">
        <f t="shared" si="2"/>
        <v>0</v>
      </c>
      <c r="N412" s="130"/>
      <c r="O412" s="130"/>
      <c r="P412" s="127"/>
      <c r="Q412" s="127"/>
      <c r="R412" s="127"/>
      <c r="S412" s="127"/>
      <c r="T412" s="127" t="str">
        <f>IF(A412="","",VLOOKUP(A412,'BASE OS'!$A$2:$I1000,4,FALSE))</f>
        <v/>
      </c>
      <c r="U412" s="127"/>
      <c r="V412" s="127"/>
      <c r="W412" s="127" t="str">
        <f t="shared" si="3"/>
        <v/>
      </c>
      <c r="X412" s="127" t="str">
        <f t="shared" si="4"/>
        <v/>
      </c>
      <c r="Y412" s="127" t="str">
        <f t="shared" si="5"/>
        <v/>
      </c>
    </row>
    <row r="413">
      <c r="A413" s="127"/>
      <c r="B413" s="127" t="str">
        <f>IF(A413="","",VLOOKUP(A413,'BASE OS'!$A$2:$I1000,2,FALSE))</f>
        <v/>
      </c>
      <c r="C413" s="132"/>
      <c r="D413" s="127"/>
      <c r="E413" s="127"/>
      <c r="F413" s="127"/>
      <c r="G413" s="127"/>
      <c r="H413" s="130"/>
      <c r="I413" s="130"/>
      <c r="J413" s="130">
        <f t="shared" si="1"/>
        <v>0</v>
      </c>
      <c r="K413" s="130"/>
      <c r="L413" s="130"/>
      <c r="M413" s="130">
        <f t="shared" si="2"/>
        <v>0</v>
      </c>
      <c r="N413" s="130"/>
      <c r="O413" s="130"/>
      <c r="P413" s="127"/>
      <c r="Q413" s="127"/>
      <c r="R413" s="127"/>
      <c r="S413" s="127"/>
      <c r="T413" s="127" t="str">
        <f>IF(A413="","",VLOOKUP(A413,'BASE OS'!$A$2:$I1000,4,FALSE))</f>
        <v/>
      </c>
      <c r="U413" s="127"/>
      <c r="V413" s="127"/>
      <c r="W413" s="127" t="str">
        <f t="shared" si="3"/>
        <v/>
      </c>
      <c r="X413" s="127" t="str">
        <f t="shared" si="4"/>
        <v/>
      </c>
      <c r="Y413" s="127" t="str">
        <f t="shared" si="5"/>
        <v/>
      </c>
    </row>
    <row r="414">
      <c r="A414" s="127"/>
      <c r="B414" s="127" t="str">
        <f>IF(A414="","",VLOOKUP(A414,'BASE OS'!$A$2:$I1000,2,FALSE))</f>
        <v/>
      </c>
      <c r="C414" s="132"/>
      <c r="D414" s="127"/>
      <c r="E414" s="127"/>
      <c r="F414" s="127"/>
      <c r="G414" s="127"/>
      <c r="H414" s="130"/>
      <c r="I414" s="130"/>
      <c r="J414" s="130">
        <f t="shared" si="1"/>
        <v>0</v>
      </c>
      <c r="K414" s="130"/>
      <c r="L414" s="130"/>
      <c r="M414" s="130">
        <f t="shared" si="2"/>
        <v>0</v>
      </c>
      <c r="N414" s="130"/>
      <c r="O414" s="130"/>
      <c r="P414" s="127"/>
      <c r="Q414" s="127"/>
      <c r="R414" s="127"/>
      <c r="S414" s="127"/>
      <c r="T414" s="127" t="str">
        <f>IF(A414="","",VLOOKUP(A414,'BASE OS'!$A$2:$I1000,4,FALSE))</f>
        <v/>
      </c>
      <c r="U414" s="127"/>
      <c r="V414" s="127"/>
      <c r="W414" s="127" t="str">
        <f t="shared" si="3"/>
        <v/>
      </c>
      <c r="X414" s="127" t="str">
        <f t="shared" si="4"/>
        <v/>
      </c>
      <c r="Y414" s="127" t="str">
        <f t="shared" si="5"/>
        <v/>
      </c>
    </row>
    <row r="415">
      <c r="A415" s="127"/>
      <c r="B415" s="127" t="str">
        <f>IF(A415="","",VLOOKUP(A415,'BASE OS'!$A$2:$I1000,2,FALSE))</f>
        <v/>
      </c>
      <c r="C415" s="132"/>
      <c r="D415" s="127"/>
      <c r="E415" s="127"/>
      <c r="F415" s="127"/>
      <c r="G415" s="127"/>
      <c r="H415" s="130"/>
      <c r="I415" s="130"/>
      <c r="J415" s="130">
        <f t="shared" si="1"/>
        <v>0</v>
      </c>
      <c r="K415" s="130"/>
      <c r="L415" s="130"/>
      <c r="M415" s="130">
        <f t="shared" si="2"/>
        <v>0</v>
      </c>
      <c r="N415" s="130"/>
      <c r="O415" s="130"/>
      <c r="P415" s="127"/>
      <c r="Q415" s="127"/>
      <c r="R415" s="127"/>
      <c r="S415" s="127"/>
      <c r="T415" s="127" t="str">
        <f>IF(A415="","",VLOOKUP(A415,'BASE OS'!$A$2:$I1000,4,FALSE))</f>
        <v/>
      </c>
      <c r="U415" s="127"/>
      <c r="V415" s="127"/>
      <c r="W415" s="127" t="str">
        <f t="shared" si="3"/>
        <v/>
      </c>
      <c r="X415" s="127" t="str">
        <f t="shared" si="4"/>
        <v/>
      </c>
      <c r="Y415" s="127" t="str">
        <f t="shared" si="5"/>
        <v/>
      </c>
    </row>
    <row r="416">
      <c r="A416" s="127"/>
      <c r="B416" s="127" t="str">
        <f>IF(A416="","",VLOOKUP(A416,'BASE OS'!$A$2:$I1000,2,FALSE))</f>
        <v/>
      </c>
      <c r="C416" s="132"/>
      <c r="D416" s="127"/>
      <c r="E416" s="127"/>
      <c r="F416" s="127"/>
      <c r="G416" s="127"/>
      <c r="H416" s="130"/>
      <c r="I416" s="130"/>
      <c r="J416" s="130">
        <f t="shared" si="1"/>
        <v>0</v>
      </c>
      <c r="K416" s="130"/>
      <c r="L416" s="130"/>
      <c r="M416" s="130">
        <f t="shared" si="2"/>
        <v>0</v>
      </c>
      <c r="N416" s="130"/>
      <c r="O416" s="130"/>
      <c r="P416" s="127"/>
      <c r="Q416" s="127"/>
      <c r="R416" s="127"/>
      <c r="S416" s="127"/>
      <c r="T416" s="127" t="str">
        <f>IF(A416="","",VLOOKUP(A416,'BASE OS'!$A$2:$I1000,4,FALSE))</f>
        <v/>
      </c>
      <c r="U416" s="127"/>
      <c r="V416" s="127"/>
      <c r="W416" s="127" t="str">
        <f t="shared" si="3"/>
        <v/>
      </c>
      <c r="X416" s="127" t="str">
        <f t="shared" si="4"/>
        <v/>
      </c>
      <c r="Y416" s="127" t="str">
        <f t="shared" si="5"/>
        <v/>
      </c>
    </row>
    <row r="417">
      <c r="A417" s="127"/>
      <c r="B417" s="127" t="str">
        <f>IF(A417="","",VLOOKUP(A417,'BASE OS'!$A$2:$I1000,2,FALSE))</f>
        <v/>
      </c>
      <c r="C417" s="132"/>
      <c r="D417" s="127"/>
      <c r="E417" s="127"/>
      <c r="F417" s="127"/>
      <c r="G417" s="127"/>
      <c r="H417" s="130"/>
      <c r="I417" s="130"/>
      <c r="J417" s="130">
        <f t="shared" si="1"/>
        <v>0</v>
      </c>
      <c r="K417" s="130"/>
      <c r="L417" s="130"/>
      <c r="M417" s="130">
        <f t="shared" si="2"/>
        <v>0</v>
      </c>
      <c r="N417" s="130"/>
      <c r="O417" s="130"/>
      <c r="P417" s="127"/>
      <c r="Q417" s="127"/>
      <c r="R417" s="127"/>
      <c r="S417" s="127"/>
      <c r="T417" s="127" t="str">
        <f>IF(A417="","",VLOOKUP(A417,'BASE OS'!$A$2:$I1000,4,FALSE))</f>
        <v/>
      </c>
      <c r="U417" s="127"/>
      <c r="V417" s="127"/>
      <c r="W417" s="127" t="str">
        <f t="shared" si="3"/>
        <v/>
      </c>
      <c r="X417" s="127" t="str">
        <f t="shared" si="4"/>
        <v/>
      </c>
      <c r="Y417" s="127" t="str">
        <f t="shared" si="5"/>
        <v/>
      </c>
    </row>
    <row r="418">
      <c r="A418" s="127"/>
      <c r="B418" s="127" t="str">
        <f>IF(A418="","",VLOOKUP(A418,'BASE OS'!$A$2:$I1000,2,FALSE))</f>
        <v/>
      </c>
      <c r="C418" s="132"/>
      <c r="D418" s="127"/>
      <c r="E418" s="127"/>
      <c r="F418" s="127"/>
      <c r="G418" s="127"/>
      <c r="H418" s="130"/>
      <c r="I418" s="130"/>
      <c r="J418" s="130">
        <f t="shared" si="1"/>
        <v>0</v>
      </c>
      <c r="K418" s="130"/>
      <c r="L418" s="130"/>
      <c r="M418" s="130">
        <f t="shared" si="2"/>
        <v>0</v>
      </c>
      <c r="N418" s="130"/>
      <c r="O418" s="130"/>
      <c r="P418" s="127"/>
      <c r="Q418" s="127"/>
      <c r="R418" s="127"/>
      <c r="S418" s="127"/>
      <c r="T418" s="127" t="str">
        <f>IF(A418="","",VLOOKUP(A418,'BASE OS'!$A$2:$I1000,4,FALSE))</f>
        <v/>
      </c>
      <c r="U418" s="127"/>
      <c r="V418" s="127"/>
      <c r="W418" s="127" t="str">
        <f t="shared" si="3"/>
        <v/>
      </c>
      <c r="X418" s="127" t="str">
        <f t="shared" si="4"/>
        <v/>
      </c>
      <c r="Y418" s="127" t="str">
        <f t="shared" si="5"/>
        <v/>
      </c>
    </row>
    <row r="419">
      <c r="A419" s="127"/>
      <c r="B419" s="127" t="str">
        <f>IF(A419="","",VLOOKUP(A419,'BASE OS'!$A$2:$I1000,2,FALSE))</f>
        <v/>
      </c>
      <c r="C419" s="132"/>
      <c r="D419" s="127"/>
      <c r="E419" s="127"/>
      <c r="F419" s="127"/>
      <c r="G419" s="127"/>
      <c r="H419" s="130"/>
      <c r="I419" s="130"/>
      <c r="J419" s="130">
        <f t="shared" si="1"/>
        <v>0</v>
      </c>
      <c r="K419" s="130"/>
      <c r="L419" s="130"/>
      <c r="M419" s="130">
        <f t="shared" si="2"/>
        <v>0</v>
      </c>
      <c r="N419" s="130"/>
      <c r="O419" s="130"/>
      <c r="P419" s="127"/>
      <c r="Q419" s="127"/>
      <c r="R419" s="127"/>
      <c r="S419" s="127"/>
      <c r="T419" s="127" t="str">
        <f>IF(A419="","",VLOOKUP(A419,'BASE OS'!$A$2:$I1000,4,FALSE))</f>
        <v/>
      </c>
      <c r="U419" s="127"/>
      <c r="V419" s="127"/>
      <c r="W419" s="127" t="str">
        <f t="shared" si="3"/>
        <v/>
      </c>
      <c r="X419" s="127" t="str">
        <f t="shared" si="4"/>
        <v/>
      </c>
      <c r="Y419" s="127" t="str">
        <f t="shared" si="5"/>
        <v/>
      </c>
    </row>
    <row r="420">
      <c r="A420" s="127"/>
      <c r="B420" s="127" t="str">
        <f>IF(A420="","",VLOOKUP(A420,'BASE OS'!$A$2:$I1000,2,FALSE))</f>
        <v/>
      </c>
      <c r="C420" s="132"/>
      <c r="D420" s="127"/>
      <c r="E420" s="127"/>
      <c r="F420" s="127"/>
      <c r="G420" s="127"/>
      <c r="H420" s="130"/>
      <c r="I420" s="130"/>
      <c r="J420" s="130">
        <f t="shared" si="1"/>
        <v>0</v>
      </c>
      <c r="K420" s="130"/>
      <c r="L420" s="130"/>
      <c r="M420" s="130">
        <f t="shared" si="2"/>
        <v>0</v>
      </c>
      <c r="N420" s="130"/>
      <c r="O420" s="130"/>
      <c r="P420" s="127"/>
      <c r="Q420" s="127"/>
      <c r="R420" s="127"/>
      <c r="S420" s="127"/>
      <c r="T420" s="127" t="str">
        <f>IF(A420="","",VLOOKUP(A420,'BASE OS'!$A$2:$I1000,4,FALSE))</f>
        <v/>
      </c>
      <c r="U420" s="127"/>
      <c r="V420" s="127"/>
      <c r="W420" s="127" t="str">
        <f t="shared" si="3"/>
        <v/>
      </c>
      <c r="X420" s="127" t="str">
        <f t="shared" si="4"/>
        <v/>
      </c>
      <c r="Y420" s="127" t="str">
        <f t="shared" si="5"/>
        <v/>
      </c>
    </row>
    <row r="421">
      <c r="A421" s="127"/>
      <c r="B421" s="127" t="str">
        <f>IF(A421="","",VLOOKUP(A421,'BASE OS'!$A$2:$I1000,2,FALSE))</f>
        <v/>
      </c>
      <c r="C421" s="132"/>
      <c r="D421" s="127"/>
      <c r="E421" s="127"/>
      <c r="F421" s="127"/>
      <c r="G421" s="127"/>
      <c r="H421" s="130"/>
      <c r="I421" s="130"/>
      <c r="J421" s="130">
        <f t="shared" si="1"/>
        <v>0</v>
      </c>
      <c r="K421" s="130"/>
      <c r="L421" s="130"/>
      <c r="M421" s="130">
        <f t="shared" si="2"/>
        <v>0</v>
      </c>
      <c r="N421" s="130"/>
      <c r="O421" s="130"/>
      <c r="P421" s="127"/>
      <c r="Q421" s="127"/>
      <c r="R421" s="127"/>
      <c r="S421" s="127"/>
      <c r="T421" s="127" t="str">
        <f>IF(A421="","",VLOOKUP(A421,'BASE OS'!$A$2:$I1000,4,FALSE))</f>
        <v/>
      </c>
      <c r="U421" s="127"/>
      <c r="V421" s="127"/>
      <c r="W421" s="127" t="str">
        <f t="shared" si="3"/>
        <v/>
      </c>
      <c r="X421" s="127" t="str">
        <f t="shared" si="4"/>
        <v/>
      </c>
      <c r="Y421" s="127" t="str">
        <f t="shared" si="5"/>
        <v/>
      </c>
    </row>
    <row r="422">
      <c r="A422" s="127"/>
      <c r="B422" s="127" t="str">
        <f>IF(A422="","",VLOOKUP(A422,'BASE OS'!$A$2:$I1000,2,FALSE))</f>
        <v/>
      </c>
      <c r="C422" s="132"/>
      <c r="D422" s="127"/>
      <c r="E422" s="127"/>
      <c r="F422" s="127"/>
      <c r="G422" s="127"/>
      <c r="H422" s="130"/>
      <c r="I422" s="130"/>
      <c r="J422" s="130">
        <f t="shared" si="1"/>
        <v>0</v>
      </c>
      <c r="K422" s="130"/>
      <c r="L422" s="130"/>
      <c r="M422" s="130">
        <f t="shared" si="2"/>
        <v>0</v>
      </c>
      <c r="N422" s="130"/>
      <c r="O422" s="130"/>
      <c r="P422" s="127"/>
      <c r="Q422" s="127"/>
      <c r="R422" s="127"/>
      <c r="S422" s="127"/>
      <c r="T422" s="127" t="str">
        <f>IF(A422="","",VLOOKUP(A422,'BASE OS'!$A$2:$I1000,4,FALSE))</f>
        <v/>
      </c>
      <c r="U422" s="127"/>
      <c r="V422" s="127"/>
      <c r="W422" s="127" t="str">
        <f t="shared" si="3"/>
        <v/>
      </c>
      <c r="X422" s="127" t="str">
        <f t="shared" si="4"/>
        <v/>
      </c>
      <c r="Y422" s="127" t="str">
        <f t="shared" si="5"/>
        <v/>
      </c>
    </row>
    <row r="423">
      <c r="A423" s="127"/>
      <c r="B423" s="127" t="str">
        <f>IF(A423="","",VLOOKUP(A423,'BASE OS'!$A$2:$I1000,2,FALSE))</f>
        <v/>
      </c>
      <c r="C423" s="132"/>
      <c r="D423" s="127"/>
      <c r="E423" s="127"/>
      <c r="F423" s="127"/>
      <c r="G423" s="127"/>
      <c r="H423" s="130"/>
      <c r="I423" s="130"/>
      <c r="J423" s="130">
        <f t="shared" si="1"/>
        <v>0</v>
      </c>
      <c r="K423" s="130"/>
      <c r="L423" s="130"/>
      <c r="M423" s="130">
        <f t="shared" si="2"/>
        <v>0</v>
      </c>
      <c r="N423" s="130"/>
      <c r="O423" s="130"/>
      <c r="P423" s="127"/>
      <c r="Q423" s="127"/>
      <c r="R423" s="127"/>
      <c r="S423" s="127"/>
      <c r="T423" s="127" t="str">
        <f>IF(A423="","",VLOOKUP(A423,'BASE OS'!$A$2:$I1000,4,FALSE))</f>
        <v/>
      </c>
      <c r="U423" s="127"/>
      <c r="V423" s="127"/>
      <c r="W423" s="127" t="str">
        <f t="shared" si="3"/>
        <v/>
      </c>
      <c r="X423" s="127" t="str">
        <f t="shared" si="4"/>
        <v/>
      </c>
      <c r="Y423" s="127" t="str">
        <f t="shared" si="5"/>
        <v/>
      </c>
    </row>
    <row r="424">
      <c r="A424" s="127"/>
      <c r="B424" s="127" t="str">
        <f>IF(A424="","",VLOOKUP(A424,'BASE OS'!$A$2:$I1000,2,FALSE))</f>
        <v/>
      </c>
      <c r="C424" s="132"/>
      <c r="D424" s="127"/>
      <c r="E424" s="127"/>
      <c r="F424" s="127"/>
      <c r="G424" s="127"/>
      <c r="H424" s="130"/>
      <c r="I424" s="130"/>
      <c r="J424" s="130">
        <f t="shared" si="1"/>
        <v>0</v>
      </c>
      <c r="K424" s="130"/>
      <c r="L424" s="130"/>
      <c r="M424" s="130">
        <f t="shared" si="2"/>
        <v>0</v>
      </c>
      <c r="N424" s="130"/>
      <c r="O424" s="130"/>
      <c r="P424" s="127"/>
      <c r="Q424" s="127"/>
      <c r="R424" s="127"/>
      <c r="S424" s="127"/>
      <c r="T424" s="127" t="str">
        <f>IF(A424="","",VLOOKUP(A424,'BASE OS'!$A$2:$I1000,4,FALSE))</f>
        <v/>
      </c>
      <c r="U424" s="127"/>
      <c r="V424" s="127"/>
      <c r="W424" s="127" t="str">
        <f t="shared" si="3"/>
        <v/>
      </c>
      <c r="X424" s="127" t="str">
        <f t="shared" si="4"/>
        <v/>
      </c>
      <c r="Y424" s="127" t="str">
        <f t="shared" si="5"/>
        <v/>
      </c>
    </row>
    <row r="425">
      <c r="A425" s="127"/>
      <c r="B425" s="127" t="str">
        <f>IF(A425="","",VLOOKUP(A425,'BASE OS'!$A$2:$I1000,2,FALSE))</f>
        <v/>
      </c>
      <c r="C425" s="132"/>
      <c r="D425" s="127"/>
      <c r="E425" s="127"/>
      <c r="F425" s="127"/>
      <c r="G425" s="127"/>
      <c r="H425" s="130"/>
      <c r="I425" s="130"/>
      <c r="J425" s="130">
        <f t="shared" si="1"/>
        <v>0</v>
      </c>
      <c r="K425" s="130"/>
      <c r="L425" s="130"/>
      <c r="M425" s="130">
        <f t="shared" si="2"/>
        <v>0</v>
      </c>
      <c r="N425" s="130"/>
      <c r="O425" s="130"/>
      <c r="P425" s="127"/>
      <c r="Q425" s="127"/>
      <c r="R425" s="127"/>
      <c r="S425" s="127"/>
      <c r="T425" s="127" t="str">
        <f>IF(A425="","",VLOOKUP(A425,'BASE OS'!$A$2:$I1000,4,FALSE))</f>
        <v/>
      </c>
      <c r="U425" s="127"/>
      <c r="V425" s="127"/>
      <c r="W425" s="127" t="str">
        <f t="shared" si="3"/>
        <v/>
      </c>
      <c r="X425" s="127" t="str">
        <f t="shared" si="4"/>
        <v/>
      </c>
      <c r="Y425" s="127" t="str">
        <f t="shared" si="5"/>
        <v/>
      </c>
    </row>
    <row r="426">
      <c r="A426" s="127"/>
      <c r="B426" s="127" t="str">
        <f>IF(A426="","",VLOOKUP(A426,'BASE OS'!$A$2:$I1000,2,FALSE))</f>
        <v/>
      </c>
      <c r="C426" s="132"/>
      <c r="D426" s="127"/>
      <c r="E426" s="127"/>
      <c r="F426" s="127"/>
      <c r="G426" s="127"/>
      <c r="H426" s="130"/>
      <c r="I426" s="130"/>
      <c r="J426" s="130">
        <f t="shared" si="1"/>
        <v>0</v>
      </c>
      <c r="K426" s="130"/>
      <c r="L426" s="130"/>
      <c r="M426" s="130">
        <f t="shared" si="2"/>
        <v>0</v>
      </c>
      <c r="N426" s="130"/>
      <c r="O426" s="130"/>
      <c r="P426" s="127"/>
      <c r="Q426" s="127"/>
      <c r="R426" s="127"/>
      <c r="S426" s="127"/>
      <c r="T426" s="127" t="str">
        <f>IF(A426="","",VLOOKUP(A426,'BASE OS'!$A$2:$I1000,4,FALSE))</f>
        <v/>
      </c>
      <c r="U426" s="127"/>
      <c r="V426" s="127"/>
      <c r="W426" s="127" t="str">
        <f t="shared" si="3"/>
        <v/>
      </c>
      <c r="X426" s="127" t="str">
        <f t="shared" si="4"/>
        <v/>
      </c>
      <c r="Y426" s="127" t="str">
        <f t="shared" si="5"/>
        <v/>
      </c>
    </row>
    <row r="427">
      <c r="A427" s="127"/>
      <c r="B427" s="127" t="str">
        <f>IF(A427="","",VLOOKUP(A427,'BASE OS'!$A$2:$I1000,2,FALSE))</f>
        <v/>
      </c>
      <c r="C427" s="132"/>
      <c r="D427" s="127"/>
      <c r="E427" s="127"/>
      <c r="F427" s="127"/>
      <c r="G427" s="127"/>
      <c r="H427" s="130"/>
      <c r="I427" s="130"/>
      <c r="J427" s="130">
        <f t="shared" si="1"/>
        <v>0</v>
      </c>
      <c r="K427" s="130"/>
      <c r="L427" s="130"/>
      <c r="M427" s="130">
        <f t="shared" si="2"/>
        <v>0</v>
      </c>
      <c r="N427" s="130"/>
      <c r="O427" s="130"/>
      <c r="P427" s="127"/>
      <c r="Q427" s="127"/>
      <c r="R427" s="127"/>
      <c r="S427" s="127"/>
      <c r="T427" s="127" t="str">
        <f>IF(A427="","",VLOOKUP(A427,'BASE OS'!$A$2:$I1000,4,FALSE))</f>
        <v/>
      </c>
      <c r="U427" s="127"/>
      <c r="V427" s="127"/>
      <c r="W427" s="127" t="str">
        <f t="shared" si="3"/>
        <v/>
      </c>
      <c r="X427" s="127" t="str">
        <f t="shared" si="4"/>
        <v/>
      </c>
      <c r="Y427" s="127" t="str">
        <f t="shared" si="5"/>
        <v/>
      </c>
    </row>
    <row r="428">
      <c r="A428" s="127"/>
      <c r="B428" s="127" t="str">
        <f>IF(A428="","",VLOOKUP(A428,'BASE OS'!$A$2:$I1000,2,FALSE))</f>
        <v/>
      </c>
      <c r="C428" s="132"/>
      <c r="D428" s="127"/>
      <c r="E428" s="127"/>
      <c r="F428" s="127"/>
      <c r="G428" s="127"/>
      <c r="H428" s="130"/>
      <c r="I428" s="130"/>
      <c r="J428" s="130">
        <f t="shared" si="1"/>
        <v>0</v>
      </c>
      <c r="K428" s="130"/>
      <c r="L428" s="130"/>
      <c r="M428" s="130">
        <f t="shared" si="2"/>
        <v>0</v>
      </c>
      <c r="N428" s="130"/>
      <c r="O428" s="130"/>
      <c r="P428" s="127"/>
      <c r="Q428" s="127"/>
      <c r="R428" s="127"/>
      <c r="S428" s="127"/>
      <c r="T428" s="127" t="str">
        <f>IF(A428="","",VLOOKUP(A428,'BASE OS'!$A$2:$I1000,4,FALSE))</f>
        <v/>
      </c>
      <c r="U428" s="127"/>
      <c r="V428" s="127"/>
      <c r="W428" s="127" t="str">
        <f t="shared" si="3"/>
        <v/>
      </c>
      <c r="X428" s="127" t="str">
        <f t="shared" si="4"/>
        <v/>
      </c>
      <c r="Y428" s="127" t="str">
        <f t="shared" si="5"/>
        <v/>
      </c>
    </row>
    <row r="429">
      <c r="A429" s="127"/>
      <c r="B429" s="127" t="str">
        <f>IF(A429="","",VLOOKUP(A429,'BASE OS'!$A$2:$I1000,2,FALSE))</f>
        <v/>
      </c>
      <c r="C429" s="132"/>
      <c r="D429" s="127"/>
      <c r="E429" s="127"/>
      <c r="F429" s="127"/>
      <c r="G429" s="127"/>
      <c r="H429" s="130"/>
      <c r="I429" s="130"/>
      <c r="J429" s="130">
        <f t="shared" si="1"/>
        <v>0</v>
      </c>
      <c r="K429" s="130"/>
      <c r="L429" s="130"/>
      <c r="M429" s="130">
        <f t="shared" si="2"/>
        <v>0</v>
      </c>
      <c r="N429" s="130"/>
      <c r="O429" s="130"/>
      <c r="P429" s="127"/>
      <c r="Q429" s="127"/>
      <c r="R429" s="127"/>
      <c r="S429" s="127"/>
      <c r="T429" s="127" t="str">
        <f>IF(A429="","",VLOOKUP(A429,'BASE OS'!$A$2:$I1000,4,FALSE))</f>
        <v/>
      </c>
      <c r="U429" s="127"/>
      <c r="V429" s="127"/>
      <c r="W429" s="127" t="str">
        <f t="shared" si="3"/>
        <v/>
      </c>
      <c r="X429" s="127" t="str">
        <f t="shared" si="4"/>
        <v/>
      </c>
      <c r="Y429" s="127" t="str">
        <f t="shared" si="5"/>
        <v/>
      </c>
    </row>
    <row r="430">
      <c r="A430" s="127"/>
      <c r="B430" s="127" t="str">
        <f>IF(A430="","",VLOOKUP(A430,'BASE OS'!$A$2:$I1000,2,FALSE))</f>
        <v/>
      </c>
      <c r="C430" s="132"/>
      <c r="D430" s="127"/>
      <c r="E430" s="127"/>
      <c r="F430" s="127"/>
      <c r="G430" s="127"/>
      <c r="H430" s="130"/>
      <c r="I430" s="130"/>
      <c r="J430" s="130">
        <f t="shared" si="1"/>
        <v>0</v>
      </c>
      <c r="K430" s="130"/>
      <c r="L430" s="130"/>
      <c r="M430" s="130">
        <f t="shared" si="2"/>
        <v>0</v>
      </c>
      <c r="N430" s="130"/>
      <c r="O430" s="130"/>
      <c r="P430" s="127"/>
      <c r="Q430" s="127"/>
      <c r="R430" s="127"/>
      <c r="S430" s="127"/>
      <c r="T430" s="127" t="str">
        <f>IF(A430="","",VLOOKUP(A430,'BASE OS'!$A$2:$I1000,4,FALSE))</f>
        <v/>
      </c>
      <c r="U430" s="127"/>
      <c r="V430" s="127"/>
      <c r="W430" s="127" t="str">
        <f t="shared" si="3"/>
        <v/>
      </c>
      <c r="X430" s="127" t="str">
        <f t="shared" si="4"/>
        <v/>
      </c>
      <c r="Y430" s="127" t="str">
        <f t="shared" si="5"/>
        <v/>
      </c>
    </row>
    <row r="431">
      <c r="A431" s="127"/>
      <c r="B431" s="127" t="str">
        <f>IF(A431="","",VLOOKUP(A431,'BASE OS'!$A$2:$I1000,2,FALSE))</f>
        <v/>
      </c>
      <c r="C431" s="132"/>
      <c r="D431" s="127"/>
      <c r="E431" s="127"/>
      <c r="F431" s="127"/>
      <c r="G431" s="127"/>
      <c r="H431" s="130"/>
      <c r="I431" s="130"/>
      <c r="J431" s="130">
        <f t="shared" si="1"/>
        <v>0</v>
      </c>
      <c r="K431" s="130"/>
      <c r="L431" s="130"/>
      <c r="M431" s="130">
        <f t="shared" si="2"/>
        <v>0</v>
      </c>
      <c r="N431" s="130"/>
      <c r="O431" s="130"/>
      <c r="P431" s="127"/>
      <c r="Q431" s="127"/>
      <c r="R431" s="127"/>
      <c r="S431" s="127"/>
      <c r="T431" s="127" t="str">
        <f>IF(A431="","",VLOOKUP(A431,'BASE OS'!$A$2:$I1000,4,FALSE))</f>
        <v/>
      </c>
      <c r="U431" s="127"/>
      <c r="V431" s="127"/>
      <c r="W431" s="127" t="str">
        <f t="shared" si="3"/>
        <v/>
      </c>
      <c r="X431" s="127" t="str">
        <f t="shared" si="4"/>
        <v/>
      </c>
      <c r="Y431" s="127" t="str">
        <f t="shared" si="5"/>
        <v/>
      </c>
    </row>
    <row r="432">
      <c r="A432" s="127"/>
      <c r="B432" s="127" t="str">
        <f>IF(A432="","",VLOOKUP(A432,'BASE OS'!$A$2:$I1000,2,FALSE))</f>
        <v/>
      </c>
      <c r="C432" s="132"/>
      <c r="D432" s="127"/>
      <c r="E432" s="127"/>
      <c r="F432" s="127"/>
      <c r="G432" s="127"/>
      <c r="H432" s="130"/>
      <c r="I432" s="130"/>
      <c r="J432" s="130">
        <f t="shared" si="1"/>
        <v>0</v>
      </c>
      <c r="K432" s="130"/>
      <c r="L432" s="130"/>
      <c r="M432" s="130">
        <f t="shared" si="2"/>
        <v>0</v>
      </c>
      <c r="N432" s="130"/>
      <c r="O432" s="130"/>
      <c r="P432" s="127"/>
      <c r="Q432" s="127"/>
      <c r="R432" s="127"/>
      <c r="S432" s="127"/>
      <c r="T432" s="127" t="str">
        <f>IF(A432="","",VLOOKUP(A432,'BASE OS'!$A$2:$I1000,4,FALSE))</f>
        <v/>
      </c>
      <c r="U432" s="127"/>
      <c r="V432" s="127"/>
      <c r="W432" s="127" t="str">
        <f t="shared" si="3"/>
        <v/>
      </c>
      <c r="X432" s="127" t="str">
        <f t="shared" si="4"/>
        <v/>
      </c>
      <c r="Y432" s="127" t="str">
        <f t="shared" si="5"/>
        <v/>
      </c>
    </row>
    <row r="433">
      <c r="A433" s="127"/>
      <c r="B433" s="127" t="str">
        <f>IF(A433="","",VLOOKUP(A433,'BASE OS'!$A$2:$I1000,2,FALSE))</f>
        <v/>
      </c>
      <c r="C433" s="132"/>
      <c r="D433" s="127"/>
      <c r="E433" s="127"/>
      <c r="F433" s="127"/>
      <c r="G433" s="127"/>
      <c r="H433" s="130"/>
      <c r="I433" s="130"/>
      <c r="J433" s="130">
        <f t="shared" si="1"/>
        <v>0</v>
      </c>
      <c r="K433" s="130"/>
      <c r="L433" s="130"/>
      <c r="M433" s="130">
        <f t="shared" si="2"/>
        <v>0</v>
      </c>
      <c r="N433" s="130"/>
      <c r="O433" s="130"/>
      <c r="P433" s="127"/>
      <c r="Q433" s="127"/>
      <c r="R433" s="127"/>
      <c r="S433" s="127"/>
      <c r="T433" s="127" t="str">
        <f>IF(A433="","",VLOOKUP(A433,'BASE OS'!$A$2:$I1000,4,FALSE))</f>
        <v/>
      </c>
      <c r="U433" s="127"/>
      <c r="V433" s="127"/>
      <c r="W433" s="127" t="str">
        <f t="shared" si="3"/>
        <v/>
      </c>
      <c r="X433" s="127" t="str">
        <f t="shared" si="4"/>
        <v/>
      </c>
      <c r="Y433" s="127" t="str">
        <f t="shared" si="5"/>
        <v/>
      </c>
    </row>
    <row r="434">
      <c r="A434" s="127"/>
      <c r="B434" s="127" t="str">
        <f>IF(A434="","",VLOOKUP(A434,'BASE OS'!$A$2:$I1000,2,FALSE))</f>
        <v/>
      </c>
      <c r="C434" s="132"/>
      <c r="D434" s="127"/>
      <c r="E434" s="127"/>
      <c r="F434" s="127"/>
      <c r="G434" s="127"/>
      <c r="H434" s="130"/>
      <c r="I434" s="130"/>
      <c r="J434" s="130">
        <f t="shared" si="1"/>
        <v>0</v>
      </c>
      <c r="K434" s="130"/>
      <c r="L434" s="130"/>
      <c r="M434" s="130">
        <f t="shared" si="2"/>
        <v>0</v>
      </c>
      <c r="N434" s="130"/>
      <c r="O434" s="130"/>
      <c r="P434" s="127"/>
      <c r="Q434" s="127"/>
      <c r="R434" s="127"/>
      <c r="S434" s="127"/>
      <c r="T434" s="127" t="str">
        <f>IF(A434="","",VLOOKUP(A434,'BASE OS'!$A$2:$I1000,4,FALSE))</f>
        <v/>
      </c>
      <c r="U434" s="127"/>
      <c r="V434" s="127"/>
      <c r="W434" s="127" t="str">
        <f t="shared" si="3"/>
        <v/>
      </c>
      <c r="X434" s="127" t="str">
        <f t="shared" si="4"/>
        <v/>
      </c>
      <c r="Y434" s="127" t="str">
        <f t="shared" si="5"/>
        <v/>
      </c>
    </row>
    <row r="435">
      <c r="A435" s="127"/>
      <c r="B435" s="127" t="str">
        <f>IF(A435="","",VLOOKUP(A435,'BASE OS'!$A$2:$I1000,2,FALSE))</f>
        <v/>
      </c>
      <c r="C435" s="132"/>
      <c r="D435" s="127"/>
      <c r="E435" s="127"/>
      <c r="F435" s="127"/>
      <c r="G435" s="127"/>
      <c r="H435" s="130"/>
      <c r="I435" s="130"/>
      <c r="J435" s="130">
        <f t="shared" si="1"/>
        <v>0</v>
      </c>
      <c r="K435" s="130"/>
      <c r="L435" s="130"/>
      <c r="M435" s="130">
        <f t="shared" si="2"/>
        <v>0</v>
      </c>
      <c r="N435" s="130"/>
      <c r="O435" s="130"/>
      <c r="P435" s="127"/>
      <c r="Q435" s="127"/>
      <c r="R435" s="127"/>
      <c r="S435" s="127"/>
      <c r="T435" s="127" t="str">
        <f>IF(A435="","",VLOOKUP(A435,'BASE OS'!$A$2:$I1000,4,FALSE))</f>
        <v/>
      </c>
      <c r="U435" s="127"/>
      <c r="V435" s="127"/>
      <c r="W435" s="127" t="str">
        <f t="shared" si="3"/>
        <v/>
      </c>
      <c r="X435" s="127" t="str">
        <f t="shared" si="4"/>
        <v/>
      </c>
      <c r="Y435" s="127" t="str">
        <f t="shared" si="5"/>
        <v/>
      </c>
    </row>
    <row r="436">
      <c r="A436" s="127"/>
      <c r="B436" s="127" t="str">
        <f>IF(A436="","",VLOOKUP(A436,'BASE OS'!$A$2:$I1000,2,FALSE))</f>
        <v/>
      </c>
      <c r="C436" s="132"/>
      <c r="D436" s="127"/>
      <c r="E436" s="127"/>
      <c r="F436" s="127"/>
      <c r="G436" s="127"/>
      <c r="H436" s="130"/>
      <c r="I436" s="130"/>
      <c r="J436" s="130">
        <f t="shared" si="1"/>
        <v>0</v>
      </c>
      <c r="K436" s="130"/>
      <c r="L436" s="130"/>
      <c r="M436" s="130">
        <f t="shared" si="2"/>
        <v>0</v>
      </c>
      <c r="N436" s="130"/>
      <c r="O436" s="130"/>
      <c r="P436" s="127"/>
      <c r="Q436" s="127"/>
      <c r="R436" s="127"/>
      <c r="S436" s="127"/>
      <c r="T436" s="127" t="str">
        <f>IF(A436="","",VLOOKUP(A436,'BASE OS'!$A$2:$I1000,4,FALSE))</f>
        <v/>
      </c>
      <c r="U436" s="127"/>
      <c r="V436" s="127"/>
      <c r="W436" s="127" t="str">
        <f t="shared" si="3"/>
        <v/>
      </c>
      <c r="X436" s="127" t="str">
        <f t="shared" si="4"/>
        <v/>
      </c>
      <c r="Y436" s="127" t="str">
        <f t="shared" si="5"/>
        <v/>
      </c>
    </row>
    <row r="437">
      <c r="A437" s="127"/>
      <c r="B437" s="127" t="str">
        <f>IF(A437="","",VLOOKUP(A437,'BASE OS'!$A$2:$I1000,2,FALSE))</f>
        <v/>
      </c>
      <c r="C437" s="132"/>
      <c r="D437" s="127"/>
      <c r="E437" s="127"/>
      <c r="F437" s="127"/>
      <c r="G437" s="127"/>
      <c r="H437" s="130"/>
      <c r="I437" s="130"/>
      <c r="J437" s="130">
        <f t="shared" si="1"/>
        <v>0</v>
      </c>
      <c r="K437" s="130"/>
      <c r="L437" s="130"/>
      <c r="M437" s="130">
        <f t="shared" si="2"/>
        <v>0</v>
      </c>
      <c r="N437" s="130"/>
      <c r="O437" s="130"/>
      <c r="P437" s="127"/>
      <c r="Q437" s="127"/>
      <c r="R437" s="127"/>
      <c r="S437" s="127"/>
      <c r="T437" s="127" t="str">
        <f>IF(A437="","",VLOOKUP(A437,'BASE OS'!$A$2:$I1000,4,FALSE))</f>
        <v/>
      </c>
      <c r="U437" s="127"/>
      <c r="V437" s="127"/>
      <c r="W437" s="127" t="str">
        <f t="shared" si="3"/>
        <v/>
      </c>
      <c r="X437" s="127" t="str">
        <f t="shared" si="4"/>
        <v/>
      </c>
      <c r="Y437" s="127" t="str">
        <f t="shared" si="5"/>
        <v/>
      </c>
    </row>
    <row r="438">
      <c r="A438" s="127"/>
      <c r="B438" s="127" t="str">
        <f>IF(A438="","",VLOOKUP(A438,'BASE OS'!$A$2:$I1000,2,FALSE))</f>
        <v/>
      </c>
      <c r="C438" s="132"/>
      <c r="D438" s="127"/>
      <c r="E438" s="127"/>
      <c r="F438" s="127"/>
      <c r="G438" s="127"/>
      <c r="H438" s="130"/>
      <c r="I438" s="130"/>
      <c r="J438" s="130">
        <f t="shared" si="1"/>
        <v>0</v>
      </c>
      <c r="K438" s="130"/>
      <c r="L438" s="130"/>
      <c r="M438" s="130">
        <f t="shared" si="2"/>
        <v>0</v>
      </c>
      <c r="N438" s="130"/>
      <c r="O438" s="130"/>
      <c r="P438" s="127"/>
      <c r="Q438" s="127"/>
      <c r="R438" s="127"/>
      <c r="S438" s="127"/>
      <c r="T438" s="127" t="str">
        <f>IF(A438="","",VLOOKUP(A438,'BASE OS'!$A$2:$I1000,4,FALSE))</f>
        <v/>
      </c>
      <c r="U438" s="127"/>
      <c r="V438" s="127"/>
      <c r="W438" s="127" t="str">
        <f t="shared" si="3"/>
        <v/>
      </c>
      <c r="X438" s="127" t="str">
        <f t="shared" si="4"/>
        <v/>
      </c>
      <c r="Y438" s="127" t="str">
        <f t="shared" si="5"/>
        <v/>
      </c>
    </row>
    <row r="439">
      <c r="A439" s="127"/>
      <c r="B439" s="127" t="str">
        <f>IF(A439="","",VLOOKUP(A439,'BASE OS'!$A$2:$I1000,2,FALSE))</f>
        <v/>
      </c>
      <c r="C439" s="132"/>
      <c r="D439" s="127"/>
      <c r="E439" s="127"/>
      <c r="F439" s="127"/>
      <c r="G439" s="127"/>
      <c r="H439" s="130"/>
      <c r="I439" s="130"/>
      <c r="J439" s="130">
        <f t="shared" si="1"/>
        <v>0</v>
      </c>
      <c r="K439" s="130"/>
      <c r="L439" s="130"/>
      <c r="M439" s="130">
        <f t="shared" si="2"/>
        <v>0</v>
      </c>
      <c r="N439" s="130"/>
      <c r="O439" s="130"/>
      <c r="P439" s="127"/>
      <c r="Q439" s="127"/>
      <c r="R439" s="127"/>
      <c r="S439" s="127"/>
      <c r="T439" s="127" t="str">
        <f>IF(A439="","",VLOOKUP(A439,'BASE OS'!$A$2:$I1000,4,FALSE))</f>
        <v/>
      </c>
      <c r="U439" s="127"/>
      <c r="V439" s="127"/>
      <c r="W439" s="127" t="str">
        <f t="shared" si="3"/>
        <v/>
      </c>
      <c r="X439" s="127" t="str">
        <f t="shared" si="4"/>
        <v/>
      </c>
      <c r="Y439" s="127" t="str">
        <f t="shared" si="5"/>
        <v/>
      </c>
    </row>
    <row r="440">
      <c r="A440" s="127"/>
      <c r="B440" s="127" t="str">
        <f>IF(A440="","",VLOOKUP(A440,'BASE OS'!$A$2:$I1000,2,FALSE))</f>
        <v/>
      </c>
      <c r="C440" s="132"/>
      <c r="D440" s="127"/>
      <c r="E440" s="127"/>
      <c r="F440" s="127"/>
      <c r="G440" s="127"/>
      <c r="H440" s="130"/>
      <c r="I440" s="130"/>
      <c r="J440" s="130">
        <f t="shared" si="1"/>
        <v>0</v>
      </c>
      <c r="K440" s="130"/>
      <c r="L440" s="130"/>
      <c r="M440" s="130">
        <f t="shared" si="2"/>
        <v>0</v>
      </c>
      <c r="N440" s="130"/>
      <c r="O440" s="130"/>
      <c r="P440" s="127"/>
      <c r="Q440" s="127"/>
      <c r="R440" s="127"/>
      <c r="S440" s="127"/>
      <c r="T440" s="127" t="str">
        <f>IF(A440="","",VLOOKUP(A440,'BASE OS'!$A$2:$I1000,4,FALSE))</f>
        <v/>
      </c>
      <c r="U440" s="127"/>
      <c r="V440" s="127"/>
      <c r="W440" s="127" t="str">
        <f t="shared" si="3"/>
        <v/>
      </c>
      <c r="X440" s="127" t="str">
        <f t="shared" si="4"/>
        <v/>
      </c>
      <c r="Y440" s="127" t="str">
        <f t="shared" si="5"/>
        <v/>
      </c>
    </row>
    <row r="441">
      <c r="A441" s="127"/>
      <c r="B441" s="127" t="str">
        <f>IF(A441="","",VLOOKUP(A441,'BASE OS'!$A$2:$I1000,2,FALSE))</f>
        <v/>
      </c>
      <c r="C441" s="132"/>
      <c r="D441" s="127"/>
      <c r="E441" s="127"/>
      <c r="F441" s="127"/>
      <c r="G441" s="127"/>
      <c r="H441" s="130"/>
      <c r="I441" s="130"/>
      <c r="J441" s="130">
        <f t="shared" si="1"/>
        <v>0</v>
      </c>
      <c r="K441" s="130"/>
      <c r="L441" s="130"/>
      <c r="M441" s="130">
        <f t="shared" si="2"/>
        <v>0</v>
      </c>
      <c r="N441" s="130"/>
      <c r="O441" s="130"/>
      <c r="P441" s="127"/>
      <c r="Q441" s="127"/>
      <c r="R441" s="127"/>
      <c r="S441" s="127"/>
      <c r="T441" s="127" t="str">
        <f>IF(A441="","",VLOOKUP(A441,'BASE OS'!$A$2:$I1000,4,FALSE))</f>
        <v/>
      </c>
      <c r="U441" s="127"/>
      <c r="V441" s="127"/>
      <c r="W441" s="127" t="str">
        <f t="shared" si="3"/>
        <v/>
      </c>
      <c r="X441" s="127" t="str">
        <f t="shared" si="4"/>
        <v/>
      </c>
      <c r="Y441" s="127" t="str">
        <f t="shared" si="5"/>
        <v/>
      </c>
    </row>
    <row r="442">
      <c r="A442" s="127"/>
      <c r="B442" s="127" t="str">
        <f>IF(A442="","",VLOOKUP(A442,'BASE OS'!$A$2:$I1000,2,FALSE))</f>
        <v/>
      </c>
      <c r="C442" s="132"/>
      <c r="D442" s="127"/>
      <c r="E442" s="127"/>
      <c r="F442" s="127"/>
      <c r="G442" s="127"/>
      <c r="H442" s="130"/>
      <c r="I442" s="130"/>
      <c r="J442" s="130">
        <f t="shared" si="1"/>
        <v>0</v>
      </c>
      <c r="K442" s="130"/>
      <c r="L442" s="130"/>
      <c r="M442" s="130">
        <f t="shared" si="2"/>
        <v>0</v>
      </c>
      <c r="N442" s="130"/>
      <c r="O442" s="130"/>
      <c r="P442" s="127"/>
      <c r="Q442" s="127"/>
      <c r="R442" s="127"/>
      <c r="S442" s="127"/>
      <c r="T442" s="127" t="str">
        <f>IF(A442="","",VLOOKUP(A442,'BASE OS'!$A$2:$I1000,4,FALSE))</f>
        <v/>
      </c>
      <c r="U442" s="127"/>
      <c r="V442" s="127"/>
      <c r="W442" s="127" t="str">
        <f t="shared" si="3"/>
        <v/>
      </c>
      <c r="X442" s="127" t="str">
        <f t="shared" si="4"/>
        <v/>
      </c>
      <c r="Y442" s="127" t="str">
        <f t="shared" si="5"/>
        <v/>
      </c>
    </row>
    <row r="443">
      <c r="A443" s="127"/>
      <c r="B443" s="127" t="str">
        <f>IF(A443="","",VLOOKUP(A443,'BASE OS'!$A$2:$I1000,2,FALSE))</f>
        <v/>
      </c>
      <c r="C443" s="132"/>
      <c r="D443" s="127"/>
      <c r="E443" s="127"/>
      <c r="F443" s="127"/>
      <c r="G443" s="127"/>
      <c r="H443" s="130"/>
      <c r="I443" s="130"/>
      <c r="J443" s="130">
        <f t="shared" si="1"/>
        <v>0</v>
      </c>
      <c r="K443" s="130"/>
      <c r="L443" s="130"/>
      <c r="M443" s="130">
        <f t="shared" si="2"/>
        <v>0</v>
      </c>
      <c r="N443" s="130"/>
      <c r="O443" s="130"/>
      <c r="P443" s="127"/>
      <c r="Q443" s="127"/>
      <c r="R443" s="127"/>
      <c r="S443" s="127"/>
      <c r="T443" s="127" t="str">
        <f>IF(A443="","",VLOOKUP(A443,'BASE OS'!$A$2:$I1000,4,FALSE))</f>
        <v/>
      </c>
      <c r="U443" s="127"/>
      <c r="V443" s="127"/>
      <c r="W443" s="127" t="str">
        <f t="shared" si="3"/>
        <v/>
      </c>
      <c r="X443" s="127" t="str">
        <f t="shared" si="4"/>
        <v/>
      </c>
      <c r="Y443" s="127" t="str">
        <f t="shared" si="5"/>
        <v/>
      </c>
    </row>
    <row r="444">
      <c r="A444" s="127"/>
      <c r="B444" s="127" t="str">
        <f>IF(A444="","",VLOOKUP(A444,'BASE OS'!$A$2:$I1000,2,FALSE))</f>
        <v/>
      </c>
      <c r="C444" s="132"/>
      <c r="D444" s="127"/>
      <c r="E444" s="127"/>
      <c r="F444" s="127"/>
      <c r="G444" s="127"/>
      <c r="H444" s="130"/>
      <c r="I444" s="130"/>
      <c r="J444" s="130">
        <f t="shared" si="1"/>
        <v>0</v>
      </c>
      <c r="K444" s="130"/>
      <c r="L444" s="130"/>
      <c r="M444" s="130">
        <f t="shared" si="2"/>
        <v>0</v>
      </c>
      <c r="N444" s="130"/>
      <c r="O444" s="130"/>
      <c r="P444" s="127"/>
      <c r="Q444" s="127"/>
      <c r="R444" s="127"/>
      <c r="S444" s="127"/>
      <c r="T444" s="127" t="str">
        <f>IF(A444="","",VLOOKUP(A444,'BASE OS'!$A$2:$I1000,4,FALSE))</f>
        <v/>
      </c>
      <c r="U444" s="127"/>
      <c r="V444" s="127"/>
      <c r="W444" s="127" t="str">
        <f t="shared" si="3"/>
        <v/>
      </c>
      <c r="X444" s="127" t="str">
        <f t="shared" si="4"/>
        <v/>
      </c>
      <c r="Y444" s="127" t="str">
        <f t="shared" si="5"/>
        <v/>
      </c>
    </row>
    <row r="445">
      <c r="A445" s="127"/>
      <c r="B445" s="127" t="str">
        <f>IF(A445="","",VLOOKUP(A445,'BASE OS'!$A$2:$I1000,2,FALSE))</f>
        <v/>
      </c>
      <c r="C445" s="132"/>
      <c r="D445" s="127"/>
      <c r="E445" s="127"/>
      <c r="F445" s="127"/>
      <c r="G445" s="127"/>
      <c r="H445" s="130"/>
      <c r="I445" s="130"/>
      <c r="J445" s="130">
        <f t="shared" si="1"/>
        <v>0</v>
      </c>
      <c r="K445" s="130"/>
      <c r="L445" s="130"/>
      <c r="M445" s="130">
        <f t="shared" si="2"/>
        <v>0</v>
      </c>
      <c r="N445" s="130"/>
      <c r="O445" s="130"/>
      <c r="P445" s="127"/>
      <c r="Q445" s="127"/>
      <c r="R445" s="127"/>
      <c r="S445" s="127"/>
      <c r="T445" s="127" t="str">
        <f>IF(A445="","",VLOOKUP(A445,'BASE OS'!$A$2:$I1000,4,FALSE))</f>
        <v/>
      </c>
      <c r="U445" s="127"/>
      <c r="V445" s="127"/>
      <c r="W445" s="127" t="str">
        <f t="shared" si="3"/>
        <v/>
      </c>
      <c r="X445" s="127" t="str">
        <f t="shared" si="4"/>
        <v/>
      </c>
      <c r="Y445" s="127" t="str">
        <f t="shared" si="5"/>
        <v/>
      </c>
    </row>
    <row r="446">
      <c r="A446" s="127"/>
      <c r="B446" s="127" t="str">
        <f>IF(A446="","",VLOOKUP(A446,'BASE OS'!$A$2:$I1000,2,FALSE))</f>
        <v/>
      </c>
      <c r="C446" s="132"/>
      <c r="D446" s="127"/>
      <c r="E446" s="127"/>
      <c r="F446" s="127"/>
      <c r="G446" s="127"/>
      <c r="H446" s="130"/>
      <c r="I446" s="130"/>
      <c r="J446" s="130">
        <f t="shared" si="1"/>
        <v>0</v>
      </c>
      <c r="K446" s="130"/>
      <c r="L446" s="130"/>
      <c r="M446" s="130">
        <f t="shared" si="2"/>
        <v>0</v>
      </c>
      <c r="N446" s="130"/>
      <c r="O446" s="130"/>
      <c r="P446" s="127"/>
      <c r="Q446" s="127"/>
      <c r="R446" s="127"/>
      <c r="S446" s="127"/>
      <c r="T446" s="127" t="str">
        <f>IF(A446="","",VLOOKUP(A446,'BASE OS'!$A$2:$I1000,4,FALSE))</f>
        <v/>
      </c>
      <c r="U446" s="127"/>
      <c r="V446" s="127"/>
      <c r="W446" s="127" t="str">
        <f t="shared" si="3"/>
        <v/>
      </c>
      <c r="X446" s="127" t="str">
        <f t="shared" si="4"/>
        <v/>
      </c>
      <c r="Y446" s="127" t="str">
        <f t="shared" si="5"/>
        <v/>
      </c>
    </row>
    <row r="447">
      <c r="A447" s="127"/>
      <c r="B447" s="127" t="str">
        <f>IF(A447="","",VLOOKUP(A447,'BASE OS'!$A$2:$I1000,2,FALSE))</f>
        <v/>
      </c>
      <c r="C447" s="132"/>
      <c r="D447" s="127"/>
      <c r="E447" s="127"/>
      <c r="F447" s="127"/>
      <c r="G447" s="127"/>
      <c r="H447" s="130"/>
      <c r="I447" s="130"/>
      <c r="J447" s="130">
        <f t="shared" si="1"/>
        <v>0</v>
      </c>
      <c r="K447" s="130"/>
      <c r="L447" s="130"/>
      <c r="M447" s="130">
        <f t="shared" si="2"/>
        <v>0</v>
      </c>
      <c r="N447" s="130"/>
      <c r="O447" s="130"/>
      <c r="P447" s="127"/>
      <c r="Q447" s="127"/>
      <c r="R447" s="127"/>
      <c r="S447" s="127"/>
      <c r="T447" s="127" t="str">
        <f>IF(A447="","",VLOOKUP(A447,'BASE OS'!$A$2:$I1000,4,FALSE))</f>
        <v/>
      </c>
      <c r="U447" s="127"/>
      <c r="V447" s="127"/>
      <c r="W447" s="127" t="str">
        <f t="shared" si="3"/>
        <v/>
      </c>
      <c r="X447" s="127" t="str">
        <f t="shared" si="4"/>
        <v/>
      </c>
      <c r="Y447" s="127" t="str">
        <f t="shared" si="5"/>
        <v/>
      </c>
    </row>
    <row r="448">
      <c r="A448" s="127"/>
      <c r="B448" s="127" t="str">
        <f>IF(A448="","",VLOOKUP(A448,'BASE OS'!$A$2:$I1000,2,FALSE))</f>
        <v/>
      </c>
      <c r="C448" s="132"/>
      <c r="D448" s="127"/>
      <c r="E448" s="127"/>
      <c r="F448" s="127"/>
      <c r="G448" s="127"/>
      <c r="H448" s="130"/>
      <c r="I448" s="130"/>
      <c r="J448" s="130">
        <f t="shared" si="1"/>
        <v>0</v>
      </c>
      <c r="K448" s="130"/>
      <c r="L448" s="130"/>
      <c r="M448" s="130">
        <f t="shared" si="2"/>
        <v>0</v>
      </c>
      <c r="N448" s="130"/>
      <c r="O448" s="130"/>
      <c r="P448" s="127"/>
      <c r="Q448" s="127"/>
      <c r="R448" s="127"/>
      <c r="S448" s="127"/>
      <c r="T448" s="127" t="str">
        <f>IF(A448="","",VLOOKUP(A448,'BASE OS'!$A$2:$I1000,4,FALSE))</f>
        <v/>
      </c>
      <c r="U448" s="127"/>
      <c r="V448" s="127"/>
      <c r="W448" s="127" t="str">
        <f t="shared" si="3"/>
        <v/>
      </c>
      <c r="X448" s="127" t="str">
        <f t="shared" si="4"/>
        <v/>
      </c>
      <c r="Y448" s="127" t="str">
        <f t="shared" si="5"/>
        <v/>
      </c>
    </row>
    <row r="449">
      <c r="A449" s="127"/>
      <c r="B449" s="127" t="str">
        <f>IF(A449="","",VLOOKUP(A449,'BASE OS'!$A$2:$I1000,2,FALSE))</f>
        <v/>
      </c>
      <c r="C449" s="132"/>
      <c r="D449" s="127"/>
      <c r="E449" s="127"/>
      <c r="F449" s="127"/>
      <c r="G449" s="127"/>
      <c r="H449" s="130"/>
      <c r="I449" s="130"/>
      <c r="J449" s="130">
        <f t="shared" si="1"/>
        <v>0</v>
      </c>
      <c r="K449" s="130"/>
      <c r="L449" s="130"/>
      <c r="M449" s="130">
        <f t="shared" si="2"/>
        <v>0</v>
      </c>
      <c r="N449" s="130"/>
      <c r="O449" s="130"/>
      <c r="P449" s="127"/>
      <c r="Q449" s="127"/>
      <c r="R449" s="127"/>
      <c r="S449" s="127"/>
      <c r="T449" s="127" t="str">
        <f>IF(A449="","",VLOOKUP(A449,'BASE OS'!$A$2:$I1000,4,FALSE))</f>
        <v/>
      </c>
      <c r="U449" s="127"/>
      <c r="V449" s="127"/>
      <c r="W449" s="127" t="str">
        <f t="shared" si="3"/>
        <v/>
      </c>
      <c r="X449" s="127" t="str">
        <f t="shared" si="4"/>
        <v/>
      </c>
      <c r="Y449" s="127" t="str">
        <f t="shared" si="5"/>
        <v/>
      </c>
    </row>
    <row r="450">
      <c r="A450" s="127"/>
      <c r="B450" s="127" t="str">
        <f>IF(A450="","",VLOOKUP(A450,'BASE OS'!$A$2:$I1000,2,FALSE))</f>
        <v/>
      </c>
      <c r="C450" s="132"/>
      <c r="D450" s="127"/>
      <c r="E450" s="127"/>
      <c r="F450" s="127"/>
      <c r="G450" s="127"/>
      <c r="H450" s="130"/>
      <c r="I450" s="130"/>
      <c r="J450" s="130">
        <f t="shared" si="1"/>
        <v>0</v>
      </c>
      <c r="K450" s="130"/>
      <c r="L450" s="130"/>
      <c r="M450" s="130">
        <f t="shared" si="2"/>
        <v>0</v>
      </c>
      <c r="N450" s="130"/>
      <c r="O450" s="130"/>
      <c r="P450" s="127"/>
      <c r="Q450" s="127"/>
      <c r="R450" s="127"/>
      <c r="S450" s="127"/>
      <c r="T450" s="127" t="str">
        <f>IF(A450="","",VLOOKUP(A450,'BASE OS'!$A$2:$I1000,4,FALSE))</f>
        <v/>
      </c>
      <c r="U450" s="127"/>
      <c r="V450" s="127"/>
      <c r="W450" s="127" t="str">
        <f t="shared" si="3"/>
        <v/>
      </c>
      <c r="X450" s="127" t="str">
        <f t="shared" si="4"/>
        <v/>
      </c>
      <c r="Y450" s="127" t="str">
        <f t="shared" si="5"/>
        <v/>
      </c>
    </row>
    <row r="451">
      <c r="A451" s="127"/>
      <c r="B451" s="127" t="str">
        <f>IF(A451="","",VLOOKUP(A451,'BASE OS'!$A$2:$I1000,2,FALSE))</f>
        <v/>
      </c>
      <c r="C451" s="132"/>
      <c r="D451" s="127"/>
      <c r="E451" s="127"/>
      <c r="F451" s="127"/>
      <c r="G451" s="127"/>
      <c r="H451" s="130"/>
      <c r="I451" s="130"/>
      <c r="J451" s="130">
        <f t="shared" si="1"/>
        <v>0</v>
      </c>
      <c r="K451" s="130"/>
      <c r="L451" s="130"/>
      <c r="M451" s="130">
        <f t="shared" si="2"/>
        <v>0</v>
      </c>
      <c r="N451" s="130"/>
      <c r="O451" s="130"/>
      <c r="P451" s="127"/>
      <c r="Q451" s="127"/>
      <c r="R451" s="127"/>
      <c r="S451" s="127"/>
      <c r="T451" s="127" t="str">
        <f>IF(A451="","",VLOOKUP(A451,'BASE OS'!$A$2:$I1000,4,FALSE))</f>
        <v/>
      </c>
      <c r="U451" s="127"/>
      <c r="V451" s="127"/>
      <c r="W451" s="127" t="str">
        <f t="shared" si="3"/>
        <v/>
      </c>
      <c r="X451" s="127" t="str">
        <f t="shared" si="4"/>
        <v/>
      </c>
      <c r="Y451" s="127" t="str">
        <f t="shared" si="5"/>
        <v/>
      </c>
    </row>
    <row r="452">
      <c r="A452" s="127"/>
      <c r="B452" s="127" t="str">
        <f>IF(A452="","",VLOOKUP(A452,'BASE OS'!$A$2:$I1000,2,FALSE))</f>
        <v/>
      </c>
      <c r="C452" s="132"/>
      <c r="D452" s="127"/>
      <c r="E452" s="127"/>
      <c r="F452" s="127"/>
      <c r="G452" s="127"/>
      <c r="H452" s="130"/>
      <c r="I452" s="130"/>
      <c r="J452" s="130">
        <f t="shared" si="1"/>
        <v>0</v>
      </c>
      <c r="K452" s="130"/>
      <c r="L452" s="130"/>
      <c r="M452" s="130">
        <f t="shared" si="2"/>
        <v>0</v>
      </c>
      <c r="N452" s="130"/>
      <c r="O452" s="130"/>
      <c r="P452" s="127"/>
      <c r="Q452" s="127"/>
      <c r="R452" s="127"/>
      <c r="S452" s="127"/>
      <c r="T452" s="127" t="str">
        <f>IF(A452="","",VLOOKUP(A452,'BASE OS'!$A$2:$I1000,4,FALSE))</f>
        <v/>
      </c>
      <c r="U452" s="127"/>
      <c r="V452" s="127"/>
      <c r="W452" s="127" t="str">
        <f t="shared" si="3"/>
        <v/>
      </c>
      <c r="X452" s="127" t="str">
        <f t="shared" si="4"/>
        <v/>
      </c>
      <c r="Y452" s="127" t="str">
        <f t="shared" si="5"/>
        <v/>
      </c>
    </row>
    <row r="453">
      <c r="A453" s="127"/>
      <c r="B453" s="127" t="str">
        <f>IF(A453="","",VLOOKUP(A453,'BASE OS'!$A$2:$I1000,2,FALSE))</f>
        <v/>
      </c>
      <c r="C453" s="132"/>
      <c r="D453" s="127"/>
      <c r="E453" s="127"/>
      <c r="F453" s="127"/>
      <c r="G453" s="127"/>
      <c r="H453" s="130"/>
      <c r="I453" s="130"/>
      <c r="J453" s="130">
        <f t="shared" si="1"/>
        <v>0</v>
      </c>
      <c r="K453" s="130"/>
      <c r="L453" s="130"/>
      <c r="M453" s="130">
        <f t="shared" si="2"/>
        <v>0</v>
      </c>
      <c r="N453" s="130"/>
      <c r="O453" s="130"/>
      <c r="P453" s="127"/>
      <c r="Q453" s="127"/>
      <c r="R453" s="127"/>
      <c r="S453" s="127"/>
      <c r="T453" s="127" t="str">
        <f>IF(A453="","",VLOOKUP(A453,'BASE OS'!$A$2:$I1000,4,FALSE))</f>
        <v/>
      </c>
      <c r="U453" s="127"/>
      <c r="V453" s="127"/>
      <c r="W453" s="127" t="str">
        <f t="shared" si="3"/>
        <v/>
      </c>
      <c r="X453" s="127" t="str">
        <f t="shared" si="4"/>
        <v/>
      </c>
      <c r="Y453" s="127" t="str">
        <f t="shared" si="5"/>
        <v/>
      </c>
    </row>
    <row r="454">
      <c r="A454" s="127"/>
      <c r="B454" s="127" t="str">
        <f>IF(A454="","",VLOOKUP(A454,'BASE OS'!$A$2:$I1000,2,FALSE))</f>
        <v/>
      </c>
      <c r="C454" s="132"/>
      <c r="D454" s="127"/>
      <c r="E454" s="127"/>
      <c r="F454" s="127"/>
      <c r="G454" s="127"/>
      <c r="H454" s="130"/>
      <c r="I454" s="130"/>
      <c r="J454" s="130">
        <f t="shared" si="1"/>
        <v>0</v>
      </c>
      <c r="K454" s="130"/>
      <c r="L454" s="130"/>
      <c r="M454" s="130">
        <f t="shared" si="2"/>
        <v>0</v>
      </c>
      <c r="N454" s="130"/>
      <c r="O454" s="130"/>
      <c r="P454" s="127"/>
      <c r="Q454" s="127"/>
      <c r="R454" s="127"/>
      <c r="S454" s="127"/>
      <c r="T454" s="127" t="str">
        <f>IF(A454="","",VLOOKUP(A454,'BASE OS'!$A$2:$I1000,4,FALSE))</f>
        <v/>
      </c>
      <c r="U454" s="127"/>
      <c r="V454" s="127"/>
      <c r="W454" s="127" t="str">
        <f t="shared" si="3"/>
        <v/>
      </c>
      <c r="X454" s="127" t="str">
        <f t="shared" si="4"/>
        <v/>
      </c>
      <c r="Y454" s="127" t="str">
        <f t="shared" si="5"/>
        <v/>
      </c>
    </row>
    <row r="455">
      <c r="A455" s="127"/>
      <c r="B455" s="127" t="str">
        <f>IF(A455="","",VLOOKUP(A455,'BASE OS'!$A$2:$I1000,2,FALSE))</f>
        <v/>
      </c>
      <c r="C455" s="132"/>
      <c r="D455" s="127"/>
      <c r="E455" s="127"/>
      <c r="F455" s="127"/>
      <c r="G455" s="127"/>
      <c r="H455" s="130"/>
      <c r="I455" s="130"/>
      <c r="J455" s="130">
        <f t="shared" si="1"/>
        <v>0</v>
      </c>
      <c r="K455" s="130"/>
      <c r="L455" s="130"/>
      <c r="M455" s="130">
        <f t="shared" si="2"/>
        <v>0</v>
      </c>
      <c r="N455" s="130"/>
      <c r="O455" s="130"/>
      <c r="P455" s="127"/>
      <c r="Q455" s="127"/>
      <c r="R455" s="127"/>
      <c r="S455" s="127"/>
      <c r="T455" s="127" t="str">
        <f>IF(A455="","",VLOOKUP(A455,'BASE OS'!$A$2:$I1000,4,FALSE))</f>
        <v/>
      </c>
      <c r="U455" s="127"/>
      <c r="V455" s="127"/>
      <c r="W455" s="127" t="str">
        <f t="shared" si="3"/>
        <v/>
      </c>
      <c r="X455" s="127" t="str">
        <f t="shared" si="4"/>
        <v/>
      </c>
      <c r="Y455" s="127" t="str">
        <f t="shared" si="5"/>
        <v/>
      </c>
    </row>
    <row r="456">
      <c r="A456" s="127"/>
      <c r="B456" s="127" t="str">
        <f>IF(A456="","",VLOOKUP(A456,'BASE OS'!$A$2:$I1000,2,FALSE))</f>
        <v/>
      </c>
      <c r="C456" s="132"/>
      <c r="D456" s="127"/>
      <c r="E456" s="127"/>
      <c r="F456" s="127"/>
      <c r="G456" s="127"/>
      <c r="H456" s="130"/>
      <c r="I456" s="130"/>
      <c r="J456" s="130">
        <f t="shared" si="1"/>
        <v>0</v>
      </c>
      <c r="K456" s="130"/>
      <c r="L456" s="130"/>
      <c r="M456" s="130">
        <f t="shared" si="2"/>
        <v>0</v>
      </c>
      <c r="N456" s="130"/>
      <c r="O456" s="130"/>
      <c r="P456" s="127"/>
      <c r="Q456" s="127"/>
      <c r="R456" s="127"/>
      <c r="S456" s="127"/>
      <c r="T456" s="127" t="str">
        <f>IF(A456="","",VLOOKUP(A456,'BASE OS'!$A$2:$I1000,4,FALSE))</f>
        <v/>
      </c>
      <c r="U456" s="127"/>
      <c r="V456" s="127"/>
      <c r="W456" s="127" t="str">
        <f t="shared" si="3"/>
        <v/>
      </c>
      <c r="X456" s="127" t="str">
        <f t="shared" si="4"/>
        <v/>
      </c>
      <c r="Y456" s="127" t="str">
        <f t="shared" si="5"/>
        <v/>
      </c>
    </row>
    <row r="457">
      <c r="A457" s="127"/>
      <c r="B457" s="127" t="str">
        <f>IF(A457="","",VLOOKUP(A457,'BASE OS'!$A$2:$I1000,2,FALSE))</f>
        <v/>
      </c>
      <c r="C457" s="132"/>
      <c r="D457" s="127"/>
      <c r="E457" s="127"/>
      <c r="F457" s="127"/>
      <c r="G457" s="127"/>
      <c r="H457" s="130"/>
      <c r="I457" s="130"/>
      <c r="J457" s="130">
        <f t="shared" si="1"/>
        <v>0</v>
      </c>
      <c r="K457" s="130"/>
      <c r="L457" s="130"/>
      <c r="M457" s="130">
        <f t="shared" si="2"/>
        <v>0</v>
      </c>
      <c r="N457" s="130"/>
      <c r="O457" s="130"/>
      <c r="P457" s="127"/>
      <c r="Q457" s="127"/>
      <c r="R457" s="127"/>
      <c r="S457" s="127"/>
      <c r="T457" s="127" t="str">
        <f>IF(A457="","",VLOOKUP(A457,'BASE OS'!$A$2:$I1000,4,FALSE))</f>
        <v/>
      </c>
      <c r="U457" s="127"/>
      <c r="V457" s="127"/>
      <c r="W457" s="127" t="str">
        <f t="shared" si="3"/>
        <v/>
      </c>
      <c r="X457" s="127" t="str">
        <f t="shared" si="4"/>
        <v/>
      </c>
      <c r="Y457" s="127" t="str">
        <f t="shared" si="5"/>
        <v/>
      </c>
    </row>
    <row r="458">
      <c r="A458" s="127"/>
      <c r="B458" s="127" t="str">
        <f>IF(A458="","",VLOOKUP(A458,'BASE OS'!$A$2:$I1000,2,FALSE))</f>
        <v/>
      </c>
      <c r="C458" s="132"/>
      <c r="D458" s="127"/>
      <c r="E458" s="127"/>
      <c r="F458" s="127"/>
      <c r="G458" s="127"/>
      <c r="H458" s="130"/>
      <c r="I458" s="130"/>
      <c r="J458" s="130">
        <f t="shared" si="1"/>
        <v>0</v>
      </c>
      <c r="K458" s="130"/>
      <c r="L458" s="130"/>
      <c r="M458" s="130">
        <f t="shared" si="2"/>
        <v>0</v>
      </c>
      <c r="N458" s="130"/>
      <c r="O458" s="130"/>
      <c r="P458" s="127"/>
      <c r="Q458" s="127"/>
      <c r="R458" s="127"/>
      <c r="S458" s="127"/>
      <c r="T458" s="127" t="str">
        <f>IF(A458="","",VLOOKUP(A458,'BASE OS'!$A$2:$I1000,4,FALSE))</f>
        <v/>
      </c>
      <c r="U458" s="127"/>
      <c r="V458" s="127"/>
      <c r="W458" s="127" t="str">
        <f t="shared" si="3"/>
        <v/>
      </c>
      <c r="X458" s="127" t="str">
        <f t="shared" si="4"/>
        <v/>
      </c>
      <c r="Y458" s="127" t="str">
        <f t="shared" si="5"/>
        <v/>
      </c>
    </row>
    <row r="459">
      <c r="A459" s="127"/>
      <c r="B459" s="127" t="str">
        <f>IF(A459="","",VLOOKUP(A459,'BASE OS'!$A$2:$I1000,2,FALSE))</f>
        <v/>
      </c>
      <c r="C459" s="132"/>
      <c r="D459" s="127"/>
      <c r="E459" s="127"/>
      <c r="F459" s="127"/>
      <c r="G459" s="127"/>
      <c r="H459" s="130"/>
      <c r="I459" s="130"/>
      <c r="J459" s="130">
        <f t="shared" si="1"/>
        <v>0</v>
      </c>
      <c r="K459" s="130"/>
      <c r="L459" s="130"/>
      <c r="M459" s="130">
        <f t="shared" si="2"/>
        <v>0</v>
      </c>
      <c r="N459" s="130"/>
      <c r="O459" s="130"/>
      <c r="P459" s="127"/>
      <c r="Q459" s="127"/>
      <c r="R459" s="127"/>
      <c r="S459" s="127"/>
      <c r="T459" s="127" t="str">
        <f>IF(A459="","",VLOOKUP(A459,'BASE OS'!$A$2:$I1000,4,FALSE))</f>
        <v/>
      </c>
      <c r="U459" s="127"/>
      <c r="V459" s="127"/>
      <c r="W459" s="127" t="str">
        <f t="shared" si="3"/>
        <v/>
      </c>
      <c r="X459" s="127" t="str">
        <f t="shared" si="4"/>
        <v/>
      </c>
      <c r="Y459" s="127" t="str">
        <f t="shared" si="5"/>
        <v/>
      </c>
    </row>
    <row r="460">
      <c r="A460" s="127"/>
      <c r="B460" s="127" t="str">
        <f>IF(A460="","",VLOOKUP(A460,'BASE OS'!$A$2:$I1000,2,FALSE))</f>
        <v/>
      </c>
      <c r="C460" s="132"/>
      <c r="D460" s="127"/>
      <c r="E460" s="127"/>
      <c r="F460" s="127"/>
      <c r="G460" s="127"/>
      <c r="H460" s="130"/>
      <c r="I460" s="130"/>
      <c r="J460" s="130">
        <f t="shared" si="1"/>
        <v>0</v>
      </c>
      <c r="K460" s="130"/>
      <c r="L460" s="130"/>
      <c r="M460" s="130">
        <f t="shared" si="2"/>
        <v>0</v>
      </c>
      <c r="N460" s="130"/>
      <c r="O460" s="130"/>
      <c r="P460" s="127"/>
      <c r="Q460" s="127"/>
      <c r="R460" s="127"/>
      <c r="S460" s="127"/>
      <c r="T460" s="127" t="str">
        <f>IF(A460="","",VLOOKUP(A460,'BASE OS'!$A$2:$I1000,4,FALSE))</f>
        <v/>
      </c>
      <c r="U460" s="127"/>
      <c r="V460" s="127"/>
      <c r="W460" s="127" t="str">
        <f t="shared" si="3"/>
        <v/>
      </c>
      <c r="X460" s="127" t="str">
        <f t="shared" si="4"/>
        <v/>
      </c>
      <c r="Y460" s="127" t="str">
        <f t="shared" si="5"/>
        <v/>
      </c>
    </row>
    <row r="461">
      <c r="A461" s="127"/>
      <c r="B461" s="127" t="str">
        <f>IF(A461="","",VLOOKUP(A461,'BASE OS'!$A$2:$I1000,2,FALSE))</f>
        <v/>
      </c>
      <c r="C461" s="132"/>
      <c r="D461" s="127"/>
      <c r="E461" s="127"/>
      <c r="F461" s="127"/>
      <c r="G461" s="127"/>
      <c r="H461" s="130"/>
      <c r="I461" s="130"/>
      <c r="J461" s="130">
        <f t="shared" si="1"/>
        <v>0</v>
      </c>
      <c r="K461" s="130"/>
      <c r="L461" s="130"/>
      <c r="M461" s="130">
        <f t="shared" si="2"/>
        <v>0</v>
      </c>
      <c r="N461" s="130"/>
      <c r="O461" s="130"/>
      <c r="P461" s="127"/>
      <c r="Q461" s="127"/>
      <c r="R461" s="127"/>
      <c r="S461" s="127"/>
      <c r="T461" s="127" t="str">
        <f>IF(A461="","",VLOOKUP(A461,'BASE OS'!$A$2:$I1000,4,FALSE))</f>
        <v/>
      </c>
      <c r="U461" s="127"/>
      <c r="V461" s="127"/>
      <c r="W461" s="127" t="str">
        <f t="shared" si="3"/>
        <v/>
      </c>
      <c r="X461" s="127" t="str">
        <f t="shared" si="4"/>
        <v/>
      </c>
      <c r="Y461" s="127" t="str">
        <f t="shared" si="5"/>
        <v/>
      </c>
    </row>
    <row r="462">
      <c r="A462" s="127"/>
      <c r="B462" s="127" t="str">
        <f>IF(A462="","",VLOOKUP(A462,'BASE OS'!$A$2:$I1000,2,FALSE))</f>
        <v/>
      </c>
      <c r="C462" s="132"/>
      <c r="D462" s="127"/>
      <c r="E462" s="127"/>
      <c r="F462" s="127"/>
      <c r="G462" s="127"/>
      <c r="H462" s="130"/>
      <c r="I462" s="130"/>
      <c r="J462" s="130">
        <f t="shared" si="1"/>
        <v>0</v>
      </c>
      <c r="K462" s="130"/>
      <c r="L462" s="130"/>
      <c r="M462" s="130">
        <f t="shared" si="2"/>
        <v>0</v>
      </c>
      <c r="N462" s="130"/>
      <c r="O462" s="130"/>
      <c r="P462" s="127"/>
      <c r="Q462" s="127"/>
      <c r="R462" s="127"/>
      <c r="S462" s="127"/>
      <c r="T462" s="127" t="str">
        <f>IF(A462="","",VLOOKUP(A462,'BASE OS'!$A$2:$I1000,4,FALSE))</f>
        <v/>
      </c>
      <c r="U462" s="127"/>
      <c r="V462" s="127"/>
      <c r="W462" s="127" t="str">
        <f t="shared" si="3"/>
        <v/>
      </c>
      <c r="X462" s="127" t="str">
        <f t="shared" si="4"/>
        <v/>
      </c>
      <c r="Y462" s="127" t="str">
        <f t="shared" si="5"/>
        <v/>
      </c>
    </row>
    <row r="463">
      <c r="A463" s="127"/>
      <c r="B463" s="127" t="str">
        <f>IF(A463="","",VLOOKUP(A463,'BASE OS'!$A$2:$I1000,2,FALSE))</f>
        <v/>
      </c>
      <c r="C463" s="132"/>
      <c r="D463" s="127"/>
      <c r="E463" s="127"/>
      <c r="F463" s="127"/>
      <c r="G463" s="127"/>
      <c r="H463" s="130"/>
      <c r="I463" s="130"/>
      <c r="J463" s="130">
        <f t="shared" si="1"/>
        <v>0</v>
      </c>
      <c r="K463" s="130"/>
      <c r="L463" s="130"/>
      <c r="M463" s="130">
        <f t="shared" si="2"/>
        <v>0</v>
      </c>
      <c r="N463" s="130"/>
      <c r="O463" s="130"/>
      <c r="P463" s="127"/>
      <c r="Q463" s="127"/>
      <c r="R463" s="127"/>
      <c r="S463" s="127"/>
      <c r="T463" s="127" t="str">
        <f>IF(A463="","",VLOOKUP(A463,'BASE OS'!$A$2:$I1000,4,FALSE))</f>
        <v/>
      </c>
      <c r="U463" s="127"/>
      <c r="V463" s="127"/>
      <c r="W463" s="127" t="str">
        <f t="shared" si="3"/>
        <v/>
      </c>
      <c r="X463" s="127" t="str">
        <f t="shared" si="4"/>
        <v/>
      </c>
      <c r="Y463" s="127" t="str">
        <f t="shared" si="5"/>
        <v/>
      </c>
    </row>
    <row r="464">
      <c r="A464" s="127"/>
      <c r="B464" s="127" t="str">
        <f>IF(A464="","",VLOOKUP(A464,'BASE OS'!$A$2:$I1000,2,FALSE))</f>
        <v/>
      </c>
      <c r="C464" s="132"/>
      <c r="D464" s="127"/>
      <c r="E464" s="127"/>
      <c r="F464" s="127"/>
      <c r="G464" s="127"/>
      <c r="H464" s="130"/>
      <c r="I464" s="130"/>
      <c r="J464" s="130">
        <f t="shared" si="1"/>
        <v>0</v>
      </c>
      <c r="K464" s="130"/>
      <c r="L464" s="130"/>
      <c r="M464" s="130">
        <f t="shared" si="2"/>
        <v>0</v>
      </c>
      <c r="N464" s="130"/>
      <c r="O464" s="130"/>
      <c r="P464" s="127"/>
      <c r="Q464" s="127"/>
      <c r="R464" s="127"/>
      <c r="S464" s="127"/>
      <c r="T464" s="127" t="str">
        <f>IF(A464="","",VLOOKUP(A464,'BASE OS'!$A$2:$I1000,4,FALSE))</f>
        <v/>
      </c>
      <c r="U464" s="127"/>
      <c r="V464" s="127"/>
      <c r="W464" s="127" t="str">
        <f t="shared" si="3"/>
        <v/>
      </c>
      <c r="X464" s="127" t="str">
        <f t="shared" si="4"/>
        <v/>
      </c>
      <c r="Y464" s="127" t="str">
        <f t="shared" si="5"/>
        <v/>
      </c>
    </row>
    <row r="465">
      <c r="A465" s="127"/>
      <c r="B465" s="127" t="str">
        <f>IF(A465="","",VLOOKUP(A465,'BASE OS'!$A$2:$I1000,2,FALSE))</f>
        <v/>
      </c>
      <c r="C465" s="132"/>
      <c r="D465" s="127"/>
      <c r="E465" s="127"/>
      <c r="F465" s="127"/>
      <c r="G465" s="127"/>
      <c r="H465" s="130"/>
      <c r="I465" s="130"/>
      <c r="J465" s="130">
        <f t="shared" si="1"/>
        <v>0</v>
      </c>
      <c r="K465" s="130"/>
      <c r="L465" s="130"/>
      <c r="M465" s="130">
        <f t="shared" si="2"/>
        <v>0</v>
      </c>
      <c r="N465" s="130"/>
      <c r="O465" s="130"/>
      <c r="P465" s="127"/>
      <c r="Q465" s="127"/>
      <c r="R465" s="127"/>
      <c r="S465" s="127"/>
      <c r="T465" s="127" t="str">
        <f>IF(A465="","",VLOOKUP(A465,'BASE OS'!$A$2:$I1000,4,FALSE))</f>
        <v/>
      </c>
      <c r="U465" s="127"/>
      <c r="V465" s="127"/>
      <c r="W465" s="127" t="str">
        <f t="shared" si="3"/>
        <v/>
      </c>
      <c r="X465" s="127" t="str">
        <f t="shared" si="4"/>
        <v/>
      </c>
      <c r="Y465" s="127" t="str">
        <f t="shared" si="5"/>
        <v/>
      </c>
    </row>
    <row r="466">
      <c r="A466" s="127"/>
      <c r="B466" s="127" t="str">
        <f>IF(A466="","",VLOOKUP(A466,'BASE OS'!$A$2:$I1000,2,FALSE))</f>
        <v/>
      </c>
      <c r="C466" s="132"/>
      <c r="D466" s="127"/>
      <c r="E466" s="127"/>
      <c r="F466" s="127"/>
      <c r="G466" s="127"/>
      <c r="H466" s="130"/>
      <c r="I466" s="130"/>
      <c r="J466" s="130">
        <f t="shared" si="1"/>
        <v>0</v>
      </c>
      <c r="K466" s="130"/>
      <c r="L466" s="130"/>
      <c r="M466" s="130">
        <f t="shared" si="2"/>
        <v>0</v>
      </c>
      <c r="N466" s="130"/>
      <c r="O466" s="130"/>
      <c r="P466" s="127"/>
      <c r="Q466" s="127"/>
      <c r="R466" s="127"/>
      <c r="S466" s="127"/>
      <c r="T466" s="127" t="str">
        <f>IF(A466="","",VLOOKUP(A466,'BASE OS'!$A$2:$I1000,4,FALSE))</f>
        <v/>
      </c>
      <c r="U466" s="127"/>
      <c r="V466" s="127"/>
      <c r="W466" s="127" t="str">
        <f t="shared" si="3"/>
        <v/>
      </c>
      <c r="X466" s="127" t="str">
        <f t="shared" si="4"/>
        <v/>
      </c>
      <c r="Y466" s="127" t="str">
        <f t="shared" si="5"/>
        <v/>
      </c>
    </row>
    <row r="467">
      <c r="A467" s="127"/>
      <c r="B467" s="127" t="str">
        <f>IF(A467="","",VLOOKUP(A467,'BASE OS'!$A$2:$I1000,2,FALSE))</f>
        <v/>
      </c>
      <c r="C467" s="132"/>
      <c r="D467" s="127"/>
      <c r="E467" s="127"/>
      <c r="F467" s="127"/>
      <c r="G467" s="127"/>
      <c r="H467" s="130"/>
      <c r="I467" s="130"/>
      <c r="J467" s="130">
        <f t="shared" si="1"/>
        <v>0</v>
      </c>
      <c r="K467" s="130"/>
      <c r="L467" s="130"/>
      <c r="M467" s="130">
        <f t="shared" si="2"/>
        <v>0</v>
      </c>
      <c r="N467" s="130"/>
      <c r="O467" s="130"/>
      <c r="P467" s="127"/>
      <c r="Q467" s="127"/>
      <c r="R467" s="127"/>
      <c r="S467" s="127"/>
      <c r="T467" s="127" t="str">
        <f>IF(A467="","",VLOOKUP(A467,'BASE OS'!$A$2:$I1000,4,FALSE))</f>
        <v/>
      </c>
      <c r="U467" s="127"/>
      <c r="V467" s="127"/>
      <c r="W467" s="127" t="str">
        <f t="shared" si="3"/>
        <v/>
      </c>
      <c r="X467" s="127" t="str">
        <f t="shared" si="4"/>
        <v/>
      </c>
      <c r="Y467" s="127" t="str">
        <f t="shared" si="5"/>
        <v/>
      </c>
    </row>
    <row r="468">
      <c r="A468" s="127"/>
      <c r="B468" s="127" t="str">
        <f>IF(A468="","",VLOOKUP(A468,'BASE OS'!$A$2:$I1000,2,FALSE))</f>
        <v/>
      </c>
      <c r="C468" s="132"/>
      <c r="D468" s="127"/>
      <c r="E468" s="127"/>
      <c r="F468" s="127"/>
      <c r="G468" s="127"/>
      <c r="H468" s="130"/>
      <c r="I468" s="130"/>
      <c r="J468" s="130">
        <f t="shared" si="1"/>
        <v>0</v>
      </c>
      <c r="K468" s="130"/>
      <c r="L468" s="130"/>
      <c r="M468" s="130">
        <f t="shared" si="2"/>
        <v>0</v>
      </c>
      <c r="N468" s="130"/>
      <c r="O468" s="130"/>
      <c r="P468" s="127"/>
      <c r="Q468" s="127"/>
      <c r="R468" s="127"/>
      <c r="S468" s="127"/>
      <c r="T468" s="127" t="str">
        <f>IF(A468="","",VLOOKUP(A468,'BASE OS'!$A$2:$I1000,4,FALSE))</f>
        <v/>
      </c>
      <c r="U468" s="127"/>
      <c r="V468" s="127"/>
      <c r="W468" s="127" t="str">
        <f t="shared" si="3"/>
        <v/>
      </c>
      <c r="X468" s="127" t="str">
        <f t="shared" si="4"/>
        <v/>
      </c>
      <c r="Y468" s="127" t="str">
        <f t="shared" si="5"/>
        <v/>
      </c>
    </row>
    <row r="469">
      <c r="A469" s="127"/>
      <c r="B469" s="127" t="str">
        <f>IF(A469="","",VLOOKUP(A469,'BASE OS'!$A$2:$I1000,2,FALSE))</f>
        <v/>
      </c>
      <c r="C469" s="132"/>
      <c r="D469" s="127"/>
      <c r="E469" s="127"/>
      <c r="F469" s="127"/>
      <c r="G469" s="127"/>
      <c r="H469" s="130"/>
      <c r="I469" s="130"/>
      <c r="J469" s="130">
        <f t="shared" si="1"/>
        <v>0</v>
      </c>
      <c r="K469" s="130"/>
      <c r="L469" s="130"/>
      <c r="M469" s="130">
        <f t="shared" si="2"/>
        <v>0</v>
      </c>
      <c r="N469" s="130"/>
      <c r="O469" s="130"/>
      <c r="P469" s="127"/>
      <c r="Q469" s="127"/>
      <c r="R469" s="127"/>
      <c r="S469" s="127"/>
      <c r="T469" s="127" t="str">
        <f>IF(A469="","",VLOOKUP(A469,'BASE OS'!$A$2:$I1000,4,FALSE))</f>
        <v/>
      </c>
      <c r="U469" s="127"/>
      <c r="V469" s="127"/>
      <c r="W469" s="127" t="str">
        <f t="shared" si="3"/>
        <v/>
      </c>
      <c r="X469" s="127" t="str">
        <f t="shared" si="4"/>
        <v/>
      </c>
      <c r="Y469" s="127" t="str">
        <f t="shared" si="5"/>
        <v/>
      </c>
    </row>
    <row r="470">
      <c r="A470" s="127"/>
      <c r="B470" s="127" t="str">
        <f>IF(A470="","",VLOOKUP(A470,'BASE OS'!$A$2:$I1000,2,FALSE))</f>
        <v/>
      </c>
      <c r="C470" s="132"/>
      <c r="D470" s="127"/>
      <c r="E470" s="127"/>
      <c r="F470" s="127"/>
      <c r="G470" s="127"/>
      <c r="H470" s="130"/>
      <c r="I470" s="130"/>
      <c r="J470" s="130">
        <f t="shared" si="1"/>
        <v>0</v>
      </c>
      <c r="K470" s="130"/>
      <c r="L470" s="130"/>
      <c r="M470" s="130">
        <f t="shared" si="2"/>
        <v>0</v>
      </c>
      <c r="N470" s="130"/>
      <c r="O470" s="130"/>
      <c r="P470" s="127"/>
      <c r="Q470" s="127"/>
      <c r="R470" s="127"/>
      <c r="S470" s="127"/>
      <c r="T470" s="127" t="str">
        <f>IF(A470="","",VLOOKUP(A470,'BASE OS'!$A$2:$I1000,4,FALSE))</f>
        <v/>
      </c>
      <c r="U470" s="127"/>
      <c r="V470" s="127"/>
      <c r="W470" s="127" t="str">
        <f t="shared" si="3"/>
        <v/>
      </c>
      <c r="X470" s="127" t="str">
        <f t="shared" si="4"/>
        <v/>
      </c>
      <c r="Y470" s="127" t="str">
        <f t="shared" si="5"/>
        <v/>
      </c>
    </row>
    <row r="471">
      <c r="A471" s="127"/>
      <c r="B471" s="127" t="str">
        <f>IF(A471="","",VLOOKUP(A471,'BASE OS'!$A$2:$I1000,2,FALSE))</f>
        <v/>
      </c>
      <c r="C471" s="132"/>
      <c r="D471" s="127"/>
      <c r="E471" s="127"/>
      <c r="F471" s="127"/>
      <c r="G471" s="127"/>
      <c r="H471" s="130"/>
      <c r="I471" s="130"/>
      <c r="J471" s="130">
        <f t="shared" si="1"/>
        <v>0</v>
      </c>
      <c r="K471" s="130"/>
      <c r="L471" s="130"/>
      <c r="M471" s="130">
        <f t="shared" si="2"/>
        <v>0</v>
      </c>
      <c r="N471" s="130"/>
      <c r="O471" s="130"/>
      <c r="P471" s="127"/>
      <c r="Q471" s="127"/>
      <c r="R471" s="127"/>
      <c r="S471" s="127"/>
      <c r="T471" s="127" t="str">
        <f>IF(A471="","",VLOOKUP(A471,'BASE OS'!$A$2:$I1000,4,FALSE))</f>
        <v/>
      </c>
      <c r="U471" s="127"/>
      <c r="V471" s="127"/>
      <c r="W471" s="127" t="str">
        <f t="shared" si="3"/>
        <v/>
      </c>
      <c r="X471" s="127" t="str">
        <f t="shared" si="4"/>
        <v/>
      </c>
      <c r="Y471" s="127" t="str">
        <f t="shared" si="5"/>
        <v/>
      </c>
    </row>
    <row r="472">
      <c r="A472" s="127"/>
      <c r="B472" s="127" t="str">
        <f>IF(A472="","",VLOOKUP(A472,'BASE OS'!$A$2:$I1000,2,FALSE))</f>
        <v/>
      </c>
      <c r="C472" s="132"/>
      <c r="D472" s="127"/>
      <c r="E472" s="127"/>
      <c r="F472" s="127"/>
      <c r="G472" s="127"/>
      <c r="H472" s="130"/>
      <c r="I472" s="130"/>
      <c r="J472" s="130">
        <f t="shared" si="1"/>
        <v>0</v>
      </c>
      <c r="K472" s="130"/>
      <c r="L472" s="130"/>
      <c r="M472" s="130">
        <f t="shared" si="2"/>
        <v>0</v>
      </c>
      <c r="N472" s="130"/>
      <c r="O472" s="130"/>
      <c r="P472" s="127"/>
      <c r="Q472" s="127"/>
      <c r="R472" s="127"/>
      <c r="S472" s="127"/>
      <c r="T472" s="127" t="str">
        <f>IF(A472="","",VLOOKUP(A472,'BASE OS'!$A$2:$I1000,4,FALSE))</f>
        <v/>
      </c>
      <c r="U472" s="127"/>
      <c r="V472" s="127"/>
      <c r="W472" s="127" t="str">
        <f t="shared" si="3"/>
        <v/>
      </c>
      <c r="X472" s="127" t="str">
        <f t="shared" si="4"/>
        <v/>
      </c>
      <c r="Y472" s="127" t="str">
        <f t="shared" si="5"/>
        <v/>
      </c>
    </row>
    <row r="473">
      <c r="A473" s="127"/>
      <c r="B473" s="127" t="str">
        <f>IF(A473="","",VLOOKUP(A473,'BASE OS'!$A$2:$I1000,2,FALSE))</f>
        <v/>
      </c>
      <c r="C473" s="132"/>
      <c r="D473" s="127"/>
      <c r="E473" s="127"/>
      <c r="F473" s="127"/>
      <c r="G473" s="127"/>
      <c r="H473" s="130"/>
      <c r="I473" s="130"/>
      <c r="J473" s="130">
        <f t="shared" si="1"/>
        <v>0</v>
      </c>
      <c r="K473" s="130"/>
      <c r="L473" s="130"/>
      <c r="M473" s="130">
        <f t="shared" si="2"/>
        <v>0</v>
      </c>
      <c r="N473" s="130"/>
      <c r="O473" s="130"/>
      <c r="P473" s="127"/>
      <c r="Q473" s="127"/>
      <c r="R473" s="127"/>
      <c r="S473" s="127"/>
      <c r="T473" s="127" t="str">
        <f>IF(A473="","",VLOOKUP(A473,'BASE OS'!$A$2:$I1000,4,FALSE))</f>
        <v/>
      </c>
      <c r="U473" s="127"/>
      <c r="V473" s="127"/>
      <c r="W473" s="127" t="str">
        <f t="shared" si="3"/>
        <v/>
      </c>
      <c r="X473" s="127" t="str">
        <f t="shared" si="4"/>
        <v/>
      </c>
      <c r="Y473" s="127" t="str">
        <f t="shared" si="5"/>
        <v/>
      </c>
    </row>
    <row r="474">
      <c r="A474" s="127"/>
      <c r="B474" s="127" t="str">
        <f>IF(A474="","",VLOOKUP(A474,'BASE OS'!$A$2:$I1000,2,FALSE))</f>
        <v/>
      </c>
      <c r="C474" s="132"/>
      <c r="D474" s="127"/>
      <c r="E474" s="127"/>
      <c r="F474" s="127"/>
      <c r="G474" s="127"/>
      <c r="H474" s="130"/>
      <c r="I474" s="130"/>
      <c r="J474" s="130">
        <f t="shared" si="1"/>
        <v>0</v>
      </c>
      <c r="K474" s="130"/>
      <c r="L474" s="130"/>
      <c r="M474" s="130">
        <f t="shared" si="2"/>
        <v>0</v>
      </c>
      <c r="N474" s="130"/>
      <c r="O474" s="130"/>
      <c r="P474" s="127"/>
      <c r="Q474" s="127"/>
      <c r="R474" s="127"/>
      <c r="S474" s="127"/>
      <c r="T474" s="127" t="str">
        <f>IF(A474="","",VLOOKUP(A474,'BASE OS'!$A$2:$I1000,4,FALSE))</f>
        <v/>
      </c>
      <c r="U474" s="127"/>
      <c r="V474" s="127"/>
      <c r="W474" s="127" t="str">
        <f t="shared" si="3"/>
        <v/>
      </c>
      <c r="X474" s="127" t="str">
        <f t="shared" si="4"/>
        <v/>
      </c>
      <c r="Y474" s="127" t="str">
        <f t="shared" si="5"/>
        <v/>
      </c>
    </row>
    <row r="475">
      <c r="A475" s="127"/>
      <c r="B475" s="127" t="str">
        <f>IF(A475="","",VLOOKUP(A475,'BASE OS'!$A$2:$I1000,2,FALSE))</f>
        <v/>
      </c>
      <c r="C475" s="132"/>
      <c r="D475" s="127"/>
      <c r="E475" s="127"/>
      <c r="F475" s="127"/>
      <c r="G475" s="127"/>
      <c r="H475" s="130"/>
      <c r="I475" s="130"/>
      <c r="J475" s="130">
        <f t="shared" si="1"/>
        <v>0</v>
      </c>
      <c r="K475" s="130"/>
      <c r="L475" s="130"/>
      <c r="M475" s="130">
        <f t="shared" si="2"/>
        <v>0</v>
      </c>
      <c r="N475" s="130"/>
      <c r="O475" s="130"/>
      <c r="P475" s="127"/>
      <c r="Q475" s="127"/>
      <c r="R475" s="127"/>
      <c r="S475" s="127"/>
      <c r="T475" s="127" t="str">
        <f>IF(A475="","",VLOOKUP(A475,'BASE OS'!$A$2:$I1000,4,FALSE))</f>
        <v/>
      </c>
      <c r="U475" s="127"/>
      <c r="V475" s="127"/>
      <c r="W475" s="127" t="str">
        <f t="shared" si="3"/>
        <v/>
      </c>
      <c r="X475" s="127" t="str">
        <f t="shared" si="4"/>
        <v/>
      </c>
      <c r="Y475" s="127" t="str">
        <f t="shared" si="5"/>
        <v/>
      </c>
    </row>
    <row r="476">
      <c r="A476" s="127"/>
      <c r="B476" s="127" t="str">
        <f>IF(A476="","",VLOOKUP(A476,'BASE OS'!$A$2:$I1000,2,FALSE))</f>
        <v/>
      </c>
      <c r="C476" s="132"/>
      <c r="D476" s="127"/>
      <c r="E476" s="127"/>
      <c r="F476" s="127"/>
      <c r="G476" s="127"/>
      <c r="H476" s="130"/>
      <c r="I476" s="130"/>
      <c r="J476" s="130">
        <f t="shared" si="1"/>
        <v>0</v>
      </c>
      <c r="K476" s="130"/>
      <c r="L476" s="130"/>
      <c r="M476" s="130">
        <f t="shared" si="2"/>
        <v>0</v>
      </c>
      <c r="N476" s="130"/>
      <c r="O476" s="130"/>
      <c r="P476" s="127"/>
      <c r="Q476" s="127"/>
      <c r="R476" s="127"/>
      <c r="S476" s="127"/>
      <c r="T476" s="127" t="str">
        <f>IF(A476="","",VLOOKUP(A476,'BASE OS'!$A$2:$I1000,4,FALSE))</f>
        <v/>
      </c>
      <c r="U476" s="127"/>
      <c r="V476" s="127"/>
      <c r="W476" s="127" t="str">
        <f t="shared" si="3"/>
        <v/>
      </c>
      <c r="X476" s="127" t="str">
        <f t="shared" si="4"/>
        <v/>
      </c>
      <c r="Y476" s="127" t="str">
        <f t="shared" si="5"/>
        <v/>
      </c>
    </row>
    <row r="477">
      <c r="A477" s="127"/>
      <c r="B477" s="127" t="str">
        <f>IF(A477="","",VLOOKUP(A477,'BASE OS'!$A$2:$I1000,2,FALSE))</f>
        <v/>
      </c>
      <c r="C477" s="132"/>
      <c r="D477" s="127"/>
      <c r="E477" s="127"/>
      <c r="F477" s="127"/>
      <c r="G477" s="127"/>
      <c r="H477" s="130"/>
      <c r="I477" s="130"/>
      <c r="J477" s="130">
        <f t="shared" si="1"/>
        <v>0</v>
      </c>
      <c r="K477" s="130"/>
      <c r="L477" s="130"/>
      <c r="M477" s="130">
        <f t="shared" si="2"/>
        <v>0</v>
      </c>
      <c r="N477" s="130"/>
      <c r="O477" s="130"/>
      <c r="P477" s="127"/>
      <c r="Q477" s="127"/>
      <c r="R477" s="127"/>
      <c r="S477" s="127"/>
      <c r="T477" s="127" t="str">
        <f>IF(A477="","",VLOOKUP(A477,'BASE OS'!$A$2:$I1000,4,FALSE))</f>
        <v/>
      </c>
      <c r="U477" s="127"/>
      <c r="V477" s="127"/>
      <c r="W477" s="127" t="str">
        <f t="shared" si="3"/>
        <v/>
      </c>
      <c r="X477" s="127" t="str">
        <f t="shared" si="4"/>
        <v/>
      </c>
      <c r="Y477" s="127" t="str">
        <f t="shared" si="5"/>
        <v/>
      </c>
    </row>
    <row r="478">
      <c r="A478" s="127"/>
      <c r="B478" s="127" t="str">
        <f>IF(A478="","",VLOOKUP(A478,'BASE OS'!$A$2:$I1000,2,FALSE))</f>
        <v/>
      </c>
      <c r="C478" s="132"/>
      <c r="D478" s="127"/>
      <c r="E478" s="127"/>
      <c r="F478" s="127"/>
      <c r="G478" s="127"/>
      <c r="H478" s="130"/>
      <c r="I478" s="130"/>
      <c r="J478" s="130">
        <f t="shared" si="1"/>
        <v>0</v>
      </c>
      <c r="K478" s="130"/>
      <c r="L478" s="130"/>
      <c r="M478" s="130">
        <f t="shared" si="2"/>
        <v>0</v>
      </c>
      <c r="N478" s="130"/>
      <c r="O478" s="130"/>
      <c r="P478" s="127"/>
      <c r="Q478" s="127"/>
      <c r="R478" s="127"/>
      <c r="S478" s="127"/>
      <c r="T478" s="127" t="str">
        <f>IF(A478="","",VLOOKUP(A478,'BASE OS'!$A$2:$I1000,4,FALSE))</f>
        <v/>
      </c>
      <c r="U478" s="127"/>
      <c r="V478" s="127"/>
      <c r="W478" s="127" t="str">
        <f t="shared" si="3"/>
        <v/>
      </c>
      <c r="X478" s="127" t="str">
        <f t="shared" si="4"/>
        <v/>
      </c>
      <c r="Y478" s="127" t="str">
        <f t="shared" si="5"/>
        <v/>
      </c>
    </row>
    <row r="479">
      <c r="A479" s="127"/>
      <c r="B479" s="127" t="str">
        <f>IF(A479="","",VLOOKUP(A479,'BASE OS'!$A$2:$I1000,2,FALSE))</f>
        <v/>
      </c>
      <c r="C479" s="132"/>
      <c r="D479" s="127"/>
      <c r="E479" s="127"/>
      <c r="F479" s="127"/>
      <c r="G479" s="127"/>
      <c r="H479" s="130"/>
      <c r="I479" s="130"/>
      <c r="J479" s="130">
        <f t="shared" si="1"/>
        <v>0</v>
      </c>
      <c r="K479" s="130"/>
      <c r="L479" s="130"/>
      <c r="M479" s="130">
        <f t="shared" si="2"/>
        <v>0</v>
      </c>
      <c r="N479" s="130"/>
      <c r="O479" s="130"/>
      <c r="P479" s="127"/>
      <c r="Q479" s="127"/>
      <c r="R479" s="127"/>
      <c r="S479" s="127"/>
      <c r="T479" s="127" t="str">
        <f>IF(A479="","",VLOOKUP(A479,'BASE OS'!$A$2:$I1000,4,FALSE))</f>
        <v/>
      </c>
      <c r="U479" s="127"/>
      <c r="V479" s="127"/>
      <c r="W479" s="127" t="str">
        <f t="shared" si="3"/>
        <v/>
      </c>
      <c r="X479" s="127" t="str">
        <f t="shared" si="4"/>
        <v/>
      </c>
      <c r="Y479" s="127" t="str">
        <f t="shared" si="5"/>
        <v/>
      </c>
    </row>
    <row r="480">
      <c r="A480" s="127"/>
      <c r="B480" s="127" t="str">
        <f>IF(A480="","",VLOOKUP(A480,'BASE OS'!$A$2:$I1000,2,FALSE))</f>
        <v/>
      </c>
      <c r="C480" s="132"/>
      <c r="D480" s="127"/>
      <c r="E480" s="127"/>
      <c r="F480" s="127"/>
      <c r="G480" s="127"/>
      <c r="H480" s="130"/>
      <c r="I480" s="130"/>
      <c r="J480" s="130">
        <f t="shared" si="1"/>
        <v>0</v>
      </c>
      <c r="K480" s="130"/>
      <c r="L480" s="130"/>
      <c r="M480" s="130">
        <f t="shared" si="2"/>
        <v>0</v>
      </c>
      <c r="N480" s="130"/>
      <c r="O480" s="130"/>
      <c r="P480" s="127"/>
      <c r="Q480" s="127"/>
      <c r="R480" s="127"/>
      <c r="S480" s="127"/>
      <c r="T480" s="127" t="str">
        <f>IF(A480="","",VLOOKUP(A480,'BASE OS'!$A$2:$I1000,4,FALSE))</f>
        <v/>
      </c>
      <c r="U480" s="127"/>
      <c r="V480" s="127"/>
      <c r="W480" s="127" t="str">
        <f t="shared" si="3"/>
        <v/>
      </c>
      <c r="X480" s="127" t="str">
        <f t="shared" si="4"/>
        <v/>
      </c>
      <c r="Y480" s="127" t="str">
        <f t="shared" si="5"/>
        <v/>
      </c>
    </row>
    <row r="481">
      <c r="A481" s="127"/>
      <c r="B481" s="127" t="str">
        <f>IF(A481="","",VLOOKUP(A481,'BASE OS'!$A$2:$I1000,2,FALSE))</f>
        <v/>
      </c>
      <c r="C481" s="132"/>
      <c r="D481" s="127"/>
      <c r="E481" s="127"/>
      <c r="F481" s="127"/>
      <c r="G481" s="127"/>
      <c r="H481" s="130"/>
      <c r="I481" s="130"/>
      <c r="J481" s="130">
        <f t="shared" si="1"/>
        <v>0</v>
      </c>
      <c r="K481" s="130"/>
      <c r="L481" s="130"/>
      <c r="M481" s="130">
        <f t="shared" si="2"/>
        <v>0</v>
      </c>
      <c r="N481" s="130"/>
      <c r="O481" s="130"/>
      <c r="P481" s="127"/>
      <c r="Q481" s="127"/>
      <c r="R481" s="127"/>
      <c r="S481" s="127"/>
      <c r="T481" s="127" t="str">
        <f>IF(A481="","",VLOOKUP(A481,'BASE OS'!$A$2:$I1000,4,FALSE))</f>
        <v/>
      </c>
      <c r="U481" s="127"/>
      <c r="V481" s="127"/>
      <c r="W481" s="127" t="str">
        <f t="shared" si="3"/>
        <v/>
      </c>
      <c r="X481" s="127" t="str">
        <f t="shared" si="4"/>
        <v/>
      </c>
      <c r="Y481" s="127" t="str">
        <f t="shared" si="5"/>
        <v/>
      </c>
    </row>
    <row r="482">
      <c r="A482" s="127"/>
      <c r="B482" s="127" t="str">
        <f>IF(A482="","",VLOOKUP(A482,'BASE OS'!$A$2:$I1000,2,FALSE))</f>
        <v/>
      </c>
      <c r="C482" s="132"/>
      <c r="D482" s="127"/>
      <c r="E482" s="127"/>
      <c r="F482" s="127"/>
      <c r="G482" s="127"/>
      <c r="H482" s="130"/>
      <c r="I482" s="130"/>
      <c r="J482" s="130">
        <f t="shared" si="1"/>
        <v>0</v>
      </c>
      <c r="K482" s="130"/>
      <c r="L482" s="130"/>
      <c r="M482" s="130">
        <f t="shared" si="2"/>
        <v>0</v>
      </c>
      <c r="N482" s="130"/>
      <c r="O482" s="130"/>
      <c r="P482" s="127"/>
      <c r="Q482" s="127"/>
      <c r="R482" s="127"/>
      <c r="S482" s="127"/>
      <c r="T482" s="127" t="str">
        <f>IF(A482="","",VLOOKUP(A482,'BASE OS'!$A$2:$I1000,4,FALSE))</f>
        <v/>
      </c>
      <c r="U482" s="127"/>
      <c r="V482" s="127"/>
      <c r="W482" s="127" t="str">
        <f t="shared" si="3"/>
        <v/>
      </c>
      <c r="X482" s="127" t="str">
        <f t="shared" si="4"/>
        <v/>
      </c>
      <c r="Y482" s="127" t="str">
        <f t="shared" si="5"/>
        <v/>
      </c>
    </row>
    <row r="483">
      <c r="A483" s="127"/>
      <c r="B483" s="127" t="str">
        <f>IF(A483="","",VLOOKUP(A483,'BASE OS'!$A$2:$I1000,2,FALSE))</f>
        <v/>
      </c>
      <c r="C483" s="132"/>
      <c r="D483" s="127"/>
      <c r="E483" s="127"/>
      <c r="F483" s="127"/>
      <c r="G483" s="127"/>
      <c r="H483" s="130"/>
      <c r="I483" s="130"/>
      <c r="J483" s="130">
        <f t="shared" si="1"/>
        <v>0</v>
      </c>
      <c r="K483" s="130"/>
      <c r="L483" s="130"/>
      <c r="M483" s="130">
        <f t="shared" si="2"/>
        <v>0</v>
      </c>
      <c r="N483" s="130"/>
      <c r="O483" s="130"/>
      <c r="P483" s="127"/>
      <c r="Q483" s="127"/>
      <c r="R483" s="127"/>
      <c r="S483" s="127"/>
      <c r="T483" s="127" t="str">
        <f>IF(A483="","",VLOOKUP(A483,'BASE OS'!$A$2:$I1000,4,FALSE))</f>
        <v/>
      </c>
      <c r="U483" s="127"/>
      <c r="V483" s="127"/>
      <c r="W483" s="127" t="str">
        <f t="shared" si="3"/>
        <v/>
      </c>
      <c r="X483" s="127" t="str">
        <f t="shared" si="4"/>
        <v/>
      </c>
      <c r="Y483" s="127" t="str">
        <f t="shared" si="5"/>
        <v/>
      </c>
    </row>
    <row r="484">
      <c r="A484" s="127"/>
      <c r="B484" s="127" t="str">
        <f>IF(A484="","",VLOOKUP(A484,'BASE OS'!$A$2:$I1000,2,FALSE))</f>
        <v/>
      </c>
      <c r="C484" s="132"/>
      <c r="D484" s="127"/>
      <c r="E484" s="127"/>
      <c r="F484" s="127"/>
      <c r="G484" s="127"/>
      <c r="H484" s="130"/>
      <c r="I484" s="130"/>
      <c r="J484" s="130">
        <f t="shared" si="1"/>
        <v>0</v>
      </c>
      <c r="K484" s="130"/>
      <c r="L484" s="130"/>
      <c r="M484" s="130">
        <f t="shared" si="2"/>
        <v>0</v>
      </c>
      <c r="N484" s="130"/>
      <c r="O484" s="130"/>
      <c r="P484" s="127"/>
      <c r="Q484" s="127"/>
      <c r="R484" s="127"/>
      <c r="S484" s="127"/>
      <c r="T484" s="127" t="str">
        <f>IF(A484="","",VLOOKUP(A484,'BASE OS'!$A$2:$I1000,4,FALSE))</f>
        <v/>
      </c>
      <c r="U484" s="127"/>
      <c r="V484" s="127"/>
      <c r="W484" s="127" t="str">
        <f t="shared" si="3"/>
        <v/>
      </c>
      <c r="X484" s="127" t="str">
        <f t="shared" si="4"/>
        <v/>
      </c>
      <c r="Y484" s="127" t="str">
        <f t="shared" si="5"/>
        <v/>
      </c>
    </row>
    <row r="485">
      <c r="A485" s="127"/>
      <c r="B485" s="127" t="str">
        <f>IF(A485="","",VLOOKUP(A485,'BASE OS'!$A$2:$I1000,2,FALSE))</f>
        <v/>
      </c>
      <c r="C485" s="132"/>
      <c r="D485" s="127"/>
      <c r="E485" s="127"/>
      <c r="F485" s="127"/>
      <c r="G485" s="127"/>
      <c r="H485" s="130"/>
      <c r="I485" s="130"/>
      <c r="J485" s="130">
        <f t="shared" si="1"/>
        <v>0</v>
      </c>
      <c r="K485" s="130"/>
      <c r="L485" s="130"/>
      <c r="M485" s="130">
        <f t="shared" si="2"/>
        <v>0</v>
      </c>
      <c r="N485" s="130"/>
      <c r="O485" s="130"/>
      <c r="P485" s="127"/>
      <c r="Q485" s="127"/>
      <c r="R485" s="127"/>
      <c r="S485" s="127"/>
      <c r="T485" s="127" t="str">
        <f>IF(A485="","",VLOOKUP(A485,'BASE OS'!$A$2:$I1000,4,FALSE))</f>
        <v/>
      </c>
      <c r="U485" s="127"/>
      <c r="V485" s="127"/>
      <c r="W485" s="127" t="str">
        <f t="shared" si="3"/>
        <v/>
      </c>
      <c r="X485" s="127" t="str">
        <f t="shared" si="4"/>
        <v/>
      </c>
      <c r="Y485" s="127" t="str">
        <f t="shared" si="5"/>
        <v/>
      </c>
    </row>
    <row r="486">
      <c r="A486" s="127"/>
      <c r="B486" s="127" t="str">
        <f>IF(A486="","",VLOOKUP(A486,'BASE OS'!$A$2:$I1000,2,FALSE))</f>
        <v/>
      </c>
      <c r="C486" s="132"/>
      <c r="D486" s="127"/>
      <c r="E486" s="127"/>
      <c r="F486" s="127"/>
      <c r="G486" s="127"/>
      <c r="H486" s="130"/>
      <c r="I486" s="130"/>
      <c r="J486" s="130">
        <f t="shared" si="1"/>
        <v>0</v>
      </c>
      <c r="K486" s="130"/>
      <c r="L486" s="130"/>
      <c r="M486" s="130">
        <f t="shared" si="2"/>
        <v>0</v>
      </c>
      <c r="N486" s="130"/>
      <c r="O486" s="130"/>
      <c r="P486" s="127"/>
      <c r="Q486" s="127"/>
      <c r="R486" s="127"/>
      <c r="S486" s="127"/>
      <c r="T486" s="127" t="str">
        <f>IF(A486="","",VLOOKUP(A486,'BASE OS'!$A$2:$I1000,4,FALSE))</f>
        <v/>
      </c>
      <c r="U486" s="127"/>
      <c r="V486" s="127"/>
      <c r="W486" s="127" t="str">
        <f t="shared" si="3"/>
        <v/>
      </c>
      <c r="X486" s="127" t="str">
        <f t="shared" si="4"/>
        <v/>
      </c>
      <c r="Y486" s="127" t="str">
        <f t="shared" si="5"/>
        <v/>
      </c>
    </row>
    <row r="487">
      <c r="A487" s="127"/>
      <c r="B487" s="127" t="str">
        <f>IF(A487="","",VLOOKUP(A487,'BASE OS'!$A$2:$I1000,2,FALSE))</f>
        <v/>
      </c>
      <c r="C487" s="132"/>
      <c r="D487" s="127"/>
      <c r="E487" s="127"/>
      <c r="F487" s="127"/>
      <c r="G487" s="127"/>
      <c r="H487" s="130"/>
      <c r="I487" s="130"/>
      <c r="J487" s="130">
        <f t="shared" si="1"/>
        <v>0</v>
      </c>
      <c r="K487" s="130"/>
      <c r="L487" s="130"/>
      <c r="M487" s="130">
        <f t="shared" si="2"/>
        <v>0</v>
      </c>
      <c r="N487" s="130"/>
      <c r="O487" s="130"/>
      <c r="P487" s="127"/>
      <c r="Q487" s="127"/>
      <c r="R487" s="127"/>
      <c r="S487" s="127"/>
      <c r="T487" s="127" t="str">
        <f>IF(A487="","",VLOOKUP(A487,'BASE OS'!$A$2:$I1000,4,FALSE))</f>
        <v/>
      </c>
      <c r="U487" s="127"/>
      <c r="V487" s="127"/>
      <c r="W487" s="127" t="str">
        <f t="shared" si="3"/>
        <v/>
      </c>
      <c r="X487" s="127" t="str">
        <f t="shared" si="4"/>
        <v/>
      </c>
      <c r="Y487" s="127" t="str">
        <f t="shared" si="5"/>
        <v/>
      </c>
    </row>
    <row r="488">
      <c r="A488" s="127"/>
      <c r="B488" s="127" t="str">
        <f>IF(A488="","",VLOOKUP(A488,'BASE OS'!$A$2:$I1000,2,FALSE))</f>
        <v/>
      </c>
      <c r="C488" s="132"/>
      <c r="D488" s="127"/>
      <c r="E488" s="127"/>
      <c r="F488" s="127"/>
      <c r="G488" s="127"/>
      <c r="H488" s="130"/>
      <c r="I488" s="130"/>
      <c r="J488" s="130">
        <f t="shared" si="1"/>
        <v>0</v>
      </c>
      <c r="K488" s="130"/>
      <c r="L488" s="130"/>
      <c r="M488" s="130">
        <f t="shared" si="2"/>
        <v>0</v>
      </c>
      <c r="N488" s="130"/>
      <c r="O488" s="130"/>
      <c r="P488" s="127"/>
      <c r="Q488" s="127"/>
      <c r="R488" s="127"/>
      <c r="S488" s="127"/>
      <c r="T488" s="127" t="str">
        <f>IF(A488="","",VLOOKUP(A488,'BASE OS'!$A$2:$I1000,4,FALSE))</f>
        <v/>
      </c>
      <c r="U488" s="127"/>
      <c r="V488" s="127"/>
      <c r="W488" s="127" t="str">
        <f t="shared" si="3"/>
        <v/>
      </c>
      <c r="X488" s="127" t="str">
        <f t="shared" si="4"/>
        <v/>
      </c>
      <c r="Y488" s="127" t="str">
        <f t="shared" si="5"/>
        <v/>
      </c>
    </row>
    <row r="489">
      <c r="A489" s="127"/>
      <c r="B489" s="127" t="str">
        <f>IF(A489="","",VLOOKUP(A489,'BASE OS'!$A$2:$I1000,2,FALSE))</f>
        <v/>
      </c>
      <c r="C489" s="132"/>
      <c r="D489" s="127"/>
      <c r="E489" s="127"/>
      <c r="F489" s="127"/>
      <c r="G489" s="127"/>
      <c r="H489" s="130"/>
      <c r="I489" s="130"/>
      <c r="J489" s="130">
        <f t="shared" si="1"/>
        <v>0</v>
      </c>
      <c r="K489" s="130"/>
      <c r="L489" s="130"/>
      <c r="M489" s="130">
        <f t="shared" si="2"/>
        <v>0</v>
      </c>
      <c r="N489" s="130"/>
      <c r="O489" s="130"/>
      <c r="P489" s="127"/>
      <c r="Q489" s="127"/>
      <c r="R489" s="127"/>
      <c r="S489" s="127"/>
      <c r="T489" s="127" t="str">
        <f>IF(A489="","",VLOOKUP(A489,'BASE OS'!$A$2:$I1000,4,FALSE))</f>
        <v/>
      </c>
      <c r="U489" s="127"/>
      <c r="V489" s="127"/>
      <c r="W489" s="127" t="str">
        <f t="shared" si="3"/>
        <v/>
      </c>
      <c r="X489" s="127" t="str">
        <f t="shared" si="4"/>
        <v/>
      </c>
      <c r="Y489" s="127" t="str">
        <f t="shared" si="5"/>
        <v/>
      </c>
    </row>
    <row r="490">
      <c r="A490" s="127"/>
      <c r="B490" s="127" t="str">
        <f>IF(A490="","",VLOOKUP(A490,'BASE OS'!$A$2:$I1000,2,FALSE))</f>
        <v/>
      </c>
      <c r="C490" s="132"/>
      <c r="D490" s="127"/>
      <c r="E490" s="127"/>
      <c r="F490" s="127"/>
      <c r="G490" s="127"/>
      <c r="H490" s="130"/>
      <c r="I490" s="130"/>
      <c r="J490" s="130">
        <f t="shared" si="1"/>
        <v>0</v>
      </c>
      <c r="K490" s="130"/>
      <c r="L490" s="130"/>
      <c r="M490" s="130">
        <f t="shared" si="2"/>
        <v>0</v>
      </c>
      <c r="N490" s="130"/>
      <c r="O490" s="130"/>
      <c r="P490" s="127"/>
      <c r="Q490" s="127"/>
      <c r="R490" s="127"/>
      <c r="S490" s="127"/>
      <c r="T490" s="127" t="str">
        <f>IF(A490="","",VLOOKUP(A490,'BASE OS'!$A$2:$I1000,4,FALSE))</f>
        <v/>
      </c>
      <c r="U490" s="127"/>
      <c r="V490" s="127"/>
      <c r="W490" s="127" t="str">
        <f t="shared" si="3"/>
        <v/>
      </c>
      <c r="X490" s="127" t="str">
        <f t="shared" si="4"/>
        <v/>
      </c>
      <c r="Y490" s="127" t="str">
        <f t="shared" si="5"/>
        <v/>
      </c>
    </row>
    <row r="491">
      <c r="A491" s="127"/>
      <c r="B491" s="127" t="str">
        <f>IF(A491="","",VLOOKUP(A491,'BASE OS'!$A$2:$I1000,2,FALSE))</f>
        <v/>
      </c>
      <c r="C491" s="132"/>
      <c r="D491" s="127"/>
      <c r="E491" s="127"/>
      <c r="F491" s="127"/>
      <c r="G491" s="127"/>
      <c r="H491" s="130"/>
      <c r="I491" s="130"/>
      <c r="J491" s="130">
        <f t="shared" si="1"/>
        <v>0</v>
      </c>
      <c r="K491" s="130"/>
      <c r="L491" s="130"/>
      <c r="M491" s="130">
        <f t="shared" si="2"/>
        <v>0</v>
      </c>
      <c r="N491" s="130"/>
      <c r="O491" s="130"/>
      <c r="P491" s="127"/>
      <c r="Q491" s="127"/>
      <c r="R491" s="127"/>
      <c r="S491" s="127"/>
      <c r="T491" s="127" t="str">
        <f>IF(A491="","",VLOOKUP(A491,'BASE OS'!$A$2:$I1000,4,FALSE))</f>
        <v/>
      </c>
      <c r="U491" s="127"/>
      <c r="V491" s="127"/>
      <c r="W491" s="127" t="str">
        <f t="shared" si="3"/>
        <v/>
      </c>
      <c r="X491" s="127" t="str">
        <f t="shared" si="4"/>
        <v/>
      </c>
      <c r="Y491" s="127" t="str">
        <f t="shared" si="5"/>
        <v/>
      </c>
    </row>
    <row r="492">
      <c r="A492" s="127"/>
      <c r="B492" s="127" t="str">
        <f>IF(A492="","",VLOOKUP(A492,'BASE OS'!$A$2:$I1000,2,FALSE))</f>
        <v/>
      </c>
      <c r="C492" s="132"/>
      <c r="D492" s="127"/>
      <c r="E492" s="127"/>
      <c r="F492" s="127"/>
      <c r="G492" s="127"/>
      <c r="H492" s="130"/>
      <c r="I492" s="130"/>
      <c r="J492" s="130">
        <f t="shared" si="1"/>
        <v>0</v>
      </c>
      <c r="K492" s="130"/>
      <c r="L492" s="130"/>
      <c r="M492" s="130">
        <f t="shared" si="2"/>
        <v>0</v>
      </c>
      <c r="N492" s="130"/>
      <c r="O492" s="130"/>
      <c r="P492" s="127"/>
      <c r="Q492" s="127"/>
      <c r="R492" s="127"/>
      <c r="S492" s="127"/>
      <c r="T492" s="127" t="str">
        <f>IF(A492="","",VLOOKUP(A492,'BASE OS'!$A$2:$I1000,4,FALSE))</f>
        <v/>
      </c>
      <c r="U492" s="127"/>
      <c r="V492" s="127"/>
      <c r="W492" s="127" t="str">
        <f t="shared" si="3"/>
        <v/>
      </c>
      <c r="X492" s="127" t="str">
        <f t="shared" si="4"/>
        <v/>
      </c>
      <c r="Y492" s="127" t="str">
        <f t="shared" si="5"/>
        <v/>
      </c>
    </row>
    <row r="493">
      <c r="A493" s="127"/>
      <c r="B493" s="127" t="str">
        <f>IF(A493="","",VLOOKUP(A493,'BASE OS'!$A$2:$I1000,2,FALSE))</f>
        <v/>
      </c>
      <c r="C493" s="132"/>
      <c r="D493" s="127"/>
      <c r="E493" s="127"/>
      <c r="F493" s="127"/>
      <c r="G493" s="127"/>
      <c r="H493" s="130"/>
      <c r="I493" s="130"/>
      <c r="J493" s="130">
        <f t="shared" si="1"/>
        <v>0</v>
      </c>
      <c r="K493" s="130"/>
      <c r="L493" s="130"/>
      <c r="M493" s="130">
        <f t="shared" si="2"/>
        <v>0</v>
      </c>
      <c r="N493" s="130"/>
      <c r="O493" s="130"/>
      <c r="P493" s="127"/>
      <c r="Q493" s="127"/>
      <c r="R493" s="127"/>
      <c r="S493" s="127"/>
      <c r="T493" s="127" t="str">
        <f>IF(A493="","",VLOOKUP(A493,'BASE OS'!$A$2:$I1000,4,FALSE))</f>
        <v/>
      </c>
      <c r="U493" s="127"/>
      <c r="V493" s="127"/>
      <c r="W493" s="127" t="str">
        <f t="shared" si="3"/>
        <v/>
      </c>
      <c r="X493" s="127" t="str">
        <f t="shared" si="4"/>
        <v/>
      </c>
      <c r="Y493" s="127" t="str">
        <f t="shared" si="5"/>
        <v/>
      </c>
    </row>
    <row r="494">
      <c r="A494" s="127"/>
      <c r="B494" s="127" t="str">
        <f>IF(A494="","",VLOOKUP(A494,'BASE OS'!$A$2:$I1000,2,FALSE))</f>
        <v/>
      </c>
      <c r="C494" s="132"/>
      <c r="D494" s="127"/>
      <c r="E494" s="127"/>
      <c r="F494" s="127"/>
      <c r="G494" s="127"/>
      <c r="H494" s="130"/>
      <c r="I494" s="130"/>
      <c r="J494" s="130">
        <f t="shared" si="1"/>
        <v>0</v>
      </c>
      <c r="K494" s="130"/>
      <c r="L494" s="130"/>
      <c r="M494" s="130">
        <f t="shared" si="2"/>
        <v>0</v>
      </c>
      <c r="N494" s="130"/>
      <c r="O494" s="130"/>
      <c r="P494" s="127"/>
      <c r="Q494" s="127"/>
      <c r="R494" s="127"/>
      <c r="S494" s="127"/>
      <c r="T494" s="127" t="str">
        <f>IF(A494="","",VLOOKUP(A494,'BASE OS'!$A$2:$I1000,4,FALSE))</f>
        <v/>
      </c>
      <c r="U494" s="127"/>
      <c r="V494" s="127"/>
      <c r="W494" s="127" t="str">
        <f t="shared" si="3"/>
        <v/>
      </c>
      <c r="X494" s="127" t="str">
        <f t="shared" si="4"/>
        <v/>
      </c>
      <c r="Y494" s="127" t="str">
        <f t="shared" si="5"/>
        <v/>
      </c>
    </row>
    <row r="495">
      <c r="A495" s="127"/>
      <c r="B495" s="127" t="str">
        <f>IF(A495="","",VLOOKUP(A495,'BASE OS'!$A$2:$I1000,2,FALSE))</f>
        <v/>
      </c>
      <c r="C495" s="132"/>
      <c r="D495" s="127"/>
      <c r="E495" s="127"/>
      <c r="F495" s="127"/>
      <c r="G495" s="127"/>
      <c r="H495" s="130"/>
      <c r="I495" s="130"/>
      <c r="J495" s="130">
        <f t="shared" si="1"/>
        <v>0</v>
      </c>
      <c r="K495" s="130"/>
      <c r="L495" s="130"/>
      <c r="M495" s="130">
        <f t="shared" si="2"/>
        <v>0</v>
      </c>
      <c r="N495" s="130"/>
      <c r="O495" s="130"/>
      <c r="P495" s="127"/>
      <c r="Q495" s="127"/>
      <c r="R495" s="127"/>
      <c r="S495" s="127"/>
      <c r="T495" s="127" t="str">
        <f>IF(A495="","",VLOOKUP(A495,'BASE OS'!$A$2:$I1000,4,FALSE))</f>
        <v/>
      </c>
      <c r="U495" s="127"/>
      <c r="V495" s="127"/>
      <c r="W495" s="127" t="str">
        <f t="shared" si="3"/>
        <v/>
      </c>
      <c r="X495" s="127" t="str">
        <f t="shared" si="4"/>
        <v/>
      </c>
      <c r="Y495" s="127" t="str">
        <f t="shared" si="5"/>
        <v/>
      </c>
    </row>
    <row r="496">
      <c r="A496" s="127"/>
      <c r="B496" s="127" t="str">
        <f>IF(A496="","",VLOOKUP(A496,'BASE OS'!$A$2:$I1000,2,FALSE))</f>
        <v/>
      </c>
      <c r="C496" s="132"/>
      <c r="D496" s="127"/>
      <c r="E496" s="127"/>
      <c r="F496" s="127"/>
      <c r="G496" s="127"/>
      <c r="H496" s="130"/>
      <c r="I496" s="130"/>
      <c r="J496" s="130">
        <f t="shared" si="1"/>
        <v>0</v>
      </c>
      <c r="K496" s="130"/>
      <c r="L496" s="130"/>
      <c r="M496" s="130">
        <f t="shared" si="2"/>
        <v>0</v>
      </c>
      <c r="N496" s="130"/>
      <c r="O496" s="130"/>
      <c r="P496" s="127"/>
      <c r="Q496" s="127"/>
      <c r="R496" s="127"/>
      <c r="S496" s="127"/>
      <c r="T496" s="127" t="str">
        <f>IF(A496="","",VLOOKUP(A496,'BASE OS'!$A$2:$I1000,4,FALSE))</f>
        <v/>
      </c>
      <c r="U496" s="127"/>
      <c r="V496" s="127"/>
      <c r="W496" s="127" t="str">
        <f t="shared" si="3"/>
        <v/>
      </c>
      <c r="X496" s="127" t="str">
        <f t="shared" si="4"/>
        <v/>
      </c>
      <c r="Y496" s="127" t="str">
        <f t="shared" si="5"/>
        <v/>
      </c>
    </row>
    <row r="497">
      <c r="A497" s="127"/>
      <c r="B497" s="127" t="str">
        <f>IF(A497="","",VLOOKUP(A497,'BASE OS'!$A$2:$I1000,2,FALSE))</f>
        <v/>
      </c>
      <c r="C497" s="132"/>
      <c r="D497" s="127"/>
      <c r="E497" s="127"/>
      <c r="F497" s="127"/>
      <c r="G497" s="127"/>
      <c r="H497" s="130"/>
      <c r="I497" s="130"/>
      <c r="J497" s="130">
        <f t="shared" si="1"/>
        <v>0</v>
      </c>
      <c r="K497" s="130"/>
      <c r="L497" s="130"/>
      <c r="M497" s="130">
        <f t="shared" si="2"/>
        <v>0</v>
      </c>
      <c r="N497" s="130"/>
      <c r="O497" s="130"/>
      <c r="P497" s="127"/>
      <c r="Q497" s="127"/>
      <c r="R497" s="127"/>
      <c r="S497" s="127"/>
      <c r="T497" s="127" t="str">
        <f>IF(A497="","",VLOOKUP(A497,'BASE OS'!$A$2:$I1000,4,FALSE))</f>
        <v/>
      </c>
      <c r="U497" s="127"/>
      <c r="V497" s="127"/>
      <c r="W497" s="127" t="str">
        <f t="shared" si="3"/>
        <v/>
      </c>
      <c r="X497" s="127" t="str">
        <f t="shared" si="4"/>
        <v/>
      </c>
      <c r="Y497" s="127" t="str">
        <f t="shared" si="5"/>
        <v/>
      </c>
    </row>
    <row r="498">
      <c r="A498" s="127"/>
      <c r="B498" s="127" t="str">
        <f>IF(A498="","",VLOOKUP(A498,'BASE OS'!$A$2:$I1000,2,FALSE))</f>
        <v/>
      </c>
      <c r="C498" s="132"/>
      <c r="D498" s="127"/>
      <c r="E498" s="127"/>
      <c r="F498" s="127"/>
      <c r="G498" s="127"/>
      <c r="H498" s="130"/>
      <c r="I498" s="130"/>
      <c r="J498" s="130">
        <f t="shared" si="1"/>
        <v>0</v>
      </c>
      <c r="K498" s="130"/>
      <c r="L498" s="130"/>
      <c r="M498" s="130">
        <f t="shared" si="2"/>
        <v>0</v>
      </c>
      <c r="N498" s="130"/>
      <c r="O498" s="130"/>
      <c r="P498" s="127"/>
      <c r="Q498" s="127"/>
      <c r="R498" s="127"/>
      <c r="S498" s="127"/>
      <c r="T498" s="127" t="str">
        <f>IF(A498="","",VLOOKUP(A498,'BASE OS'!$A$2:$I1000,4,FALSE))</f>
        <v/>
      </c>
      <c r="U498" s="127"/>
      <c r="V498" s="127"/>
      <c r="W498" s="127" t="str">
        <f t="shared" si="3"/>
        <v/>
      </c>
      <c r="X498" s="127" t="str">
        <f t="shared" si="4"/>
        <v/>
      </c>
      <c r="Y498" s="127" t="str">
        <f t="shared" si="5"/>
        <v/>
      </c>
    </row>
    <row r="499">
      <c r="A499" s="127"/>
      <c r="B499" s="127" t="str">
        <f>IF(A499="","",VLOOKUP(A499,'BASE OS'!$A$2:$I1000,2,FALSE))</f>
        <v/>
      </c>
      <c r="C499" s="132"/>
      <c r="D499" s="127"/>
      <c r="E499" s="127"/>
      <c r="F499" s="127"/>
      <c r="G499" s="127"/>
      <c r="H499" s="130"/>
      <c r="I499" s="130"/>
      <c r="J499" s="130">
        <f t="shared" si="1"/>
        <v>0</v>
      </c>
      <c r="K499" s="130"/>
      <c r="L499" s="130"/>
      <c r="M499" s="130">
        <f t="shared" si="2"/>
        <v>0</v>
      </c>
      <c r="N499" s="130"/>
      <c r="O499" s="130"/>
      <c r="P499" s="127"/>
      <c r="Q499" s="127"/>
      <c r="R499" s="127"/>
      <c r="S499" s="127"/>
      <c r="T499" s="127" t="str">
        <f>IF(A499="","",VLOOKUP(A499,'BASE OS'!$A$2:$I1000,4,FALSE))</f>
        <v/>
      </c>
      <c r="U499" s="127"/>
      <c r="V499" s="127"/>
      <c r="W499" s="127" t="str">
        <f t="shared" si="3"/>
        <v/>
      </c>
      <c r="X499" s="127" t="str">
        <f t="shared" si="4"/>
        <v/>
      </c>
      <c r="Y499" s="127" t="str">
        <f t="shared" si="5"/>
        <v/>
      </c>
    </row>
    <row r="500">
      <c r="A500" s="127"/>
      <c r="B500" s="127" t="str">
        <f>IF(A500="","",VLOOKUP(A500,'BASE OS'!$A$2:$I1000,2,FALSE))</f>
        <v/>
      </c>
      <c r="C500" s="132"/>
      <c r="D500" s="127"/>
      <c r="E500" s="127"/>
      <c r="F500" s="127"/>
      <c r="G500" s="127"/>
      <c r="H500" s="130"/>
      <c r="I500" s="130"/>
      <c r="J500" s="130">
        <f t="shared" si="1"/>
        <v>0</v>
      </c>
      <c r="K500" s="130"/>
      <c r="L500" s="130"/>
      <c r="M500" s="130">
        <f t="shared" si="2"/>
        <v>0</v>
      </c>
      <c r="N500" s="130"/>
      <c r="O500" s="130"/>
      <c r="P500" s="127"/>
      <c r="Q500" s="127"/>
      <c r="R500" s="127"/>
      <c r="S500" s="127"/>
      <c r="T500" s="127" t="str">
        <f>IF(A500="","",VLOOKUP(A500,'BASE OS'!$A$2:$I1000,4,FALSE))</f>
        <v/>
      </c>
      <c r="U500" s="127"/>
      <c r="V500" s="127"/>
      <c r="W500" s="127" t="str">
        <f t="shared" si="3"/>
        <v/>
      </c>
      <c r="X500" s="127" t="str">
        <f t="shared" si="4"/>
        <v/>
      </c>
      <c r="Y500" s="127" t="str">
        <f t="shared" si="5"/>
        <v/>
      </c>
    </row>
    <row r="501">
      <c r="A501" s="127"/>
      <c r="B501" s="127" t="str">
        <f>IF(A501="","",VLOOKUP(A501,'BASE OS'!$A$2:$I1000,2,FALSE))</f>
        <v/>
      </c>
      <c r="C501" s="132"/>
      <c r="D501" s="127"/>
      <c r="E501" s="127"/>
      <c r="F501" s="127"/>
      <c r="G501" s="127"/>
      <c r="H501" s="130"/>
      <c r="I501" s="130"/>
      <c r="J501" s="130">
        <f t="shared" si="1"/>
        <v>0</v>
      </c>
      <c r="K501" s="130"/>
      <c r="L501" s="130"/>
      <c r="M501" s="130">
        <f t="shared" si="2"/>
        <v>0</v>
      </c>
      <c r="N501" s="130"/>
      <c r="O501" s="130"/>
      <c r="P501" s="127"/>
      <c r="Q501" s="127"/>
      <c r="R501" s="127"/>
      <c r="S501" s="127"/>
      <c r="T501" s="127" t="str">
        <f>IF(A501="","",VLOOKUP(A501,'BASE OS'!$A$2:$I1000,4,FALSE))</f>
        <v/>
      </c>
      <c r="U501" s="127"/>
      <c r="V501" s="127"/>
      <c r="W501" s="127" t="str">
        <f t="shared" si="3"/>
        <v/>
      </c>
      <c r="X501" s="127" t="str">
        <f t="shared" si="4"/>
        <v/>
      </c>
      <c r="Y501" s="127" t="str">
        <f t="shared" si="5"/>
        <v/>
      </c>
    </row>
    <row r="502">
      <c r="A502" s="127"/>
      <c r="B502" s="127" t="str">
        <f>IF(A502="","",VLOOKUP(A502,'BASE OS'!$A$2:$I1000,2,FALSE))</f>
        <v/>
      </c>
      <c r="C502" s="132"/>
      <c r="D502" s="127"/>
      <c r="E502" s="127"/>
      <c r="F502" s="127"/>
      <c r="G502" s="127"/>
      <c r="H502" s="130"/>
      <c r="I502" s="130"/>
      <c r="J502" s="130">
        <f t="shared" si="1"/>
        <v>0</v>
      </c>
      <c r="K502" s="130"/>
      <c r="L502" s="130"/>
      <c r="M502" s="130">
        <f t="shared" si="2"/>
        <v>0</v>
      </c>
      <c r="N502" s="130"/>
      <c r="O502" s="130"/>
      <c r="P502" s="127"/>
      <c r="Q502" s="127"/>
      <c r="R502" s="127"/>
      <c r="S502" s="127"/>
      <c r="T502" s="127" t="str">
        <f>IF(A502="","",VLOOKUP(A502,'BASE OS'!$A$2:$I1000,4,FALSE))</f>
        <v/>
      </c>
      <c r="U502" s="127"/>
      <c r="V502" s="127"/>
      <c r="W502" s="127" t="str">
        <f t="shared" si="3"/>
        <v/>
      </c>
      <c r="X502" s="127" t="str">
        <f t="shared" si="4"/>
        <v/>
      </c>
      <c r="Y502" s="127" t="str">
        <f t="shared" si="5"/>
        <v/>
      </c>
    </row>
    <row r="503">
      <c r="A503" s="127"/>
      <c r="B503" s="127" t="str">
        <f>IF(A503="","",VLOOKUP(A503,'BASE OS'!$A$2:$I1000,2,FALSE))</f>
        <v/>
      </c>
      <c r="C503" s="132"/>
      <c r="D503" s="127"/>
      <c r="E503" s="127"/>
      <c r="F503" s="127"/>
      <c r="G503" s="127"/>
      <c r="H503" s="130"/>
      <c r="I503" s="130"/>
      <c r="J503" s="130">
        <f t="shared" si="1"/>
        <v>0</v>
      </c>
      <c r="K503" s="130"/>
      <c r="L503" s="130"/>
      <c r="M503" s="130">
        <f t="shared" si="2"/>
        <v>0</v>
      </c>
      <c r="N503" s="130"/>
      <c r="O503" s="130"/>
      <c r="P503" s="127"/>
      <c r="Q503" s="127"/>
      <c r="R503" s="127"/>
      <c r="S503" s="127"/>
      <c r="T503" s="127" t="str">
        <f>IF(A503="","",VLOOKUP(A503,'BASE OS'!$A$2:$I1000,4,FALSE))</f>
        <v/>
      </c>
      <c r="U503" s="127"/>
      <c r="V503" s="127"/>
      <c r="W503" s="127" t="str">
        <f t="shared" si="3"/>
        <v/>
      </c>
      <c r="X503" s="127" t="str">
        <f t="shared" si="4"/>
        <v/>
      </c>
      <c r="Y503" s="127" t="str">
        <f t="shared" si="5"/>
        <v/>
      </c>
    </row>
    <row r="504">
      <c r="A504" s="127"/>
      <c r="B504" s="127" t="str">
        <f>IF(A504="","",VLOOKUP(A504,'BASE OS'!$A$2:$I1000,2,FALSE))</f>
        <v/>
      </c>
      <c r="C504" s="132"/>
      <c r="D504" s="127"/>
      <c r="E504" s="127"/>
      <c r="F504" s="127"/>
      <c r="G504" s="127"/>
      <c r="H504" s="130"/>
      <c r="I504" s="130"/>
      <c r="J504" s="130">
        <f t="shared" si="1"/>
        <v>0</v>
      </c>
      <c r="K504" s="130"/>
      <c r="L504" s="130"/>
      <c r="M504" s="130">
        <f t="shared" si="2"/>
        <v>0</v>
      </c>
      <c r="N504" s="130"/>
      <c r="O504" s="130"/>
      <c r="P504" s="127"/>
      <c r="Q504" s="127"/>
      <c r="R504" s="127"/>
      <c r="S504" s="127"/>
      <c r="T504" s="127" t="str">
        <f>IF(A504="","",VLOOKUP(A504,'BASE OS'!$A$2:$I1000,4,FALSE))</f>
        <v/>
      </c>
      <c r="U504" s="127"/>
      <c r="V504" s="127"/>
      <c r="W504" s="127" t="str">
        <f t="shared" si="3"/>
        <v/>
      </c>
      <c r="X504" s="127" t="str">
        <f t="shared" si="4"/>
        <v/>
      </c>
      <c r="Y504" s="127" t="str">
        <f t="shared" si="5"/>
        <v/>
      </c>
    </row>
    <row r="505">
      <c r="A505" s="127"/>
      <c r="B505" s="127" t="str">
        <f>IF(A505="","",VLOOKUP(A505,'BASE OS'!$A$2:$I1000,2,FALSE))</f>
        <v/>
      </c>
      <c r="C505" s="132"/>
      <c r="D505" s="127"/>
      <c r="E505" s="127"/>
      <c r="F505" s="127"/>
      <c r="G505" s="127"/>
      <c r="H505" s="130"/>
      <c r="I505" s="130"/>
      <c r="J505" s="130">
        <f t="shared" si="1"/>
        <v>0</v>
      </c>
      <c r="K505" s="130"/>
      <c r="L505" s="130"/>
      <c r="M505" s="130">
        <f t="shared" si="2"/>
        <v>0</v>
      </c>
      <c r="N505" s="130"/>
      <c r="O505" s="130"/>
      <c r="P505" s="127"/>
      <c r="Q505" s="127"/>
      <c r="R505" s="127"/>
      <c r="S505" s="127"/>
      <c r="T505" s="127" t="str">
        <f>IF(A505="","",VLOOKUP(A505,'BASE OS'!$A$2:$I1000,4,FALSE))</f>
        <v/>
      </c>
      <c r="U505" s="127"/>
      <c r="V505" s="127"/>
      <c r="W505" s="127" t="str">
        <f t="shared" si="3"/>
        <v/>
      </c>
      <c r="X505" s="127" t="str">
        <f t="shared" si="4"/>
        <v/>
      </c>
      <c r="Y505" s="127" t="str">
        <f t="shared" si="5"/>
        <v/>
      </c>
    </row>
    <row r="506">
      <c r="A506" s="127"/>
      <c r="B506" s="127" t="str">
        <f>IF(A506="","",VLOOKUP(A506,'BASE OS'!$A$2:$I1000,2,FALSE))</f>
        <v/>
      </c>
      <c r="C506" s="132"/>
      <c r="D506" s="127"/>
      <c r="E506" s="127"/>
      <c r="F506" s="127"/>
      <c r="G506" s="127"/>
      <c r="H506" s="130"/>
      <c r="I506" s="130"/>
      <c r="J506" s="130">
        <f t="shared" si="1"/>
        <v>0</v>
      </c>
      <c r="K506" s="130"/>
      <c r="L506" s="130"/>
      <c r="M506" s="130">
        <f t="shared" si="2"/>
        <v>0</v>
      </c>
      <c r="N506" s="130"/>
      <c r="O506" s="130"/>
      <c r="P506" s="127"/>
      <c r="Q506" s="127"/>
      <c r="R506" s="127"/>
      <c r="S506" s="127"/>
      <c r="T506" s="127" t="str">
        <f>IF(A506="","",VLOOKUP(A506,'BASE OS'!$A$2:$I1000,4,FALSE))</f>
        <v/>
      </c>
      <c r="U506" s="127"/>
      <c r="V506" s="127"/>
      <c r="W506" s="127" t="str">
        <f t="shared" si="3"/>
        <v/>
      </c>
      <c r="X506" s="127" t="str">
        <f t="shared" si="4"/>
        <v/>
      </c>
      <c r="Y506" s="127" t="str">
        <f t="shared" si="5"/>
        <v/>
      </c>
    </row>
    <row r="507">
      <c r="A507" s="127"/>
      <c r="B507" s="127" t="str">
        <f>IF(A507="","",VLOOKUP(A507,'BASE OS'!$A$2:$I1000,2,FALSE))</f>
        <v/>
      </c>
      <c r="C507" s="132"/>
      <c r="D507" s="127"/>
      <c r="E507" s="127"/>
      <c r="F507" s="127"/>
      <c r="G507" s="127"/>
      <c r="H507" s="130"/>
      <c r="I507" s="130"/>
      <c r="J507" s="130">
        <f t="shared" si="1"/>
        <v>0</v>
      </c>
      <c r="K507" s="130"/>
      <c r="L507" s="130"/>
      <c r="M507" s="130">
        <f t="shared" si="2"/>
        <v>0</v>
      </c>
      <c r="N507" s="130"/>
      <c r="O507" s="130"/>
      <c r="P507" s="127"/>
      <c r="Q507" s="127"/>
      <c r="R507" s="127"/>
      <c r="S507" s="127"/>
      <c r="T507" s="127" t="str">
        <f>IF(A507="","",VLOOKUP(A507,'BASE OS'!$A$2:$I1000,4,FALSE))</f>
        <v/>
      </c>
      <c r="U507" s="127"/>
      <c r="V507" s="127"/>
      <c r="W507" s="127" t="str">
        <f t="shared" si="3"/>
        <v/>
      </c>
      <c r="X507" s="127" t="str">
        <f t="shared" si="4"/>
        <v/>
      </c>
      <c r="Y507" s="127" t="str">
        <f t="shared" si="5"/>
        <v/>
      </c>
    </row>
    <row r="508">
      <c r="A508" s="127"/>
      <c r="B508" s="127" t="str">
        <f>IF(A508="","",VLOOKUP(A508,'BASE OS'!$A$2:$I1000,2,FALSE))</f>
        <v/>
      </c>
      <c r="C508" s="132"/>
      <c r="D508" s="127"/>
      <c r="E508" s="127"/>
      <c r="F508" s="127"/>
      <c r="G508" s="127"/>
      <c r="H508" s="130"/>
      <c r="I508" s="130"/>
      <c r="J508" s="130">
        <f t="shared" si="1"/>
        <v>0</v>
      </c>
      <c r="K508" s="130"/>
      <c r="L508" s="130"/>
      <c r="M508" s="130">
        <f t="shared" si="2"/>
        <v>0</v>
      </c>
      <c r="N508" s="130"/>
      <c r="O508" s="130"/>
      <c r="P508" s="127"/>
      <c r="Q508" s="127"/>
      <c r="R508" s="127"/>
      <c r="S508" s="127"/>
      <c r="T508" s="127" t="str">
        <f>IF(A508="","",VLOOKUP(A508,'BASE OS'!$A$2:$I1000,4,FALSE))</f>
        <v/>
      </c>
      <c r="U508" s="127"/>
      <c r="V508" s="127"/>
      <c r="W508" s="127" t="str">
        <f t="shared" si="3"/>
        <v/>
      </c>
      <c r="X508" s="127" t="str">
        <f t="shared" si="4"/>
        <v/>
      </c>
      <c r="Y508" s="127" t="str">
        <f t="shared" si="5"/>
        <v/>
      </c>
    </row>
    <row r="509">
      <c r="A509" s="127"/>
      <c r="B509" s="127" t="str">
        <f>IF(A509="","",VLOOKUP(A509,'BASE OS'!$A$2:$I1000,2,FALSE))</f>
        <v/>
      </c>
      <c r="C509" s="132"/>
      <c r="D509" s="127"/>
      <c r="E509" s="127"/>
      <c r="F509" s="127"/>
      <c r="G509" s="127"/>
      <c r="H509" s="130"/>
      <c r="I509" s="130"/>
      <c r="J509" s="130">
        <f t="shared" si="1"/>
        <v>0</v>
      </c>
      <c r="K509" s="130"/>
      <c r="L509" s="130"/>
      <c r="M509" s="130">
        <f t="shared" si="2"/>
        <v>0</v>
      </c>
      <c r="N509" s="130"/>
      <c r="O509" s="130"/>
      <c r="P509" s="127"/>
      <c r="Q509" s="127"/>
      <c r="R509" s="127"/>
      <c r="S509" s="127"/>
      <c r="T509" s="127" t="str">
        <f>IF(A509="","",VLOOKUP(A509,'BASE OS'!$A$2:$I1000,4,FALSE))</f>
        <v/>
      </c>
      <c r="U509" s="127"/>
      <c r="V509" s="127"/>
      <c r="W509" s="127" t="str">
        <f t="shared" si="3"/>
        <v/>
      </c>
      <c r="X509" s="127" t="str">
        <f t="shared" si="4"/>
        <v/>
      </c>
      <c r="Y509" s="127" t="str">
        <f t="shared" si="5"/>
        <v/>
      </c>
    </row>
    <row r="510">
      <c r="A510" s="127"/>
      <c r="B510" s="127" t="str">
        <f>IF(A510="","",VLOOKUP(A510,'BASE OS'!$A$2:$I1000,2,FALSE))</f>
        <v/>
      </c>
      <c r="C510" s="132"/>
      <c r="D510" s="127"/>
      <c r="E510" s="127"/>
      <c r="F510" s="127"/>
      <c r="G510" s="127"/>
      <c r="H510" s="130"/>
      <c r="I510" s="130"/>
      <c r="J510" s="130">
        <f t="shared" si="1"/>
        <v>0</v>
      </c>
      <c r="K510" s="130"/>
      <c r="L510" s="130"/>
      <c r="M510" s="130">
        <f t="shared" si="2"/>
        <v>0</v>
      </c>
      <c r="N510" s="130"/>
      <c r="O510" s="130"/>
      <c r="P510" s="127"/>
      <c r="Q510" s="127"/>
      <c r="R510" s="127"/>
      <c r="S510" s="127"/>
      <c r="T510" s="127" t="str">
        <f>IF(A510="","",VLOOKUP(A510,'BASE OS'!$A$2:$I1000,4,FALSE))</f>
        <v/>
      </c>
      <c r="U510" s="127"/>
      <c r="V510" s="127"/>
      <c r="W510" s="127" t="str">
        <f t="shared" si="3"/>
        <v/>
      </c>
      <c r="X510" s="127" t="str">
        <f t="shared" si="4"/>
        <v/>
      </c>
      <c r="Y510" s="127" t="str">
        <f t="shared" si="5"/>
        <v/>
      </c>
    </row>
    <row r="511">
      <c r="A511" s="127"/>
      <c r="B511" s="127" t="str">
        <f>IF(A511="","",VLOOKUP(A511,'BASE OS'!$A$2:$I1000,2,FALSE))</f>
        <v/>
      </c>
      <c r="C511" s="132"/>
      <c r="D511" s="127"/>
      <c r="E511" s="127"/>
      <c r="F511" s="127"/>
      <c r="G511" s="127"/>
      <c r="H511" s="130"/>
      <c r="I511" s="130"/>
      <c r="J511" s="130">
        <f t="shared" si="1"/>
        <v>0</v>
      </c>
      <c r="K511" s="130"/>
      <c r="L511" s="130"/>
      <c r="M511" s="130">
        <f t="shared" si="2"/>
        <v>0</v>
      </c>
      <c r="N511" s="130"/>
      <c r="O511" s="130"/>
      <c r="P511" s="127"/>
      <c r="Q511" s="127"/>
      <c r="R511" s="127"/>
      <c r="S511" s="127"/>
      <c r="T511" s="127" t="str">
        <f>IF(A511="","",VLOOKUP(A511,'BASE OS'!$A$2:$I1000,4,FALSE))</f>
        <v/>
      </c>
      <c r="U511" s="127"/>
      <c r="V511" s="127"/>
      <c r="W511" s="127" t="str">
        <f t="shared" si="3"/>
        <v/>
      </c>
      <c r="X511" s="127" t="str">
        <f t="shared" si="4"/>
        <v/>
      </c>
      <c r="Y511" s="127" t="str">
        <f t="shared" si="5"/>
        <v/>
      </c>
    </row>
    <row r="512">
      <c r="A512" s="127"/>
      <c r="B512" s="127" t="str">
        <f>IF(A512="","",VLOOKUP(A512,'BASE OS'!$A$2:$I1000,2,FALSE))</f>
        <v/>
      </c>
      <c r="C512" s="132"/>
      <c r="D512" s="127"/>
      <c r="E512" s="127"/>
      <c r="F512" s="127"/>
      <c r="G512" s="127"/>
      <c r="H512" s="130"/>
      <c r="I512" s="130"/>
      <c r="J512" s="130">
        <f t="shared" si="1"/>
        <v>0</v>
      </c>
      <c r="K512" s="130"/>
      <c r="L512" s="130"/>
      <c r="M512" s="130">
        <f t="shared" si="2"/>
        <v>0</v>
      </c>
      <c r="N512" s="130"/>
      <c r="O512" s="130"/>
      <c r="P512" s="127"/>
      <c r="Q512" s="127"/>
      <c r="R512" s="127"/>
      <c r="S512" s="127"/>
      <c r="T512" s="127" t="str">
        <f>IF(A512="","",VLOOKUP(A512,'BASE OS'!$A$2:$I1000,4,FALSE))</f>
        <v/>
      </c>
      <c r="U512" s="127"/>
      <c r="V512" s="127"/>
      <c r="W512" s="127" t="str">
        <f t="shared" si="3"/>
        <v/>
      </c>
      <c r="X512" s="127" t="str">
        <f t="shared" si="4"/>
        <v/>
      </c>
      <c r="Y512" s="127" t="str">
        <f t="shared" si="5"/>
        <v/>
      </c>
    </row>
    <row r="513">
      <c r="A513" s="127"/>
      <c r="B513" s="127" t="str">
        <f>IF(A513="","",VLOOKUP(A513,'BASE OS'!$A$2:$I1000,2,FALSE))</f>
        <v/>
      </c>
      <c r="C513" s="132"/>
      <c r="D513" s="127"/>
      <c r="E513" s="127"/>
      <c r="F513" s="127"/>
      <c r="G513" s="127"/>
      <c r="H513" s="130"/>
      <c r="I513" s="130"/>
      <c r="J513" s="130">
        <f t="shared" si="1"/>
        <v>0</v>
      </c>
      <c r="K513" s="130"/>
      <c r="L513" s="130"/>
      <c r="M513" s="130">
        <f t="shared" si="2"/>
        <v>0</v>
      </c>
      <c r="N513" s="130"/>
      <c r="O513" s="130"/>
      <c r="P513" s="127"/>
      <c r="Q513" s="127"/>
      <c r="R513" s="127"/>
      <c r="S513" s="127"/>
      <c r="T513" s="127" t="str">
        <f>IF(A513="","",VLOOKUP(A513,'BASE OS'!$A$2:$I1000,4,FALSE))</f>
        <v/>
      </c>
      <c r="U513" s="127"/>
      <c r="V513" s="127"/>
      <c r="W513" s="127" t="str">
        <f t="shared" si="3"/>
        <v/>
      </c>
      <c r="X513" s="127" t="str">
        <f t="shared" si="4"/>
        <v/>
      </c>
      <c r="Y513" s="127" t="str">
        <f t="shared" si="5"/>
        <v/>
      </c>
    </row>
    <row r="514">
      <c r="A514" s="127"/>
      <c r="B514" s="127" t="str">
        <f>IF(A514="","",VLOOKUP(A514,'BASE OS'!$A$2:$I1000,2,FALSE))</f>
        <v/>
      </c>
      <c r="C514" s="132"/>
      <c r="D514" s="127"/>
      <c r="E514" s="127"/>
      <c r="F514" s="127"/>
      <c r="G514" s="127"/>
      <c r="H514" s="130"/>
      <c r="I514" s="130"/>
      <c r="J514" s="130">
        <f t="shared" si="1"/>
        <v>0</v>
      </c>
      <c r="K514" s="130"/>
      <c r="L514" s="130"/>
      <c r="M514" s="130">
        <f t="shared" si="2"/>
        <v>0</v>
      </c>
      <c r="N514" s="130"/>
      <c r="O514" s="130"/>
      <c r="P514" s="127"/>
      <c r="Q514" s="127"/>
      <c r="R514" s="127"/>
      <c r="S514" s="127"/>
      <c r="T514" s="127" t="str">
        <f>IF(A514="","",VLOOKUP(A514,'BASE OS'!$A$2:$I1000,4,FALSE))</f>
        <v/>
      </c>
      <c r="U514" s="127"/>
      <c r="V514" s="127"/>
      <c r="W514" s="127" t="str">
        <f t="shared" si="3"/>
        <v/>
      </c>
      <c r="X514" s="127" t="str">
        <f t="shared" si="4"/>
        <v/>
      </c>
      <c r="Y514" s="127" t="str">
        <f t="shared" si="5"/>
        <v/>
      </c>
    </row>
    <row r="515">
      <c r="A515" s="127"/>
      <c r="B515" s="127" t="str">
        <f>IF(A515="","",VLOOKUP(A515,'BASE OS'!$A$2:$I1000,2,FALSE))</f>
        <v/>
      </c>
      <c r="C515" s="132"/>
      <c r="D515" s="127"/>
      <c r="E515" s="127"/>
      <c r="F515" s="127"/>
      <c r="G515" s="127"/>
      <c r="H515" s="130"/>
      <c r="I515" s="130"/>
      <c r="J515" s="130">
        <f t="shared" si="1"/>
        <v>0</v>
      </c>
      <c r="K515" s="130"/>
      <c r="L515" s="130"/>
      <c r="M515" s="130">
        <f t="shared" si="2"/>
        <v>0</v>
      </c>
      <c r="N515" s="130"/>
      <c r="O515" s="130"/>
      <c r="P515" s="127"/>
      <c r="Q515" s="127"/>
      <c r="R515" s="127"/>
      <c r="S515" s="127"/>
      <c r="T515" s="127" t="str">
        <f>IF(A515="","",VLOOKUP(A515,'BASE OS'!$A$2:$I1000,4,FALSE))</f>
        <v/>
      </c>
      <c r="U515" s="127"/>
      <c r="V515" s="127"/>
      <c r="W515" s="127" t="str">
        <f t="shared" si="3"/>
        <v/>
      </c>
      <c r="X515" s="127" t="str">
        <f t="shared" si="4"/>
        <v/>
      </c>
      <c r="Y515" s="127" t="str">
        <f t="shared" si="5"/>
        <v/>
      </c>
    </row>
    <row r="516">
      <c r="A516" s="127"/>
      <c r="B516" s="127" t="str">
        <f>IF(A516="","",VLOOKUP(A516,'BASE OS'!$A$2:$I1000,2,FALSE))</f>
        <v/>
      </c>
      <c r="C516" s="132"/>
      <c r="D516" s="127"/>
      <c r="E516" s="127"/>
      <c r="F516" s="127"/>
      <c r="G516" s="127"/>
      <c r="H516" s="130"/>
      <c r="I516" s="130"/>
      <c r="J516" s="130">
        <f t="shared" si="1"/>
        <v>0</v>
      </c>
      <c r="K516" s="130"/>
      <c r="L516" s="130"/>
      <c r="M516" s="130">
        <f t="shared" si="2"/>
        <v>0</v>
      </c>
      <c r="N516" s="130"/>
      <c r="O516" s="130"/>
      <c r="P516" s="127"/>
      <c r="Q516" s="127"/>
      <c r="R516" s="127"/>
      <c r="S516" s="127"/>
      <c r="T516" s="127" t="str">
        <f>IF(A516="","",VLOOKUP(A516,'BASE OS'!$A$2:$I1000,4,FALSE))</f>
        <v/>
      </c>
      <c r="U516" s="127"/>
      <c r="V516" s="127"/>
      <c r="W516" s="127" t="str">
        <f t="shared" si="3"/>
        <v/>
      </c>
      <c r="X516" s="127" t="str">
        <f t="shared" si="4"/>
        <v/>
      </c>
      <c r="Y516" s="127" t="str">
        <f t="shared" si="5"/>
        <v/>
      </c>
    </row>
    <row r="517">
      <c r="A517" s="127"/>
      <c r="B517" s="127" t="str">
        <f>IF(A517="","",VLOOKUP(A517,'BASE OS'!$A$2:$I1000,2,FALSE))</f>
        <v/>
      </c>
      <c r="C517" s="132"/>
      <c r="D517" s="127"/>
      <c r="E517" s="127"/>
      <c r="F517" s="127"/>
      <c r="G517" s="127"/>
      <c r="H517" s="130"/>
      <c r="I517" s="130"/>
      <c r="J517" s="130">
        <f t="shared" si="1"/>
        <v>0</v>
      </c>
      <c r="K517" s="130"/>
      <c r="L517" s="130"/>
      <c r="M517" s="130">
        <f t="shared" si="2"/>
        <v>0</v>
      </c>
      <c r="N517" s="130"/>
      <c r="O517" s="130"/>
      <c r="P517" s="127"/>
      <c r="Q517" s="127"/>
      <c r="R517" s="127"/>
      <c r="S517" s="127"/>
      <c r="T517" s="127" t="str">
        <f>IF(A517="","",VLOOKUP(A517,'BASE OS'!$A$2:$I1000,4,FALSE))</f>
        <v/>
      </c>
      <c r="U517" s="127"/>
      <c r="V517" s="127"/>
      <c r="W517" s="127" t="str">
        <f t="shared" si="3"/>
        <v/>
      </c>
      <c r="X517" s="127" t="str">
        <f t="shared" si="4"/>
        <v/>
      </c>
      <c r="Y517" s="127" t="str">
        <f t="shared" si="5"/>
        <v/>
      </c>
    </row>
    <row r="518">
      <c r="A518" s="127"/>
      <c r="B518" s="127" t="str">
        <f>IF(A518="","",VLOOKUP(A518,'BASE OS'!$A$2:$I1000,2,FALSE))</f>
        <v/>
      </c>
      <c r="C518" s="132"/>
      <c r="D518" s="127"/>
      <c r="E518" s="127"/>
      <c r="F518" s="127"/>
      <c r="G518" s="127"/>
      <c r="H518" s="130"/>
      <c r="I518" s="130"/>
      <c r="J518" s="130">
        <f t="shared" si="1"/>
        <v>0</v>
      </c>
      <c r="K518" s="130"/>
      <c r="L518" s="130"/>
      <c r="M518" s="130">
        <f t="shared" si="2"/>
        <v>0</v>
      </c>
      <c r="N518" s="130"/>
      <c r="O518" s="130"/>
      <c r="P518" s="127"/>
      <c r="Q518" s="127"/>
      <c r="R518" s="127"/>
      <c r="S518" s="127"/>
      <c r="T518" s="127" t="str">
        <f>IF(A518="","",VLOOKUP(A518,'BASE OS'!$A$2:$I1000,4,FALSE))</f>
        <v/>
      </c>
      <c r="U518" s="127"/>
      <c r="V518" s="127"/>
      <c r="W518" s="127" t="str">
        <f t="shared" si="3"/>
        <v/>
      </c>
      <c r="X518" s="127" t="str">
        <f t="shared" si="4"/>
        <v/>
      </c>
      <c r="Y518" s="127" t="str">
        <f t="shared" si="5"/>
        <v/>
      </c>
    </row>
    <row r="519">
      <c r="A519" s="127"/>
      <c r="B519" s="127" t="str">
        <f>IF(A519="","",VLOOKUP(A519,'BASE OS'!$A$2:$I1000,2,FALSE))</f>
        <v/>
      </c>
      <c r="C519" s="132"/>
      <c r="D519" s="127"/>
      <c r="E519" s="127"/>
      <c r="F519" s="127"/>
      <c r="G519" s="127"/>
      <c r="H519" s="130"/>
      <c r="I519" s="130"/>
      <c r="J519" s="130">
        <f t="shared" si="1"/>
        <v>0</v>
      </c>
      <c r="K519" s="130"/>
      <c r="L519" s="130"/>
      <c r="M519" s="130">
        <f t="shared" si="2"/>
        <v>0</v>
      </c>
      <c r="N519" s="130"/>
      <c r="O519" s="130"/>
      <c r="P519" s="127"/>
      <c r="Q519" s="127"/>
      <c r="R519" s="127"/>
      <c r="S519" s="127"/>
      <c r="T519" s="127" t="str">
        <f>IF(A519="","",VLOOKUP(A519,'BASE OS'!$A$2:$I1000,4,FALSE))</f>
        <v/>
      </c>
      <c r="U519" s="127"/>
      <c r="V519" s="127"/>
      <c r="W519" s="127" t="str">
        <f t="shared" si="3"/>
        <v/>
      </c>
      <c r="X519" s="127" t="str">
        <f t="shared" si="4"/>
        <v/>
      </c>
      <c r="Y519" s="127" t="str">
        <f t="shared" si="5"/>
        <v/>
      </c>
    </row>
    <row r="520">
      <c r="A520" s="127"/>
      <c r="B520" s="127" t="str">
        <f>IF(A520="","",VLOOKUP(A520,'BASE OS'!$A$2:$I1000,2,FALSE))</f>
        <v/>
      </c>
      <c r="C520" s="132"/>
      <c r="D520" s="127"/>
      <c r="E520" s="127"/>
      <c r="F520" s="127"/>
      <c r="G520" s="127"/>
      <c r="H520" s="130"/>
      <c r="I520" s="130"/>
      <c r="J520" s="130">
        <f t="shared" si="1"/>
        <v>0</v>
      </c>
      <c r="K520" s="130"/>
      <c r="L520" s="130"/>
      <c r="M520" s="130">
        <f t="shared" si="2"/>
        <v>0</v>
      </c>
      <c r="N520" s="130"/>
      <c r="O520" s="130"/>
      <c r="P520" s="127"/>
      <c r="Q520" s="127"/>
      <c r="R520" s="127"/>
      <c r="S520" s="127"/>
      <c r="T520" s="127" t="str">
        <f>IF(A520="","",VLOOKUP(A520,'BASE OS'!$A$2:$I1000,4,FALSE))</f>
        <v/>
      </c>
      <c r="U520" s="127"/>
      <c r="V520" s="127"/>
      <c r="W520" s="127" t="str">
        <f t="shared" si="3"/>
        <v/>
      </c>
      <c r="X520" s="127" t="str">
        <f t="shared" si="4"/>
        <v/>
      </c>
      <c r="Y520" s="127" t="str">
        <f t="shared" si="5"/>
        <v/>
      </c>
    </row>
    <row r="521">
      <c r="A521" s="127"/>
      <c r="B521" s="127" t="str">
        <f>IF(A521="","",VLOOKUP(A521,'BASE OS'!$A$2:$I1000,2,FALSE))</f>
        <v/>
      </c>
      <c r="C521" s="132"/>
      <c r="D521" s="127"/>
      <c r="E521" s="127"/>
      <c r="F521" s="127"/>
      <c r="G521" s="127"/>
      <c r="H521" s="130"/>
      <c r="I521" s="130"/>
      <c r="J521" s="130">
        <f t="shared" si="1"/>
        <v>0</v>
      </c>
      <c r="K521" s="130"/>
      <c r="L521" s="130"/>
      <c r="M521" s="130">
        <f t="shared" si="2"/>
        <v>0</v>
      </c>
      <c r="N521" s="130"/>
      <c r="O521" s="130"/>
      <c r="P521" s="127"/>
      <c r="Q521" s="127"/>
      <c r="R521" s="127"/>
      <c r="S521" s="127"/>
      <c r="T521" s="127" t="str">
        <f>IF(A521="","",VLOOKUP(A521,'BASE OS'!$A$2:$I1000,4,FALSE))</f>
        <v/>
      </c>
      <c r="U521" s="127"/>
      <c r="V521" s="127"/>
      <c r="W521" s="127" t="str">
        <f t="shared" si="3"/>
        <v/>
      </c>
      <c r="X521" s="127" t="str">
        <f t="shared" si="4"/>
        <v/>
      </c>
      <c r="Y521" s="127" t="str">
        <f t="shared" si="5"/>
        <v/>
      </c>
    </row>
    <row r="522">
      <c r="A522" s="127"/>
      <c r="B522" s="127" t="str">
        <f>IF(A522="","",VLOOKUP(A522,'BASE OS'!$A$2:$I1000,2,FALSE))</f>
        <v/>
      </c>
      <c r="C522" s="132"/>
      <c r="D522" s="127"/>
      <c r="E522" s="127"/>
      <c r="F522" s="127"/>
      <c r="G522" s="127"/>
      <c r="H522" s="130"/>
      <c r="I522" s="130"/>
      <c r="J522" s="130">
        <f t="shared" si="1"/>
        <v>0</v>
      </c>
      <c r="K522" s="130"/>
      <c r="L522" s="130"/>
      <c r="M522" s="130">
        <f t="shared" si="2"/>
        <v>0</v>
      </c>
      <c r="N522" s="130"/>
      <c r="O522" s="130"/>
      <c r="P522" s="127"/>
      <c r="Q522" s="127"/>
      <c r="R522" s="127"/>
      <c r="S522" s="127"/>
      <c r="T522" s="127" t="str">
        <f>IF(A522="","",VLOOKUP(A522,'BASE OS'!$A$2:$I1000,4,FALSE))</f>
        <v/>
      </c>
      <c r="U522" s="127"/>
      <c r="V522" s="127"/>
      <c r="W522" s="127" t="str">
        <f t="shared" si="3"/>
        <v/>
      </c>
      <c r="X522" s="127" t="str">
        <f t="shared" si="4"/>
        <v/>
      </c>
      <c r="Y522" s="127" t="str">
        <f t="shared" si="5"/>
        <v/>
      </c>
    </row>
    <row r="523">
      <c r="A523" s="127"/>
      <c r="B523" s="127" t="str">
        <f>IF(A523="","",VLOOKUP(A523,'BASE OS'!$A$2:$I1000,2,FALSE))</f>
        <v/>
      </c>
      <c r="C523" s="132"/>
      <c r="D523" s="127"/>
      <c r="E523" s="127"/>
      <c r="F523" s="127"/>
      <c r="G523" s="127"/>
      <c r="H523" s="130"/>
      <c r="I523" s="130"/>
      <c r="J523" s="130">
        <f t="shared" si="1"/>
        <v>0</v>
      </c>
      <c r="K523" s="130"/>
      <c r="L523" s="130"/>
      <c r="M523" s="130">
        <f t="shared" si="2"/>
        <v>0</v>
      </c>
      <c r="N523" s="130"/>
      <c r="O523" s="130"/>
      <c r="P523" s="127"/>
      <c r="Q523" s="127"/>
      <c r="R523" s="127"/>
      <c r="S523" s="127"/>
      <c r="T523" s="127" t="str">
        <f>IF(A523="","",VLOOKUP(A523,'BASE OS'!$A$2:$I1000,4,FALSE))</f>
        <v/>
      </c>
      <c r="U523" s="127"/>
      <c r="V523" s="127"/>
      <c r="W523" s="127" t="str">
        <f t="shared" si="3"/>
        <v/>
      </c>
      <c r="X523" s="127" t="str">
        <f t="shared" si="4"/>
        <v/>
      </c>
      <c r="Y523" s="127" t="str">
        <f t="shared" si="5"/>
        <v/>
      </c>
    </row>
    <row r="524">
      <c r="A524" s="127"/>
      <c r="B524" s="127" t="str">
        <f>IF(A524="","",VLOOKUP(A524,'BASE OS'!$A$2:$I1000,2,FALSE))</f>
        <v/>
      </c>
      <c r="C524" s="132"/>
      <c r="D524" s="127"/>
      <c r="E524" s="127"/>
      <c r="F524" s="127"/>
      <c r="G524" s="127"/>
      <c r="H524" s="130"/>
      <c r="I524" s="130"/>
      <c r="J524" s="130">
        <f t="shared" si="1"/>
        <v>0</v>
      </c>
      <c r="K524" s="130"/>
      <c r="L524" s="130"/>
      <c r="M524" s="130">
        <f t="shared" si="2"/>
        <v>0</v>
      </c>
      <c r="N524" s="130"/>
      <c r="O524" s="130"/>
      <c r="P524" s="127"/>
      <c r="Q524" s="127"/>
      <c r="R524" s="127"/>
      <c r="S524" s="127"/>
      <c r="T524" s="127" t="str">
        <f>IF(A524="","",VLOOKUP(A524,'BASE OS'!$A$2:$I1000,4,FALSE))</f>
        <v/>
      </c>
      <c r="U524" s="127"/>
      <c r="V524" s="127"/>
      <c r="W524" s="127" t="str">
        <f t="shared" si="3"/>
        <v/>
      </c>
      <c r="X524" s="127" t="str">
        <f t="shared" si="4"/>
        <v/>
      </c>
      <c r="Y524" s="127" t="str">
        <f t="shared" si="5"/>
        <v/>
      </c>
    </row>
    <row r="525">
      <c r="A525" s="127"/>
      <c r="B525" s="127" t="str">
        <f>IF(A525="","",VLOOKUP(A525,'BASE OS'!$A$2:$I1000,2,FALSE))</f>
        <v/>
      </c>
      <c r="C525" s="132"/>
      <c r="D525" s="127"/>
      <c r="E525" s="127"/>
      <c r="F525" s="127"/>
      <c r="G525" s="127"/>
      <c r="H525" s="130"/>
      <c r="I525" s="130"/>
      <c r="J525" s="130">
        <f t="shared" si="1"/>
        <v>0</v>
      </c>
      <c r="K525" s="130"/>
      <c r="L525" s="130"/>
      <c r="M525" s="130">
        <f t="shared" si="2"/>
        <v>0</v>
      </c>
      <c r="N525" s="130"/>
      <c r="O525" s="130"/>
      <c r="P525" s="127"/>
      <c r="Q525" s="127"/>
      <c r="R525" s="127"/>
      <c r="S525" s="127"/>
      <c r="T525" s="127" t="str">
        <f>IF(A525="","",VLOOKUP(A525,'BASE OS'!$A$2:$I1000,4,FALSE))</f>
        <v/>
      </c>
      <c r="U525" s="127"/>
      <c r="V525" s="127"/>
      <c r="W525" s="127" t="str">
        <f t="shared" si="3"/>
        <v/>
      </c>
      <c r="X525" s="127" t="str">
        <f t="shared" si="4"/>
        <v/>
      </c>
      <c r="Y525" s="127" t="str">
        <f t="shared" si="5"/>
        <v/>
      </c>
    </row>
    <row r="526">
      <c r="A526" s="127"/>
      <c r="B526" s="127" t="str">
        <f>IF(A526="","",VLOOKUP(A526,'BASE OS'!$A$2:$I1000,2,FALSE))</f>
        <v/>
      </c>
      <c r="C526" s="132"/>
      <c r="D526" s="127"/>
      <c r="E526" s="127"/>
      <c r="F526" s="127"/>
      <c r="G526" s="127"/>
      <c r="H526" s="130"/>
      <c r="I526" s="130"/>
      <c r="J526" s="130">
        <f t="shared" si="1"/>
        <v>0</v>
      </c>
      <c r="K526" s="130"/>
      <c r="L526" s="130"/>
      <c r="M526" s="130">
        <f t="shared" si="2"/>
        <v>0</v>
      </c>
      <c r="N526" s="130"/>
      <c r="O526" s="130"/>
      <c r="P526" s="127"/>
      <c r="Q526" s="127"/>
      <c r="R526" s="127"/>
      <c r="S526" s="127"/>
      <c r="T526" s="127" t="str">
        <f>IF(A526="","",VLOOKUP(A526,'BASE OS'!$A$2:$I1000,4,FALSE))</f>
        <v/>
      </c>
      <c r="U526" s="127"/>
      <c r="V526" s="127"/>
      <c r="W526" s="127" t="str">
        <f t="shared" si="3"/>
        <v/>
      </c>
      <c r="X526" s="127" t="str">
        <f t="shared" si="4"/>
        <v/>
      </c>
      <c r="Y526" s="127" t="str">
        <f t="shared" si="5"/>
        <v/>
      </c>
    </row>
    <row r="527">
      <c r="A527" s="127"/>
      <c r="B527" s="127" t="str">
        <f>IF(A527="","",VLOOKUP(A527,'BASE OS'!$A$2:$I1000,2,FALSE))</f>
        <v/>
      </c>
      <c r="C527" s="132"/>
      <c r="D527" s="127"/>
      <c r="E527" s="127"/>
      <c r="F527" s="127"/>
      <c r="G527" s="127"/>
      <c r="H527" s="130"/>
      <c r="I527" s="130"/>
      <c r="J527" s="130">
        <f t="shared" si="1"/>
        <v>0</v>
      </c>
      <c r="K527" s="130"/>
      <c r="L527" s="130"/>
      <c r="M527" s="130">
        <f t="shared" si="2"/>
        <v>0</v>
      </c>
      <c r="N527" s="130"/>
      <c r="O527" s="130"/>
      <c r="P527" s="127"/>
      <c r="Q527" s="127"/>
      <c r="R527" s="127"/>
      <c r="S527" s="127"/>
      <c r="T527" s="127" t="str">
        <f>IF(A527="","",VLOOKUP(A527,'BASE OS'!$A$2:$I1000,4,FALSE))</f>
        <v/>
      </c>
      <c r="U527" s="127"/>
      <c r="V527" s="127"/>
      <c r="W527" s="127" t="str">
        <f t="shared" si="3"/>
        <v/>
      </c>
      <c r="X527" s="127" t="str">
        <f t="shared" si="4"/>
        <v/>
      </c>
      <c r="Y527" s="127" t="str">
        <f t="shared" si="5"/>
        <v/>
      </c>
    </row>
    <row r="528">
      <c r="A528" s="127"/>
      <c r="B528" s="127" t="str">
        <f>IF(A528="","",VLOOKUP(A528,'BASE OS'!$A$2:$I1000,2,FALSE))</f>
        <v/>
      </c>
      <c r="C528" s="132"/>
      <c r="D528" s="127"/>
      <c r="E528" s="127"/>
      <c r="F528" s="127"/>
      <c r="G528" s="127"/>
      <c r="H528" s="130"/>
      <c r="I528" s="130"/>
      <c r="J528" s="130">
        <f t="shared" si="1"/>
        <v>0</v>
      </c>
      <c r="K528" s="130"/>
      <c r="L528" s="130"/>
      <c r="M528" s="130">
        <f t="shared" si="2"/>
        <v>0</v>
      </c>
      <c r="N528" s="130"/>
      <c r="O528" s="130"/>
      <c r="P528" s="127"/>
      <c r="Q528" s="127"/>
      <c r="R528" s="127"/>
      <c r="S528" s="127"/>
      <c r="T528" s="127" t="str">
        <f>IF(A528="","",VLOOKUP(A528,'BASE OS'!$A$2:$I1000,4,FALSE))</f>
        <v/>
      </c>
      <c r="U528" s="127"/>
      <c r="V528" s="127"/>
      <c r="W528" s="127" t="str">
        <f t="shared" si="3"/>
        <v/>
      </c>
      <c r="X528" s="127" t="str">
        <f t="shared" si="4"/>
        <v/>
      </c>
      <c r="Y528" s="127" t="str">
        <f t="shared" si="5"/>
        <v/>
      </c>
    </row>
    <row r="529">
      <c r="A529" s="127"/>
      <c r="B529" s="127" t="str">
        <f>IF(A529="","",VLOOKUP(A529,'BASE OS'!$A$2:$I1000,2,FALSE))</f>
        <v/>
      </c>
      <c r="C529" s="132"/>
      <c r="D529" s="127"/>
      <c r="E529" s="127"/>
      <c r="F529" s="127"/>
      <c r="G529" s="127"/>
      <c r="H529" s="130"/>
      <c r="I529" s="130"/>
      <c r="J529" s="130">
        <f t="shared" si="1"/>
        <v>0</v>
      </c>
      <c r="K529" s="130"/>
      <c r="L529" s="130"/>
      <c r="M529" s="130">
        <f t="shared" si="2"/>
        <v>0</v>
      </c>
      <c r="N529" s="130"/>
      <c r="O529" s="130"/>
      <c r="P529" s="127"/>
      <c r="Q529" s="127"/>
      <c r="R529" s="127"/>
      <c r="S529" s="127"/>
      <c r="T529" s="127" t="str">
        <f>IF(A529="","",VLOOKUP(A529,'BASE OS'!$A$2:$I1000,4,FALSE))</f>
        <v/>
      </c>
      <c r="U529" s="127"/>
      <c r="V529" s="127"/>
      <c r="W529" s="127" t="str">
        <f t="shared" si="3"/>
        <v/>
      </c>
      <c r="X529" s="127" t="str">
        <f t="shared" si="4"/>
        <v/>
      </c>
      <c r="Y529" s="127" t="str">
        <f t="shared" si="5"/>
        <v/>
      </c>
    </row>
    <row r="530">
      <c r="A530" s="127"/>
      <c r="B530" s="127" t="str">
        <f>IF(A530="","",VLOOKUP(A530,'BASE OS'!$A$2:$I1000,2,FALSE))</f>
        <v/>
      </c>
      <c r="C530" s="132"/>
      <c r="D530" s="127"/>
      <c r="E530" s="127"/>
      <c r="F530" s="127"/>
      <c r="G530" s="127"/>
      <c r="H530" s="130"/>
      <c r="I530" s="130"/>
      <c r="J530" s="130">
        <f t="shared" si="1"/>
        <v>0</v>
      </c>
      <c r="K530" s="130"/>
      <c r="L530" s="130"/>
      <c r="M530" s="130">
        <f t="shared" si="2"/>
        <v>0</v>
      </c>
      <c r="N530" s="130"/>
      <c r="O530" s="130"/>
      <c r="P530" s="127"/>
      <c r="Q530" s="127"/>
      <c r="R530" s="127"/>
      <c r="S530" s="127"/>
      <c r="T530" s="127" t="str">
        <f>IF(A530="","",VLOOKUP(A530,'BASE OS'!$A$2:$I1000,4,FALSE))</f>
        <v/>
      </c>
      <c r="U530" s="127"/>
      <c r="V530" s="127"/>
      <c r="W530" s="127" t="str">
        <f t="shared" si="3"/>
        <v/>
      </c>
      <c r="X530" s="127" t="str">
        <f t="shared" si="4"/>
        <v/>
      </c>
      <c r="Y530" s="127" t="str">
        <f t="shared" si="5"/>
        <v/>
      </c>
    </row>
    <row r="531">
      <c r="A531" s="127"/>
      <c r="B531" s="127" t="str">
        <f>IF(A531="","",VLOOKUP(A531,'BASE OS'!$A$2:$I1000,2,FALSE))</f>
        <v/>
      </c>
      <c r="C531" s="132"/>
      <c r="D531" s="127"/>
      <c r="E531" s="127"/>
      <c r="F531" s="127"/>
      <c r="G531" s="127"/>
      <c r="H531" s="130"/>
      <c r="I531" s="130"/>
      <c r="J531" s="130">
        <f t="shared" si="1"/>
        <v>0</v>
      </c>
      <c r="K531" s="130"/>
      <c r="L531" s="130"/>
      <c r="M531" s="130">
        <f t="shared" si="2"/>
        <v>0</v>
      </c>
      <c r="N531" s="130"/>
      <c r="O531" s="130"/>
      <c r="P531" s="127"/>
      <c r="Q531" s="127"/>
      <c r="R531" s="127"/>
      <c r="S531" s="127"/>
      <c r="T531" s="127" t="str">
        <f>IF(A531="","",VLOOKUP(A531,'BASE OS'!$A$2:$I1000,4,FALSE))</f>
        <v/>
      </c>
      <c r="U531" s="127"/>
      <c r="V531" s="127"/>
      <c r="W531" s="127" t="str">
        <f t="shared" si="3"/>
        <v/>
      </c>
      <c r="X531" s="127" t="str">
        <f t="shared" si="4"/>
        <v/>
      </c>
      <c r="Y531" s="127" t="str">
        <f t="shared" si="5"/>
        <v/>
      </c>
    </row>
    <row r="532">
      <c r="A532" s="127"/>
      <c r="B532" s="127" t="str">
        <f>IF(A532="","",VLOOKUP(A532,'BASE OS'!$A$2:$I1000,2,FALSE))</f>
        <v/>
      </c>
      <c r="C532" s="132"/>
      <c r="D532" s="127"/>
      <c r="E532" s="127"/>
      <c r="F532" s="127"/>
      <c r="G532" s="127"/>
      <c r="H532" s="130"/>
      <c r="I532" s="130"/>
      <c r="J532" s="130">
        <f t="shared" si="1"/>
        <v>0</v>
      </c>
      <c r="K532" s="130"/>
      <c r="L532" s="130"/>
      <c r="M532" s="130">
        <f t="shared" si="2"/>
        <v>0</v>
      </c>
      <c r="N532" s="130"/>
      <c r="O532" s="130"/>
      <c r="P532" s="127"/>
      <c r="Q532" s="127"/>
      <c r="R532" s="127"/>
      <c r="S532" s="127"/>
      <c r="T532" s="127" t="str">
        <f>IF(A532="","",VLOOKUP(A532,'BASE OS'!$A$2:$I1000,4,FALSE))</f>
        <v/>
      </c>
      <c r="U532" s="127"/>
      <c r="V532" s="127"/>
      <c r="W532" s="127" t="str">
        <f t="shared" si="3"/>
        <v/>
      </c>
      <c r="X532" s="127" t="str">
        <f t="shared" si="4"/>
        <v/>
      </c>
      <c r="Y532" s="127" t="str">
        <f t="shared" si="5"/>
        <v/>
      </c>
    </row>
    <row r="533">
      <c r="A533" s="127"/>
      <c r="B533" s="127" t="str">
        <f>IF(A533="","",VLOOKUP(A533,'BASE OS'!$A$2:$I1000,2,FALSE))</f>
        <v/>
      </c>
      <c r="C533" s="132"/>
      <c r="D533" s="127"/>
      <c r="E533" s="127"/>
      <c r="F533" s="127"/>
      <c r="G533" s="127"/>
      <c r="H533" s="130"/>
      <c r="I533" s="130"/>
      <c r="J533" s="130">
        <f t="shared" si="1"/>
        <v>0</v>
      </c>
      <c r="K533" s="130"/>
      <c r="L533" s="130"/>
      <c r="M533" s="130">
        <f t="shared" si="2"/>
        <v>0</v>
      </c>
      <c r="N533" s="130"/>
      <c r="O533" s="130"/>
      <c r="P533" s="127"/>
      <c r="Q533" s="127"/>
      <c r="R533" s="127"/>
      <c r="S533" s="127"/>
      <c r="T533" s="127" t="str">
        <f>IF(A533="","",VLOOKUP(A533,'BASE OS'!$A$2:$I1000,4,FALSE))</f>
        <v/>
      </c>
      <c r="U533" s="127"/>
      <c r="V533" s="127"/>
      <c r="W533" s="127" t="str">
        <f t="shared" si="3"/>
        <v/>
      </c>
      <c r="X533" s="127" t="str">
        <f t="shared" si="4"/>
        <v/>
      </c>
      <c r="Y533" s="127" t="str">
        <f t="shared" si="5"/>
        <v/>
      </c>
    </row>
    <row r="534">
      <c r="A534" s="127"/>
      <c r="B534" s="127" t="str">
        <f>IF(A534="","",VLOOKUP(A534,'BASE OS'!$A$2:$I1000,2,FALSE))</f>
        <v/>
      </c>
      <c r="C534" s="132"/>
      <c r="D534" s="127"/>
      <c r="E534" s="127"/>
      <c r="F534" s="127"/>
      <c r="G534" s="127"/>
      <c r="H534" s="130"/>
      <c r="I534" s="130"/>
      <c r="J534" s="130">
        <f t="shared" si="1"/>
        <v>0</v>
      </c>
      <c r="K534" s="130"/>
      <c r="L534" s="130"/>
      <c r="M534" s="130">
        <f t="shared" si="2"/>
        <v>0</v>
      </c>
      <c r="N534" s="130"/>
      <c r="O534" s="130"/>
      <c r="P534" s="127"/>
      <c r="Q534" s="127"/>
      <c r="R534" s="127"/>
      <c r="S534" s="127"/>
      <c r="T534" s="127" t="str">
        <f>IF(A534="","",VLOOKUP(A534,'BASE OS'!$A$2:$I1000,4,FALSE))</f>
        <v/>
      </c>
      <c r="U534" s="127"/>
      <c r="V534" s="127"/>
      <c r="W534" s="127" t="str">
        <f t="shared" si="3"/>
        <v/>
      </c>
      <c r="X534" s="127" t="str">
        <f t="shared" si="4"/>
        <v/>
      </c>
      <c r="Y534" s="127" t="str">
        <f t="shared" si="5"/>
        <v/>
      </c>
    </row>
    <row r="535">
      <c r="A535" s="127"/>
      <c r="B535" s="127" t="str">
        <f>IF(A535="","",VLOOKUP(A535,'BASE OS'!$A$2:$I1000,2,FALSE))</f>
        <v/>
      </c>
      <c r="C535" s="132"/>
      <c r="D535" s="127"/>
      <c r="E535" s="127"/>
      <c r="F535" s="127"/>
      <c r="G535" s="127"/>
      <c r="H535" s="130"/>
      <c r="I535" s="130"/>
      <c r="J535" s="130">
        <f t="shared" si="1"/>
        <v>0</v>
      </c>
      <c r="K535" s="130"/>
      <c r="L535" s="130"/>
      <c r="M535" s="130">
        <f t="shared" si="2"/>
        <v>0</v>
      </c>
      <c r="N535" s="130"/>
      <c r="O535" s="130"/>
      <c r="P535" s="127"/>
      <c r="Q535" s="127"/>
      <c r="R535" s="127"/>
      <c r="S535" s="127"/>
      <c r="T535" s="127" t="str">
        <f>IF(A535="","",VLOOKUP(A535,'BASE OS'!$A$2:$I1000,4,FALSE))</f>
        <v/>
      </c>
      <c r="U535" s="127"/>
      <c r="V535" s="127"/>
      <c r="W535" s="127" t="str">
        <f t="shared" si="3"/>
        <v/>
      </c>
      <c r="X535" s="127" t="str">
        <f t="shared" si="4"/>
        <v/>
      </c>
      <c r="Y535" s="127" t="str">
        <f t="shared" si="5"/>
        <v/>
      </c>
    </row>
    <row r="536">
      <c r="A536" s="127"/>
      <c r="B536" s="127" t="str">
        <f>IF(A536="","",VLOOKUP(A536,'BASE OS'!$A$2:$I1000,2,FALSE))</f>
        <v/>
      </c>
      <c r="C536" s="132"/>
      <c r="D536" s="127"/>
      <c r="E536" s="127"/>
      <c r="F536" s="127"/>
      <c r="G536" s="127"/>
      <c r="H536" s="130"/>
      <c r="I536" s="130"/>
      <c r="J536" s="130">
        <f t="shared" si="1"/>
        <v>0</v>
      </c>
      <c r="K536" s="130"/>
      <c r="L536" s="130"/>
      <c r="M536" s="130">
        <f t="shared" si="2"/>
        <v>0</v>
      </c>
      <c r="N536" s="130"/>
      <c r="O536" s="130"/>
      <c r="P536" s="127"/>
      <c r="Q536" s="127"/>
      <c r="R536" s="127"/>
      <c r="S536" s="127"/>
      <c r="T536" s="127" t="str">
        <f>IF(A536="","",VLOOKUP(A536,'BASE OS'!$A$2:$I1000,4,FALSE))</f>
        <v/>
      </c>
      <c r="U536" s="127"/>
      <c r="V536" s="127"/>
      <c r="W536" s="127" t="str">
        <f t="shared" si="3"/>
        <v/>
      </c>
      <c r="X536" s="127" t="str">
        <f t="shared" si="4"/>
        <v/>
      </c>
      <c r="Y536" s="127" t="str">
        <f t="shared" si="5"/>
        <v/>
      </c>
    </row>
    <row r="537">
      <c r="A537" s="127"/>
      <c r="B537" s="127" t="str">
        <f>IF(A537="","",VLOOKUP(A537,'BASE OS'!$A$2:$I1000,2,FALSE))</f>
        <v/>
      </c>
      <c r="C537" s="132"/>
      <c r="D537" s="127"/>
      <c r="E537" s="127"/>
      <c r="F537" s="127"/>
      <c r="G537" s="127"/>
      <c r="H537" s="130"/>
      <c r="I537" s="130"/>
      <c r="J537" s="130">
        <f t="shared" si="1"/>
        <v>0</v>
      </c>
      <c r="K537" s="130"/>
      <c r="L537" s="130"/>
      <c r="M537" s="130">
        <f t="shared" si="2"/>
        <v>0</v>
      </c>
      <c r="N537" s="130"/>
      <c r="O537" s="130"/>
      <c r="P537" s="127"/>
      <c r="Q537" s="127"/>
      <c r="R537" s="127"/>
      <c r="S537" s="127"/>
      <c r="T537" s="127" t="str">
        <f>IF(A537="","",VLOOKUP(A537,'BASE OS'!$A$2:$I1000,4,FALSE))</f>
        <v/>
      </c>
      <c r="U537" s="127"/>
      <c r="V537" s="127"/>
      <c r="W537" s="127" t="str">
        <f t="shared" si="3"/>
        <v/>
      </c>
      <c r="X537" s="127" t="str">
        <f t="shared" si="4"/>
        <v/>
      </c>
      <c r="Y537" s="127" t="str">
        <f t="shared" si="5"/>
        <v/>
      </c>
    </row>
    <row r="538">
      <c r="A538" s="127"/>
      <c r="B538" s="127" t="str">
        <f>IF(A538="","",VLOOKUP(A538,'BASE OS'!$A$2:$I1000,2,FALSE))</f>
        <v/>
      </c>
      <c r="C538" s="132"/>
      <c r="D538" s="127"/>
      <c r="E538" s="127"/>
      <c r="F538" s="127"/>
      <c r="G538" s="127"/>
      <c r="H538" s="130"/>
      <c r="I538" s="130"/>
      <c r="J538" s="130">
        <f t="shared" si="1"/>
        <v>0</v>
      </c>
      <c r="K538" s="130"/>
      <c r="L538" s="130"/>
      <c r="M538" s="130">
        <f t="shared" si="2"/>
        <v>0</v>
      </c>
      <c r="N538" s="130"/>
      <c r="O538" s="130"/>
      <c r="P538" s="127"/>
      <c r="Q538" s="127"/>
      <c r="R538" s="127"/>
      <c r="S538" s="127"/>
      <c r="T538" s="127" t="str">
        <f>IF(A538="","",VLOOKUP(A538,'BASE OS'!$A$2:$I1000,4,FALSE))</f>
        <v/>
      </c>
      <c r="U538" s="127"/>
      <c r="V538" s="127"/>
      <c r="W538" s="127" t="str">
        <f t="shared" si="3"/>
        <v/>
      </c>
      <c r="X538" s="127" t="str">
        <f t="shared" si="4"/>
        <v/>
      </c>
      <c r="Y538" s="127" t="str">
        <f t="shared" si="5"/>
        <v/>
      </c>
    </row>
    <row r="539">
      <c r="A539" s="127"/>
      <c r="B539" s="127" t="str">
        <f>IF(A539="","",VLOOKUP(A539,'BASE OS'!$A$2:$I1000,2,FALSE))</f>
        <v/>
      </c>
      <c r="C539" s="132"/>
      <c r="D539" s="127"/>
      <c r="E539" s="127"/>
      <c r="F539" s="127"/>
      <c r="G539" s="127"/>
      <c r="H539" s="130"/>
      <c r="I539" s="130"/>
      <c r="J539" s="130">
        <f t="shared" si="1"/>
        <v>0</v>
      </c>
      <c r="K539" s="130"/>
      <c r="L539" s="130"/>
      <c r="M539" s="130">
        <f t="shared" si="2"/>
        <v>0</v>
      </c>
      <c r="N539" s="130"/>
      <c r="O539" s="130"/>
      <c r="P539" s="127"/>
      <c r="Q539" s="127"/>
      <c r="R539" s="127"/>
      <c r="S539" s="127"/>
      <c r="T539" s="127" t="str">
        <f>IF(A539="","",VLOOKUP(A539,'BASE OS'!$A$2:$I1000,4,FALSE))</f>
        <v/>
      </c>
      <c r="U539" s="127"/>
      <c r="V539" s="127"/>
      <c r="W539" s="127" t="str">
        <f t="shared" si="3"/>
        <v/>
      </c>
      <c r="X539" s="127" t="str">
        <f t="shared" si="4"/>
        <v/>
      </c>
      <c r="Y539" s="127" t="str">
        <f t="shared" si="5"/>
        <v/>
      </c>
    </row>
    <row r="540">
      <c r="A540" s="127"/>
      <c r="B540" s="127" t="str">
        <f>IF(A540="","",VLOOKUP(A540,'BASE OS'!$A$2:$I1000,2,FALSE))</f>
        <v/>
      </c>
      <c r="C540" s="132"/>
      <c r="D540" s="127"/>
      <c r="E540" s="127"/>
      <c r="F540" s="127"/>
      <c r="G540" s="127"/>
      <c r="H540" s="130"/>
      <c r="I540" s="130"/>
      <c r="J540" s="130">
        <f t="shared" si="1"/>
        <v>0</v>
      </c>
      <c r="K540" s="130"/>
      <c r="L540" s="130"/>
      <c r="M540" s="130">
        <f t="shared" si="2"/>
        <v>0</v>
      </c>
      <c r="N540" s="130"/>
      <c r="O540" s="130"/>
      <c r="P540" s="127"/>
      <c r="Q540" s="127"/>
      <c r="R540" s="127"/>
      <c r="S540" s="127"/>
      <c r="T540" s="127" t="str">
        <f>IF(A540="","",VLOOKUP(A540,'BASE OS'!$A$2:$I1000,4,FALSE))</f>
        <v/>
      </c>
      <c r="U540" s="127"/>
      <c r="V540" s="127"/>
      <c r="W540" s="127" t="str">
        <f t="shared" si="3"/>
        <v/>
      </c>
      <c r="X540" s="127" t="str">
        <f t="shared" si="4"/>
        <v/>
      </c>
      <c r="Y540" s="127" t="str">
        <f t="shared" si="5"/>
        <v/>
      </c>
    </row>
    <row r="541">
      <c r="A541" s="127"/>
      <c r="B541" s="127" t="str">
        <f>IF(A541="","",VLOOKUP(A541,'BASE OS'!$A$2:$I1000,2,FALSE))</f>
        <v/>
      </c>
      <c r="C541" s="132"/>
      <c r="D541" s="127"/>
      <c r="E541" s="127"/>
      <c r="F541" s="127"/>
      <c r="G541" s="127"/>
      <c r="H541" s="130"/>
      <c r="I541" s="130"/>
      <c r="J541" s="130">
        <f t="shared" si="1"/>
        <v>0</v>
      </c>
      <c r="K541" s="130"/>
      <c r="L541" s="130"/>
      <c r="M541" s="130">
        <f t="shared" si="2"/>
        <v>0</v>
      </c>
      <c r="N541" s="130"/>
      <c r="O541" s="130"/>
      <c r="P541" s="127"/>
      <c r="Q541" s="127"/>
      <c r="R541" s="127"/>
      <c r="S541" s="127"/>
      <c r="T541" s="127" t="str">
        <f>IF(A541="","",VLOOKUP(A541,'BASE OS'!$A$2:$I1000,4,FALSE))</f>
        <v/>
      </c>
      <c r="U541" s="127"/>
      <c r="V541" s="127"/>
      <c r="W541" s="127" t="str">
        <f t="shared" si="3"/>
        <v/>
      </c>
      <c r="X541" s="127" t="str">
        <f t="shared" si="4"/>
        <v/>
      </c>
      <c r="Y541" s="127" t="str">
        <f t="shared" si="5"/>
        <v/>
      </c>
    </row>
    <row r="542">
      <c r="A542" s="127"/>
      <c r="B542" s="127" t="str">
        <f>IF(A542="","",VLOOKUP(A542,'BASE OS'!$A$2:$I1000,2,FALSE))</f>
        <v/>
      </c>
      <c r="C542" s="132"/>
      <c r="D542" s="127"/>
      <c r="E542" s="127"/>
      <c r="F542" s="127"/>
      <c r="G542" s="127"/>
      <c r="H542" s="130"/>
      <c r="I542" s="130"/>
      <c r="J542" s="130">
        <f t="shared" si="1"/>
        <v>0</v>
      </c>
      <c r="K542" s="130"/>
      <c r="L542" s="130"/>
      <c r="M542" s="130">
        <f t="shared" si="2"/>
        <v>0</v>
      </c>
      <c r="N542" s="130"/>
      <c r="O542" s="130"/>
      <c r="P542" s="127"/>
      <c r="Q542" s="127"/>
      <c r="R542" s="127"/>
      <c r="S542" s="127"/>
      <c r="T542" s="127" t="str">
        <f>IF(A542="","",VLOOKUP(A542,'BASE OS'!$A$2:$I1000,4,FALSE))</f>
        <v/>
      </c>
      <c r="U542" s="127"/>
      <c r="V542" s="127"/>
      <c r="W542" s="127" t="str">
        <f t="shared" si="3"/>
        <v/>
      </c>
      <c r="X542" s="127" t="str">
        <f t="shared" si="4"/>
        <v/>
      </c>
      <c r="Y542" s="127" t="str">
        <f t="shared" si="5"/>
        <v/>
      </c>
    </row>
    <row r="543">
      <c r="A543" s="127"/>
      <c r="B543" s="127" t="str">
        <f>IF(A543="","",VLOOKUP(A543,'BASE OS'!$A$2:$I1000,2,FALSE))</f>
        <v/>
      </c>
      <c r="C543" s="132"/>
      <c r="D543" s="127"/>
      <c r="E543" s="127"/>
      <c r="F543" s="127"/>
      <c r="G543" s="127"/>
      <c r="H543" s="130"/>
      <c r="I543" s="130"/>
      <c r="J543" s="130">
        <f t="shared" si="1"/>
        <v>0</v>
      </c>
      <c r="K543" s="130"/>
      <c r="L543" s="130"/>
      <c r="M543" s="130">
        <f t="shared" si="2"/>
        <v>0</v>
      </c>
      <c r="N543" s="130"/>
      <c r="O543" s="130"/>
      <c r="P543" s="127"/>
      <c r="Q543" s="127"/>
      <c r="R543" s="127"/>
      <c r="S543" s="127"/>
      <c r="T543" s="127" t="str">
        <f>IF(A543="","",VLOOKUP(A543,'BASE OS'!$A$2:$I1000,4,FALSE))</f>
        <v/>
      </c>
      <c r="U543" s="127"/>
      <c r="V543" s="127"/>
      <c r="W543" s="127" t="str">
        <f t="shared" si="3"/>
        <v/>
      </c>
      <c r="X543" s="127" t="str">
        <f t="shared" si="4"/>
        <v/>
      </c>
      <c r="Y543" s="127" t="str">
        <f t="shared" si="5"/>
        <v/>
      </c>
    </row>
    <row r="544">
      <c r="A544" s="127"/>
      <c r="B544" s="127" t="str">
        <f>IF(A544="","",VLOOKUP(A544,'BASE OS'!$A$2:$I1000,2,FALSE))</f>
        <v/>
      </c>
      <c r="C544" s="132"/>
      <c r="D544" s="127"/>
      <c r="E544" s="127"/>
      <c r="F544" s="127"/>
      <c r="G544" s="127"/>
      <c r="H544" s="130"/>
      <c r="I544" s="130"/>
      <c r="J544" s="130">
        <f t="shared" si="1"/>
        <v>0</v>
      </c>
      <c r="K544" s="130"/>
      <c r="L544" s="130"/>
      <c r="M544" s="130">
        <f t="shared" si="2"/>
        <v>0</v>
      </c>
      <c r="N544" s="130"/>
      <c r="O544" s="130"/>
      <c r="P544" s="127"/>
      <c r="Q544" s="127"/>
      <c r="R544" s="127"/>
      <c r="S544" s="127"/>
      <c r="T544" s="127" t="str">
        <f>IF(A544="","",VLOOKUP(A544,'BASE OS'!$A$2:$I1000,4,FALSE))</f>
        <v/>
      </c>
      <c r="U544" s="127"/>
      <c r="V544" s="127"/>
      <c r="W544" s="127" t="str">
        <f t="shared" si="3"/>
        <v/>
      </c>
      <c r="X544" s="127" t="str">
        <f t="shared" si="4"/>
        <v/>
      </c>
      <c r="Y544" s="127" t="str">
        <f t="shared" si="5"/>
        <v/>
      </c>
    </row>
    <row r="545">
      <c r="A545" s="127"/>
      <c r="B545" s="127" t="str">
        <f>IF(A545="","",VLOOKUP(A545,'BASE OS'!$A$2:$I1000,2,FALSE))</f>
        <v/>
      </c>
      <c r="C545" s="132"/>
      <c r="D545" s="127"/>
      <c r="E545" s="127"/>
      <c r="F545" s="127"/>
      <c r="G545" s="127"/>
      <c r="H545" s="130"/>
      <c r="I545" s="130"/>
      <c r="J545" s="130">
        <f t="shared" si="1"/>
        <v>0</v>
      </c>
      <c r="K545" s="130"/>
      <c r="L545" s="130"/>
      <c r="M545" s="130">
        <f t="shared" si="2"/>
        <v>0</v>
      </c>
      <c r="N545" s="130"/>
      <c r="O545" s="130"/>
      <c r="P545" s="127"/>
      <c r="Q545" s="127"/>
      <c r="R545" s="127"/>
      <c r="S545" s="127"/>
      <c r="T545" s="127" t="str">
        <f>IF(A545="","",VLOOKUP(A545,'BASE OS'!$A$2:$I1000,4,FALSE))</f>
        <v/>
      </c>
      <c r="U545" s="127"/>
      <c r="V545" s="127"/>
      <c r="W545" s="127" t="str">
        <f t="shared" si="3"/>
        <v/>
      </c>
      <c r="X545" s="127" t="str">
        <f t="shared" si="4"/>
        <v/>
      </c>
      <c r="Y545" s="127" t="str">
        <f t="shared" si="5"/>
        <v/>
      </c>
    </row>
    <row r="546">
      <c r="A546" s="127"/>
      <c r="B546" s="127" t="str">
        <f>IF(A546="","",VLOOKUP(A546,'BASE OS'!$A$2:$I1000,2,FALSE))</f>
        <v/>
      </c>
      <c r="C546" s="132"/>
      <c r="D546" s="127"/>
      <c r="E546" s="127"/>
      <c r="F546" s="127"/>
      <c r="G546" s="127"/>
      <c r="H546" s="130"/>
      <c r="I546" s="130"/>
      <c r="J546" s="130">
        <f t="shared" si="1"/>
        <v>0</v>
      </c>
      <c r="K546" s="130"/>
      <c r="L546" s="130"/>
      <c r="M546" s="130">
        <f t="shared" si="2"/>
        <v>0</v>
      </c>
      <c r="N546" s="130"/>
      <c r="O546" s="130"/>
      <c r="P546" s="127"/>
      <c r="Q546" s="127"/>
      <c r="R546" s="127"/>
      <c r="S546" s="127"/>
      <c r="T546" s="127" t="str">
        <f>IF(A546="","",VLOOKUP(A546,'BASE OS'!$A$2:$I1000,4,FALSE))</f>
        <v/>
      </c>
      <c r="U546" s="127"/>
      <c r="V546" s="127"/>
      <c r="W546" s="127" t="str">
        <f t="shared" si="3"/>
        <v/>
      </c>
      <c r="X546" s="127" t="str">
        <f t="shared" si="4"/>
        <v/>
      </c>
      <c r="Y546" s="127" t="str">
        <f t="shared" si="5"/>
        <v/>
      </c>
    </row>
    <row r="547">
      <c r="A547" s="127"/>
      <c r="B547" s="127" t="str">
        <f>IF(A547="","",VLOOKUP(A547,'BASE OS'!$A$2:$I1000,2,FALSE))</f>
        <v/>
      </c>
      <c r="C547" s="132"/>
      <c r="D547" s="127"/>
      <c r="E547" s="127"/>
      <c r="F547" s="127"/>
      <c r="G547" s="127"/>
      <c r="H547" s="130"/>
      <c r="I547" s="130"/>
      <c r="J547" s="130">
        <f t="shared" si="1"/>
        <v>0</v>
      </c>
      <c r="K547" s="130"/>
      <c r="L547" s="130"/>
      <c r="M547" s="130">
        <f t="shared" si="2"/>
        <v>0</v>
      </c>
      <c r="N547" s="130"/>
      <c r="O547" s="130"/>
      <c r="P547" s="127"/>
      <c r="Q547" s="127"/>
      <c r="R547" s="127"/>
      <c r="S547" s="127"/>
      <c r="T547" s="127" t="str">
        <f>IF(A547="","",VLOOKUP(A547,'BASE OS'!$A$2:$I1000,4,FALSE))</f>
        <v/>
      </c>
      <c r="U547" s="127"/>
      <c r="V547" s="127"/>
      <c r="W547" s="127" t="str">
        <f t="shared" si="3"/>
        <v/>
      </c>
      <c r="X547" s="127" t="str">
        <f t="shared" si="4"/>
        <v/>
      </c>
      <c r="Y547" s="127" t="str">
        <f t="shared" si="5"/>
        <v/>
      </c>
    </row>
    <row r="548">
      <c r="A548" s="127"/>
      <c r="B548" s="127" t="str">
        <f>IF(A548="","",VLOOKUP(A548,'BASE OS'!$A$2:$I1000,2,FALSE))</f>
        <v/>
      </c>
      <c r="C548" s="132"/>
      <c r="D548" s="127"/>
      <c r="E548" s="127"/>
      <c r="F548" s="127"/>
      <c r="G548" s="127"/>
      <c r="H548" s="130"/>
      <c r="I548" s="130"/>
      <c r="J548" s="130">
        <f t="shared" si="1"/>
        <v>0</v>
      </c>
      <c r="K548" s="130"/>
      <c r="L548" s="130"/>
      <c r="M548" s="130">
        <f t="shared" si="2"/>
        <v>0</v>
      </c>
      <c r="N548" s="130"/>
      <c r="O548" s="130"/>
      <c r="P548" s="127"/>
      <c r="Q548" s="127"/>
      <c r="R548" s="127"/>
      <c r="S548" s="127"/>
      <c r="T548" s="127" t="str">
        <f>IF(A548="","",VLOOKUP(A548,'BASE OS'!$A$2:$I1000,4,FALSE))</f>
        <v/>
      </c>
      <c r="U548" s="127"/>
      <c r="V548" s="127"/>
      <c r="W548" s="127" t="str">
        <f t="shared" si="3"/>
        <v/>
      </c>
      <c r="X548" s="127" t="str">
        <f t="shared" si="4"/>
        <v/>
      </c>
      <c r="Y548" s="127" t="str">
        <f t="shared" si="5"/>
        <v/>
      </c>
    </row>
    <row r="549">
      <c r="A549" s="127"/>
      <c r="B549" s="127" t="str">
        <f>IF(A549="","",VLOOKUP(A549,'BASE OS'!$A$2:$I1000,2,FALSE))</f>
        <v/>
      </c>
      <c r="C549" s="132"/>
      <c r="D549" s="127"/>
      <c r="E549" s="127"/>
      <c r="F549" s="127"/>
      <c r="G549" s="127"/>
      <c r="H549" s="130"/>
      <c r="I549" s="130"/>
      <c r="J549" s="130">
        <f t="shared" si="1"/>
        <v>0</v>
      </c>
      <c r="K549" s="130"/>
      <c r="L549" s="130"/>
      <c r="M549" s="130">
        <f t="shared" si="2"/>
        <v>0</v>
      </c>
      <c r="N549" s="130"/>
      <c r="O549" s="130"/>
      <c r="P549" s="127"/>
      <c r="Q549" s="127"/>
      <c r="R549" s="127"/>
      <c r="S549" s="127"/>
      <c r="T549" s="127" t="str">
        <f>IF(A549="","",VLOOKUP(A549,'BASE OS'!$A$2:$I1000,4,FALSE))</f>
        <v/>
      </c>
      <c r="U549" s="127"/>
      <c r="V549" s="127"/>
      <c r="W549" s="127" t="str">
        <f t="shared" si="3"/>
        <v/>
      </c>
      <c r="X549" s="127" t="str">
        <f t="shared" si="4"/>
        <v/>
      </c>
      <c r="Y549" s="127" t="str">
        <f t="shared" si="5"/>
        <v/>
      </c>
    </row>
    <row r="550">
      <c r="A550" s="127"/>
      <c r="B550" s="127" t="str">
        <f>IF(A550="","",VLOOKUP(A550,'BASE OS'!$A$2:$I1000,2,FALSE))</f>
        <v/>
      </c>
      <c r="C550" s="132"/>
      <c r="D550" s="127"/>
      <c r="E550" s="127"/>
      <c r="F550" s="127"/>
      <c r="G550" s="127"/>
      <c r="H550" s="130"/>
      <c r="I550" s="130"/>
      <c r="J550" s="130">
        <f t="shared" si="1"/>
        <v>0</v>
      </c>
      <c r="K550" s="130"/>
      <c r="L550" s="130"/>
      <c r="M550" s="130">
        <f t="shared" si="2"/>
        <v>0</v>
      </c>
      <c r="N550" s="130"/>
      <c r="O550" s="130"/>
      <c r="P550" s="127"/>
      <c r="Q550" s="127"/>
      <c r="R550" s="127"/>
      <c r="S550" s="127"/>
      <c r="T550" s="127" t="str">
        <f>IF(A550="","",VLOOKUP(A550,'BASE OS'!$A$2:$I1000,4,FALSE))</f>
        <v/>
      </c>
      <c r="U550" s="127"/>
      <c r="V550" s="127"/>
      <c r="W550" s="127" t="str">
        <f t="shared" si="3"/>
        <v/>
      </c>
      <c r="X550" s="127" t="str">
        <f t="shared" si="4"/>
        <v/>
      </c>
      <c r="Y550" s="127" t="str">
        <f t="shared" si="5"/>
        <v/>
      </c>
    </row>
    <row r="551">
      <c r="A551" s="127"/>
      <c r="B551" s="127" t="str">
        <f>IF(A551="","",VLOOKUP(A551,'BASE OS'!$A$2:$I1000,2,FALSE))</f>
        <v/>
      </c>
      <c r="C551" s="132"/>
      <c r="D551" s="127"/>
      <c r="E551" s="127"/>
      <c r="F551" s="127"/>
      <c r="G551" s="127"/>
      <c r="H551" s="130"/>
      <c r="I551" s="130"/>
      <c r="J551" s="130">
        <f t="shared" si="1"/>
        <v>0</v>
      </c>
      <c r="K551" s="130"/>
      <c r="L551" s="130"/>
      <c r="M551" s="130">
        <f t="shared" si="2"/>
        <v>0</v>
      </c>
      <c r="N551" s="130"/>
      <c r="O551" s="130"/>
      <c r="P551" s="127"/>
      <c r="Q551" s="127"/>
      <c r="R551" s="127"/>
      <c r="S551" s="127"/>
      <c r="T551" s="127" t="str">
        <f>IF(A551="","",VLOOKUP(A551,'BASE OS'!$A$2:$I1000,4,FALSE))</f>
        <v/>
      </c>
      <c r="U551" s="127"/>
      <c r="V551" s="127"/>
      <c r="W551" s="127" t="str">
        <f t="shared" si="3"/>
        <v/>
      </c>
      <c r="X551" s="127" t="str">
        <f t="shared" si="4"/>
        <v/>
      </c>
      <c r="Y551" s="127" t="str">
        <f t="shared" si="5"/>
        <v/>
      </c>
    </row>
    <row r="552">
      <c r="A552" s="127"/>
      <c r="B552" s="127" t="str">
        <f>IF(A552="","",VLOOKUP(A552,'BASE OS'!$A$2:$I1000,2,FALSE))</f>
        <v/>
      </c>
      <c r="C552" s="132"/>
      <c r="D552" s="127"/>
      <c r="E552" s="127"/>
      <c r="F552" s="127"/>
      <c r="G552" s="127"/>
      <c r="H552" s="130"/>
      <c r="I552" s="130"/>
      <c r="J552" s="130">
        <f t="shared" si="1"/>
        <v>0</v>
      </c>
      <c r="K552" s="130"/>
      <c r="L552" s="130"/>
      <c r="M552" s="130">
        <f t="shared" si="2"/>
        <v>0</v>
      </c>
      <c r="N552" s="130"/>
      <c r="O552" s="130"/>
      <c r="P552" s="127"/>
      <c r="Q552" s="127"/>
      <c r="R552" s="127"/>
      <c r="S552" s="127"/>
      <c r="T552" s="127" t="str">
        <f>IF(A552="","",VLOOKUP(A552,'BASE OS'!$A$2:$I1000,4,FALSE))</f>
        <v/>
      </c>
      <c r="U552" s="127"/>
      <c r="V552" s="127"/>
      <c r="W552" s="127" t="str">
        <f t="shared" si="3"/>
        <v/>
      </c>
      <c r="X552" s="127" t="str">
        <f t="shared" si="4"/>
        <v/>
      </c>
      <c r="Y552" s="127" t="str">
        <f t="shared" si="5"/>
        <v/>
      </c>
    </row>
    <row r="553">
      <c r="A553" s="127"/>
      <c r="B553" s="127" t="str">
        <f>IF(A553="","",VLOOKUP(A553,'BASE OS'!$A$2:$I1000,2,FALSE))</f>
        <v/>
      </c>
      <c r="C553" s="132"/>
      <c r="D553" s="127"/>
      <c r="E553" s="127"/>
      <c r="F553" s="127"/>
      <c r="G553" s="127"/>
      <c r="H553" s="130"/>
      <c r="I553" s="130"/>
      <c r="J553" s="130">
        <f t="shared" si="1"/>
        <v>0</v>
      </c>
      <c r="K553" s="130"/>
      <c r="L553" s="130"/>
      <c r="M553" s="130">
        <f t="shared" si="2"/>
        <v>0</v>
      </c>
      <c r="N553" s="130"/>
      <c r="O553" s="130"/>
      <c r="P553" s="127"/>
      <c r="Q553" s="127"/>
      <c r="R553" s="127"/>
      <c r="S553" s="127"/>
      <c r="T553" s="127" t="str">
        <f>IF(A553="","",VLOOKUP(A553,'BASE OS'!$A$2:$I1000,4,FALSE))</f>
        <v/>
      </c>
      <c r="U553" s="127"/>
      <c r="V553" s="127"/>
      <c r="W553" s="127" t="str">
        <f t="shared" si="3"/>
        <v/>
      </c>
      <c r="X553" s="127" t="str">
        <f t="shared" si="4"/>
        <v/>
      </c>
      <c r="Y553" s="127" t="str">
        <f t="shared" si="5"/>
        <v/>
      </c>
    </row>
    <row r="554">
      <c r="A554" s="127"/>
      <c r="B554" s="127" t="str">
        <f>IF(A554="","",VLOOKUP(A554,'BASE OS'!$A$2:$I1000,2,FALSE))</f>
        <v/>
      </c>
      <c r="C554" s="132"/>
      <c r="D554" s="127"/>
      <c r="E554" s="127"/>
      <c r="F554" s="127"/>
      <c r="G554" s="127"/>
      <c r="H554" s="130"/>
      <c r="I554" s="130"/>
      <c r="J554" s="130">
        <f t="shared" si="1"/>
        <v>0</v>
      </c>
      <c r="K554" s="130"/>
      <c r="L554" s="130"/>
      <c r="M554" s="130">
        <f t="shared" si="2"/>
        <v>0</v>
      </c>
      <c r="N554" s="130"/>
      <c r="O554" s="130"/>
      <c r="P554" s="127"/>
      <c r="Q554" s="127"/>
      <c r="R554" s="127"/>
      <c r="S554" s="127"/>
      <c r="T554" s="127" t="str">
        <f>IF(A554="","",VLOOKUP(A554,'BASE OS'!$A$2:$I1000,4,FALSE))</f>
        <v/>
      </c>
      <c r="U554" s="127"/>
      <c r="V554" s="127"/>
      <c r="W554" s="127" t="str">
        <f t="shared" si="3"/>
        <v/>
      </c>
      <c r="X554" s="127" t="str">
        <f t="shared" si="4"/>
        <v/>
      </c>
      <c r="Y554" s="127" t="str">
        <f t="shared" si="5"/>
        <v/>
      </c>
    </row>
    <row r="555">
      <c r="A555" s="127"/>
      <c r="B555" s="127" t="str">
        <f>IF(A555="","",VLOOKUP(A555,'BASE OS'!$A$2:$I1000,2,FALSE))</f>
        <v/>
      </c>
      <c r="C555" s="132"/>
      <c r="D555" s="127"/>
      <c r="E555" s="127"/>
      <c r="F555" s="127"/>
      <c r="G555" s="127"/>
      <c r="H555" s="130"/>
      <c r="I555" s="130"/>
      <c r="J555" s="130">
        <f t="shared" si="1"/>
        <v>0</v>
      </c>
      <c r="K555" s="130"/>
      <c r="L555" s="130"/>
      <c r="M555" s="130">
        <f t="shared" si="2"/>
        <v>0</v>
      </c>
      <c r="N555" s="130"/>
      <c r="O555" s="130"/>
      <c r="P555" s="127"/>
      <c r="Q555" s="127"/>
      <c r="R555" s="127"/>
      <c r="S555" s="127"/>
      <c r="T555" s="127" t="str">
        <f>IF(A555="","",VLOOKUP(A555,'BASE OS'!$A$2:$I1000,4,FALSE))</f>
        <v/>
      </c>
      <c r="U555" s="127"/>
      <c r="V555" s="127"/>
      <c r="W555" s="127" t="str">
        <f t="shared" si="3"/>
        <v/>
      </c>
      <c r="X555" s="127" t="str">
        <f t="shared" si="4"/>
        <v/>
      </c>
      <c r="Y555" s="127" t="str">
        <f t="shared" si="5"/>
        <v/>
      </c>
    </row>
    <row r="556">
      <c r="A556" s="127"/>
      <c r="B556" s="127" t="str">
        <f>IF(A556="","",VLOOKUP(A556,'BASE OS'!$A$2:$I1000,2,FALSE))</f>
        <v/>
      </c>
      <c r="C556" s="132"/>
      <c r="D556" s="127"/>
      <c r="E556" s="127"/>
      <c r="F556" s="127"/>
      <c r="G556" s="127"/>
      <c r="H556" s="130"/>
      <c r="I556" s="130"/>
      <c r="J556" s="130">
        <f t="shared" si="1"/>
        <v>0</v>
      </c>
      <c r="K556" s="130"/>
      <c r="L556" s="130"/>
      <c r="M556" s="130">
        <f t="shared" si="2"/>
        <v>0</v>
      </c>
      <c r="N556" s="130"/>
      <c r="O556" s="130"/>
      <c r="P556" s="127"/>
      <c r="Q556" s="127"/>
      <c r="R556" s="127"/>
      <c r="S556" s="127"/>
      <c r="T556" s="127" t="str">
        <f>IF(A556="","",VLOOKUP(A556,'BASE OS'!$A$2:$I1000,4,FALSE))</f>
        <v/>
      </c>
      <c r="U556" s="127"/>
      <c r="V556" s="127"/>
      <c r="W556" s="127" t="str">
        <f t="shared" si="3"/>
        <v/>
      </c>
      <c r="X556" s="127" t="str">
        <f t="shared" si="4"/>
        <v/>
      </c>
      <c r="Y556" s="127" t="str">
        <f t="shared" si="5"/>
        <v/>
      </c>
    </row>
    <row r="557">
      <c r="A557" s="127"/>
      <c r="B557" s="127" t="str">
        <f>IF(A557="","",VLOOKUP(A557,'BASE OS'!$A$2:$I1000,2,FALSE))</f>
        <v/>
      </c>
      <c r="C557" s="132"/>
      <c r="D557" s="127"/>
      <c r="E557" s="127"/>
      <c r="F557" s="127"/>
      <c r="G557" s="127"/>
      <c r="H557" s="130"/>
      <c r="I557" s="130"/>
      <c r="J557" s="130">
        <f t="shared" si="1"/>
        <v>0</v>
      </c>
      <c r="K557" s="130"/>
      <c r="L557" s="130"/>
      <c r="M557" s="130">
        <f t="shared" si="2"/>
        <v>0</v>
      </c>
      <c r="N557" s="130"/>
      <c r="O557" s="130"/>
      <c r="P557" s="127"/>
      <c r="Q557" s="127"/>
      <c r="R557" s="127"/>
      <c r="S557" s="127"/>
      <c r="T557" s="127" t="str">
        <f>IF(A557="","",VLOOKUP(A557,'BASE OS'!$A$2:$I1000,4,FALSE))</f>
        <v/>
      </c>
      <c r="U557" s="127"/>
      <c r="V557" s="127"/>
      <c r="W557" s="127" t="str">
        <f t="shared" si="3"/>
        <v/>
      </c>
      <c r="X557" s="127" t="str">
        <f t="shared" si="4"/>
        <v/>
      </c>
      <c r="Y557" s="127" t="str">
        <f t="shared" si="5"/>
        <v/>
      </c>
    </row>
    <row r="558">
      <c r="A558" s="127"/>
      <c r="B558" s="127" t="str">
        <f>IF(A558="","",VLOOKUP(A558,'BASE OS'!$A$2:$I1000,2,FALSE))</f>
        <v/>
      </c>
      <c r="C558" s="132"/>
      <c r="D558" s="127"/>
      <c r="E558" s="127"/>
      <c r="F558" s="127"/>
      <c r="G558" s="127"/>
      <c r="H558" s="130"/>
      <c r="I558" s="130"/>
      <c r="J558" s="130">
        <f t="shared" si="1"/>
        <v>0</v>
      </c>
      <c r="K558" s="130"/>
      <c r="L558" s="130"/>
      <c r="M558" s="130">
        <f t="shared" si="2"/>
        <v>0</v>
      </c>
      <c r="N558" s="130"/>
      <c r="O558" s="130"/>
      <c r="P558" s="127"/>
      <c r="Q558" s="127"/>
      <c r="R558" s="127"/>
      <c r="S558" s="127"/>
      <c r="T558" s="127" t="str">
        <f>IF(A558="","",VLOOKUP(A558,'BASE OS'!$A$2:$I1000,4,FALSE))</f>
        <v/>
      </c>
      <c r="U558" s="127"/>
      <c r="V558" s="127"/>
      <c r="W558" s="127" t="str">
        <f t="shared" si="3"/>
        <v/>
      </c>
      <c r="X558" s="127" t="str">
        <f t="shared" si="4"/>
        <v/>
      </c>
      <c r="Y558" s="127" t="str">
        <f t="shared" si="5"/>
        <v/>
      </c>
    </row>
    <row r="559">
      <c r="A559" s="127"/>
      <c r="B559" s="127" t="str">
        <f>IF(A559="","",VLOOKUP(A559,'BASE OS'!$A$2:$I1000,2,FALSE))</f>
        <v/>
      </c>
      <c r="C559" s="132"/>
      <c r="D559" s="127"/>
      <c r="E559" s="127"/>
      <c r="F559" s="127"/>
      <c r="G559" s="127"/>
      <c r="H559" s="130"/>
      <c r="I559" s="130"/>
      <c r="J559" s="130">
        <f t="shared" si="1"/>
        <v>0</v>
      </c>
      <c r="K559" s="130"/>
      <c r="L559" s="130"/>
      <c r="M559" s="130">
        <f t="shared" si="2"/>
        <v>0</v>
      </c>
      <c r="N559" s="130"/>
      <c r="O559" s="130"/>
      <c r="P559" s="127"/>
      <c r="Q559" s="127"/>
      <c r="R559" s="127"/>
      <c r="S559" s="127"/>
      <c r="T559" s="127" t="str">
        <f>IF(A559="","",VLOOKUP(A559,'BASE OS'!$A$2:$I1000,4,FALSE))</f>
        <v/>
      </c>
      <c r="U559" s="127"/>
      <c r="V559" s="127"/>
      <c r="W559" s="127" t="str">
        <f t="shared" si="3"/>
        <v/>
      </c>
      <c r="X559" s="127" t="str">
        <f t="shared" si="4"/>
        <v/>
      </c>
      <c r="Y559" s="127" t="str">
        <f t="shared" si="5"/>
        <v/>
      </c>
    </row>
    <row r="560">
      <c r="A560" s="127"/>
      <c r="B560" s="127" t="str">
        <f>IF(A560="","",VLOOKUP(A560,'BASE OS'!$A$2:$I1000,2,FALSE))</f>
        <v/>
      </c>
      <c r="C560" s="132"/>
      <c r="D560" s="127"/>
      <c r="E560" s="127"/>
      <c r="F560" s="127"/>
      <c r="G560" s="127"/>
      <c r="H560" s="130"/>
      <c r="I560" s="130"/>
      <c r="J560" s="130">
        <f t="shared" si="1"/>
        <v>0</v>
      </c>
      <c r="K560" s="130"/>
      <c r="L560" s="130"/>
      <c r="M560" s="130">
        <f t="shared" si="2"/>
        <v>0</v>
      </c>
      <c r="N560" s="130"/>
      <c r="O560" s="130"/>
      <c r="P560" s="127"/>
      <c r="Q560" s="127"/>
      <c r="R560" s="127"/>
      <c r="S560" s="127"/>
      <c r="T560" s="127" t="str">
        <f>IF(A560="","",VLOOKUP(A560,'BASE OS'!$A$2:$I1000,4,FALSE))</f>
        <v/>
      </c>
      <c r="U560" s="127"/>
      <c r="V560" s="127"/>
      <c r="W560" s="127" t="str">
        <f t="shared" si="3"/>
        <v/>
      </c>
      <c r="X560" s="127" t="str">
        <f t="shared" si="4"/>
        <v/>
      </c>
      <c r="Y560" s="127" t="str">
        <f t="shared" si="5"/>
        <v/>
      </c>
    </row>
    <row r="561">
      <c r="A561" s="127"/>
      <c r="B561" s="127" t="str">
        <f>IF(A561="","",VLOOKUP(A561,'BASE OS'!$A$2:$I1000,2,FALSE))</f>
        <v/>
      </c>
      <c r="C561" s="132"/>
      <c r="D561" s="127"/>
      <c r="E561" s="127"/>
      <c r="F561" s="127"/>
      <c r="G561" s="127"/>
      <c r="H561" s="130"/>
      <c r="I561" s="130"/>
      <c r="J561" s="130">
        <f t="shared" si="1"/>
        <v>0</v>
      </c>
      <c r="K561" s="130"/>
      <c r="L561" s="130"/>
      <c r="M561" s="130">
        <f t="shared" si="2"/>
        <v>0</v>
      </c>
      <c r="N561" s="130"/>
      <c r="O561" s="130"/>
      <c r="P561" s="127"/>
      <c r="Q561" s="127"/>
      <c r="R561" s="127"/>
      <c r="S561" s="127"/>
      <c r="T561" s="127" t="str">
        <f>IF(A561="","",VLOOKUP(A561,'BASE OS'!$A$2:$I1000,4,FALSE))</f>
        <v/>
      </c>
      <c r="U561" s="127"/>
      <c r="V561" s="127"/>
      <c r="W561" s="127" t="str">
        <f t="shared" si="3"/>
        <v/>
      </c>
      <c r="X561" s="127" t="str">
        <f t="shared" si="4"/>
        <v/>
      </c>
      <c r="Y561" s="127" t="str">
        <f t="shared" si="5"/>
        <v/>
      </c>
    </row>
    <row r="562">
      <c r="A562" s="127"/>
      <c r="B562" s="127" t="str">
        <f>IF(A562="","",VLOOKUP(A562,'BASE OS'!$A$2:$I1000,2,FALSE))</f>
        <v/>
      </c>
      <c r="C562" s="132"/>
      <c r="D562" s="127"/>
      <c r="E562" s="127"/>
      <c r="F562" s="127"/>
      <c r="G562" s="127"/>
      <c r="H562" s="130"/>
      <c r="I562" s="130"/>
      <c r="J562" s="130">
        <f t="shared" si="1"/>
        <v>0</v>
      </c>
      <c r="K562" s="130"/>
      <c r="L562" s="130"/>
      <c r="M562" s="130">
        <f t="shared" si="2"/>
        <v>0</v>
      </c>
      <c r="N562" s="130"/>
      <c r="O562" s="130"/>
      <c r="P562" s="127"/>
      <c r="Q562" s="127"/>
      <c r="R562" s="127"/>
      <c r="S562" s="127"/>
      <c r="T562" s="127" t="str">
        <f>IF(A562="","",VLOOKUP(A562,'BASE OS'!$A$2:$I1000,4,FALSE))</f>
        <v/>
      </c>
      <c r="U562" s="127"/>
      <c r="V562" s="127"/>
      <c r="W562" s="127" t="str">
        <f t="shared" si="3"/>
        <v/>
      </c>
      <c r="X562" s="127" t="str">
        <f t="shared" si="4"/>
        <v/>
      </c>
      <c r="Y562" s="127" t="str">
        <f t="shared" si="5"/>
        <v/>
      </c>
    </row>
    <row r="563">
      <c r="A563" s="127"/>
      <c r="B563" s="127" t="str">
        <f>IF(A563="","",VLOOKUP(A563,'BASE OS'!$A$2:$I1000,2,FALSE))</f>
        <v/>
      </c>
      <c r="C563" s="132"/>
      <c r="D563" s="127"/>
      <c r="E563" s="127"/>
      <c r="F563" s="127"/>
      <c r="G563" s="127"/>
      <c r="H563" s="130"/>
      <c r="I563" s="130"/>
      <c r="J563" s="130">
        <f t="shared" si="1"/>
        <v>0</v>
      </c>
      <c r="K563" s="130"/>
      <c r="L563" s="130"/>
      <c r="M563" s="130">
        <f t="shared" si="2"/>
        <v>0</v>
      </c>
      <c r="N563" s="130"/>
      <c r="O563" s="130"/>
      <c r="P563" s="127"/>
      <c r="Q563" s="127"/>
      <c r="R563" s="127"/>
      <c r="S563" s="127"/>
      <c r="T563" s="127" t="str">
        <f>IF(A563="","",VLOOKUP(A563,'BASE OS'!$A$2:$I1000,4,FALSE))</f>
        <v/>
      </c>
      <c r="U563" s="127"/>
      <c r="V563" s="127"/>
      <c r="W563" s="127" t="str">
        <f t="shared" si="3"/>
        <v/>
      </c>
      <c r="X563" s="127" t="str">
        <f t="shared" si="4"/>
        <v/>
      </c>
      <c r="Y563" s="127" t="str">
        <f t="shared" si="5"/>
        <v/>
      </c>
    </row>
    <row r="564">
      <c r="A564" s="127"/>
      <c r="B564" s="127" t="str">
        <f>IF(A564="","",VLOOKUP(A564,'BASE OS'!$A$2:$I1000,2,FALSE))</f>
        <v/>
      </c>
      <c r="C564" s="132"/>
      <c r="D564" s="127"/>
      <c r="E564" s="127"/>
      <c r="F564" s="127"/>
      <c r="G564" s="127"/>
      <c r="H564" s="130"/>
      <c r="I564" s="130"/>
      <c r="J564" s="130">
        <f t="shared" si="1"/>
        <v>0</v>
      </c>
      <c r="K564" s="130"/>
      <c r="L564" s="130"/>
      <c r="M564" s="130">
        <f t="shared" si="2"/>
        <v>0</v>
      </c>
      <c r="N564" s="130"/>
      <c r="O564" s="130"/>
      <c r="P564" s="127"/>
      <c r="Q564" s="127"/>
      <c r="R564" s="127"/>
      <c r="S564" s="127"/>
      <c r="T564" s="127" t="str">
        <f>IF(A564="","",VLOOKUP(A564,'BASE OS'!$A$2:$I1000,4,FALSE))</f>
        <v/>
      </c>
      <c r="U564" s="127"/>
      <c r="V564" s="127"/>
      <c r="W564" s="127" t="str">
        <f t="shared" si="3"/>
        <v/>
      </c>
      <c r="X564" s="127" t="str">
        <f t="shared" si="4"/>
        <v/>
      </c>
      <c r="Y564" s="127" t="str">
        <f t="shared" si="5"/>
        <v/>
      </c>
    </row>
    <row r="565">
      <c r="A565" s="127"/>
      <c r="B565" s="127" t="str">
        <f>IF(A565="","",VLOOKUP(A565,'BASE OS'!$A$2:$I1000,2,FALSE))</f>
        <v/>
      </c>
      <c r="C565" s="132"/>
      <c r="D565" s="127"/>
      <c r="E565" s="127"/>
      <c r="F565" s="127"/>
      <c r="G565" s="127"/>
      <c r="H565" s="130"/>
      <c r="I565" s="130"/>
      <c r="J565" s="130">
        <f t="shared" si="1"/>
        <v>0</v>
      </c>
      <c r="K565" s="130"/>
      <c r="L565" s="130"/>
      <c r="M565" s="130">
        <f t="shared" si="2"/>
        <v>0</v>
      </c>
      <c r="N565" s="130"/>
      <c r="O565" s="130"/>
      <c r="P565" s="127"/>
      <c r="Q565" s="127"/>
      <c r="R565" s="127"/>
      <c r="S565" s="127"/>
      <c r="T565" s="127" t="str">
        <f>IF(A565="","",VLOOKUP(A565,'BASE OS'!$A$2:$I1000,4,FALSE))</f>
        <v/>
      </c>
      <c r="U565" s="127"/>
      <c r="V565" s="127"/>
      <c r="W565" s="127" t="str">
        <f t="shared" si="3"/>
        <v/>
      </c>
      <c r="X565" s="127" t="str">
        <f t="shared" si="4"/>
        <v/>
      </c>
      <c r="Y565" s="127" t="str">
        <f t="shared" si="5"/>
        <v/>
      </c>
    </row>
    <row r="566">
      <c r="A566" s="127"/>
      <c r="B566" s="127" t="str">
        <f>IF(A566="","",VLOOKUP(A566,'BASE OS'!$A$2:$I1000,2,FALSE))</f>
        <v/>
      </c>
      <c r="C566" s="132"/>
      <c r="D566" s="127"/>
      <c r="E566" s="127"/>
      <c r="F566" s="127"/>
      <c r="G566" s="127"/>
      <c r="H566" s="130"/>
      <c r="I566" s="130"/>
      <c r="J566" s="130">
        <f t="shared" si="1"/>
        <v>0</v>
      </c>
      <c r="K566" s="130"/>
      <c r="L566" s="130"/>
      <c r="M566" s="130">
        <f t="shared" si="2"/>
        <v>0</v>
      </c>
      <c r="N566" s="130"/>
      <c r="O566" s="130"/>
      <c r="P566" s="127"/>
      <c r="Q566" s="127"/>
      <c r="R566" s="127"/>
      <c r="S566" s="127"/>
      <c r="T566" s="127" t="str">
        <f>IF(A566="","",VLOOKUP(A566,'BASE OS'!$A$2:$I1000,4,FALSE))</f>
        <v/>
      </c>
      <c r="U566" s="127"/>
      <c r="V566" s="127"/>
      <c r="W566" s="127" t="str">
        <f t="shared" si="3"/>
        <v/>
      </c>
      <c r="X566" s="127" t="str">
        <f t="shared" si="4"/>
        <v/>
      </c>
      <c r="Y566" s="127" t="str">
        <f t="shared" si="5"/>
        <v/>
      </c>
    </row>
    <row r="567">
      <c r="A567" s="127"/>
      <c r="B567" s="127" t="str">
        <f>IF(A567="","",VLOOKUP(A567,'BASE OS'!$A$2:$I1000,2,FALSE))</f>
        <v/>
      </c>
      <c r="C567" s="132"/>
      <c r="D567" s="127"/>
      <c r="E567" s="127"/>
      <c r="F567" s="127"/>
      <c r="G567" s="127"/>
      <c r="H567" s="130"/>
      <c r="I567" s="130"/>
      <c r="J567" s="130">
        <f t="shared" si="1"/>
        <v>0</v>
      </c>
      <c r="K567" s="130"/>
      <c r="L567" s="130"/>
      <c r="M567" s="130">
        <f t="shared" si="2"/>
        <v>0</v>
      </c>
      <c r="N567" s="130"/>
      <c r="O567" s="130"/>
      <c r="P567" s="127"/>
      <c r="Q567" s="127"/>
      <c r="R567" s="127"/>
      <c r="S567" s="127"/>
      <c r="T567" s="127" t="str">
        <f>IF(A567="","",VLOOKUP(A567,'BASE OS'!$A$2:$I1000,4,FALSE))</f>
        <v/>
      </c>
      <c r="U567" s="127"/>
      <c r="V567" s="127"/>
      <c r="W567" s="127" t="str">
        <f t="shared" si="3"/>
        <v/>
      </c>
      <c r="X567" s="127" t="str">
        <f t="shared" si="4"/>
        <v/>
      </c>
      <c r="Y567" s="127" t="str">
        <f t="shared" si="5"/>
        <v/>
      </c>
    </row>
    <row r="568">
      <c r="A568" s="127"/>
      <c r="B568" s="127" t="str">
        <f>IF(A568="","",VLOOKUP(A568,'BASE OS'!$A$2:$I1000,2,FALSE))</f>
        <v/>
      </c>
      <c r="C568" s="132"/>
      <c r="D568" s="127"/>
      <c r="E568" s="127"/>
      <c r="F568" s="127"/>
      <c r="G568" s="127"/>
      <c r="H568" s="130"/>
      <c r="I568" s="130"/>
      <c r="J568" s="130">
        <f t="shared" si="1"/>
        <v>0</v>
      </c>
      <c r="K568" s="130"/>
      <c r="L568" s="130"/>
      <c r="M568" s="130">
        <f t="shared" si="2"/>
        <v>0</v>
      </c>
      <c r="N568" s="130"/>
      <c r="O568" s="130"/>
      <c r="P568" s="127"/>
      <c r="Q568" s="127"/>
      <c r="R568" s="127"/>
      <c r="S568" s="127"/>
      <c r="T568" s="127" t="str">
        <f>IF(A568="","",VLOOKUP(A568,'BASE OS'!$A$2:$I1000,4,FALSE))</f>
        <v/>
      </c>
      <c r="U568" s="127"/>
      <c r="V568" s="127"/>
      <c r="W568" s="127" t="str">
        <f t="shared" si="3"/>
        <v/>
      </c>
      <c r="X568" s="127" t="str">
        <f t="shared" si="4"/>
        <v/>
      </c>
      <c r="Y568" s="127" t="str">
        <f t="shared" si="5"/>
        <v/>
      </c>
    </row>
    <row r="569">
      <c r="A569" s="127"/>
      <c r="B569" s="127" t="str">
        <f>IF(A569="","",VLOOKUP(A569,'BASE OS'!$A$2:$I1000,2,FALSE))</f>
        <v/>
      </c>
      <c r="C569" s="132"/>
      <c r="D569" s="127"/>
      <c r="E569" s="127"/>
      <c r="F569" s="127"/>
      <c r="G569" s="127"/>
      <c r="H569" s="130"/>
      <c r="I569" s="130"/>
      <c r="J569" s="130">
        <f t="shared" si="1"/>
        <v>0</v>
      </c>
      <c r="K569" s="130"/>
      <c r="L569" s="130"/>
      <c r="M569" s="130">
        <f t="shared" si="2"/>
        <v>0</v>
      </c>
      <c r="N569" s="130"/>
      <c r="O569" s="130"/>
      <c r="P569" s="127"/>
      <c r="Q569" s="127"/>
      <c r="R569" s="127"/>
      <c r="S569" s="127"/>
      <c r="T569" s="127" t="str">
        <f>IF(A569="","",VLOOKUP(A569,'BASE OS'!$A$2:$I1000,4,FALSE))</f>
        <v/>
      </c>
      <c r="U569" s="127"/>
      <c r="V569" s="127"/>
      <c r="W569" s="127" t="str">
        <f t="shared" si="3"/>
        <v/>
      </c>
      <c r="X569" s="127" t="str">
        <f t="shared" si="4"/>
        <v/>
      </c>
      <c r="Y569" s="127" t="str">
        <f t="shared" si="5"/>
        <v/>
      </c>
    </row>
    <row r="570">
      <c r="A570" s="127"/>
      <c r="B570" s="127" t="str">
        <f>IF(A570="","",VLOOKUP(A570,'BASE OS'!$A$2:$I1000,2,FALSE))</f>
        <v/>
      </c>
      <c r="C570" s="132"/>
      <c r="D570" s="127"/>
      <c r="E570" s="127"/>
      <c r="F570" s="127"/>
      <c r="G570" s="127"/>
      <c r="H570" s="130"/>
      <c r="I570" s="130"/>
      <c r="J570" s="130">
        <f t="shared" si="1"/>
        <v>0</v>
      </c>
      <c r="K570" s="130"/>
      <c r="L570" s="130"/>
      <c r="M570" s="130">
        <f t="shared" si="2"/>
        <v>0</v>
      </c>
      <c r="N570" s="130"/>
      <c r="O570" s="130"/>
      <c r="P570" s="127"/>
      <c r="Q570" s="127"/>
      <c r="R570" s="127"/>
      <c r="S570" s="127"/>
      <c r="T570" s="127" t="str">
        <f>IF(A570="","",VLOOKUP(A570,'BASE OS'!$A$2:$I1000,4,FALSE))</f>
        <v/>
      </c>
      <c r="U570" s="127"/>
      <c r="V570" s="127"/>
      <c r="W570" s="127" t="str">
        <f t="shared" si="3"/>
        <v/>
      </c>
      <c r="X570" s="127" t="str">
        <f t="shared" si="4"/>
        <v/>
      </c>
      <c r="Y570" s="127" t="str">
        <f t="shared" si="5"/>
        <v/>
      </c>
    </row>
    <row r="571">
      <c r="A571" s="127"/>
      <c r="B571" s="127" t="str">
        <f>IF(A571="","",VLOOKUP(A571,'BASE OS'!$A$2:$I1000,2,FALSE))</f>
        <v/>
      </c>
      <c r="C571" s="132"/>
      <c r="D571" s="127"/>
      <c r="E571" s="127"/>
      <c r="F571" s="127"/>
      <c r="G571" s="127"/>
      <c r="H571" s="130"/>
      <c r="I571" s="130"/>
      <c r="J571" s="130">
        <f t="shared" si="1"/>
        <v>0</v>
      </c>
      <c r="K571" s="130"/>
      <c r="L571" s="130"/>
      <c r="M571" s="130">
        <f t="shared" si="2"/>
        <v>0</v>
      </c>
      <c r="N571" s="130"/>
      <c r="O571" s="130"/>
      <c r="P571" s="127"/>
      <c r="Q571" s="127"/>
      <c r="R571" s="127"/>
      <c r="S571" s="127"/>
      <c r="T571" s="127" t="str">
        <f>IF(A571="","",VLOOKUP(A571,'BASE OS'!$A$2:$I1000,4,FALSE))</f>
        <v/>
      </c>
      <c r="U571" s="127"/>
      <c r="V571" s="127"/>
      <c r="W571" s="127" t="str">
        <f t="shared" si="3"/>
        <v/>
      </c>
      <c r="X571" s="127" t="str">
        <f t="shared" si="4"/>
        <v/>
      </c>
      <c r="Y571" s="127" t="str">
        <f t="shared" si="5"/>
        <v/>
      </c>
    </row>
    <row r="572">
      <c r="A572" s="127"/>
      <c r="B572" s="127" t="str">
        <f>IF(A572="","",VLOOKUP(A572,'BASE OS'!$A$2:$I1000,2,FALSE))</f>
        <v/>
      </c>
      <c r="C572" s="132"/>
      <c r="D572" s="127"/>
      <c r="E572" s="127"/>
      <c r="F572" s="127"/>
      <c r="G572" s="127"/>
      <c r="H572" s="130"/>
      <c r="I572" s="130"/>
      <c r="J572" s="130">
        <f t="shared" si="1"/>
        <v>0</v>
      </c>
      <c r="K572" s="130"/>
      <c r="L572" s="130"/>
      <c r="M572" s="130">
        <f t="shared" si="2"/>
        <v>0</v>
      </c>
      <c r="N572" s="130"/>
      <c r="O572" s="130"/>
      <c r="P572" s="127"/>
      <c r="Q572" s="127"/>
      <c r="R572" s="127"/>
      <c r="S572" s="127"/>
      <c r="T572" s="127" t="str">
        <f>IF(A572="","",VLOOKUP(A572,'BASE OS'!$A$2:$I1000,4,FALSE))</f>
        <v/>
      </c>
      <c r="U572" s="127"/>
      <c r="V572" s="127"/>
      <c r="W572" s="127" t="str">
        <f t="shared" si="3"/>
        <v/>
      </c>
      <c r="X572" s="127" t="str">
        <f t="shared" si="4"/>
        <v/>
      </c>
      <c r="Y572" s="127" t="str">
        <f t="shared" si="5"/>
        <v/>
      </c>
    </row>
    <row r="573">
      <c r="A573" s="127"/>
      <c r="B573" s="127" t="str">
        <f>IF(A573="","",VLOOKUP(A573,'BASE OS'!$A$2:$I1000,2,FALSE))</f>
        <v/>
      </c>
      <c r="C573" s="132"/>
      <c r="D573" s="127"/>
      <c r="E573" s="127"/>
      <c r="F573" s="127"/>
      <c r="G573" s="127"/>
      <c r="H573" s="130"/>
      <c r="I573" s="130"/>
      <c r="J573" s="130">
        <f t="shared" si="1"/>
        <v>0</v>
      </c>
      <c r="K573" s="130"/>
      <c r="L573" s="130"/>
      <c r="M573" s="130">
        <f t="shared" si="2"/>
        <v>0</v>
      </c>
      <c r="N573" s="130"/>
      <c r="O573" s="130"/>
      <c r="P573" s="127"/>
      <c r="Q573" s="127"/>
      <c r="R573" s="127"/>
      <c r="S573" s="127"/>
      <c r="T573" s="127" t="str">
        <f>IF(A573="","",VLOOKUP(A573,'BASE OS'!$A$2:$I1000,4,FALSE))</f>
        <v/>
      </c>
      <c r="U573" s="127"/>
      <c r="V573" s="127"/>
      <c r="W573" s="127" t="str">
        <f t="shared" si="3"/>
        <v/>
      </c>
      <c r="X573" s="127" t="str">
        <f t="shared" si="4"/>
        <v/>
      </c>
      <c r="Y573" s="127" t="str">
        <f t="shared" si="5"/>
        <v/>
      </c>
    </row>
    <row r="574">
      <c r="A574" s="127"/>
      <c r="B574" s="127" t="str">
        <f>IF(A574="","",VLOOKUP(A574,'BASE OS'!$A$2:$I1000,2,FALSE))</f>
        <v/>
      </c>
      <c r="C574" s="132"/>
      <c r="D574" s="127"/>
      <c r="E574" s="127"/>
      <c r="F574" s="127"/>
      <c r="G574" s="127"/>
      <c r="H574" s="130"/>
      <c r="I574" s="130"/>
      <c r="J574" s="130">
        <f t="shared" si="1"/>
        <v>0</v>
      </c>
      <c r="K574" s="130"/>
      <c r="L574" s="130"/>
      <c r="M574" s="130">
        <f t="shared" si="2"/>
        <v>0</v>
      </c>
      <c r="N574" s="130"/>
      <c r="O574" s="130"/>
      <c r="P574" s="127"/>
      <c r="Q574" s="127"/>
      <c r="R574" s="127"/>
      <c r="S574" s="127"/>
      <c r="T574" s="127" t="str">
        <f>IF(A574="","",VLOOKUP(A574,'BASE OS'!$A$2:$I1000,4,FALSE))</f>
        <v/>
      </c>
      <c r="U574" s="127"/>
      <c r="V574" s="127"/>
      <c r="W574" s="127" t="str">
        <f t="shared" si="3"/>
        <v/>
      </c>
      <c r="X574" s="127" t="str">
        <f t="shared" si="4"/>
        <v/>
      </c>
      <c r="Y574" s="127" t="str">
        <f t="shared" si="5"/>
        <v/>
      </c>
    </row>
    <row r="575">
      <c r="A575" s="127"/>
      <c r="B575" s="127" t="str">
        <f>IF(A575="","",VLOOKUP(A575,'BASE OS'!$A$2:$I1000,2,FALSE))</f>
        <v/>
      </c>
      <c r="C575" s="132"/>
      <c r="D575" s="127"/>
      <c r="E575" s="127"/>
      <c r="F575" s="127"/>
      <c r="G575" s="127"/>
      <c r="H575" s="130"/>
      <c r="I575" s="130"/>
      <c r="J575" s="130">
        <f t="shared" si="1"/>
        <v>0</v>
      </c>
      <c r="K575" s="130"/>
      <c r="L575" s="130"/>
      <c r="M575" s="130">
        <f t="shared" si="2"/>
        <v>0</v>
      </c>
      <c r="N575" s="130"/>
      <c r="O575" s="130"/>
      <c r="P575" s="127"/>
      <c r="Q575" s="127"/>
      <c r="R575" s="127"/>
      <c r="S575" s="127"/>
      <c r="T575" s="127" t="str">
        <f>IF(A575="","",VLOOKUP(A575,'BASE OS'!$A$2:$I1000,4,FALSE))</f>
        <v/>
      </c>
      <c r="U575" s="127"/>
      <c r="V575" s="127"/>
      <c r="W575" s="127" t="str">
        <f t="shared" si="3"/>
        <v/>
      </c>
      <c r="X575" s="127" t="str">
        <f t="shared" si="4"/>
        <v/>
      </c>
      <c r="Y575" s="127" t="str">
        <f t="shared" si="5"/>
        <v/>
      </c>
    </row>
    <row r="576">
      <c r="A576" s="127"/>
      <c r="B576" s="127" t="str">
        <f>IF(A576="","",VLOOKUP(A576,'BASE OS'!$A$2:$I1000,2,FALSE))</f>
        <v/>
      </c>
      <c r="C576" s="132"/>
      <c r="D576" s="127"/>
      <c r="E576" s="127"/>
      <c r="F576" s="127"/>
      <c r="G576" s="127"/>
      <c r="H576" s="130"/>
      <c r="I576" s="130"/>
      <c r="J576" s="130">
        <f t="shared" si="1"/>
        <v>0</v>
      </c>
      <c r="K576" s="130"/>
      <c r="L576" s="130"/>
      <c r="M576" s="130">
        <f t="shared" si="2"/>
        <v>0</v>
      </c>
      <c r="N576" s="130"/>
      <c r="O576" s="130"/>
      <c r="P576" s="127"/>
      <c r="Q576" s="127"/>
      <c r="R576" s="127"/>
      <c r="S576" s="127"/>
      <c r="T576" s="127" t="str">
        <f>IF(A576="","",VLOOKUP(A576,'BASE OS'!$A$2:$I1000,4,FALSE))</f>
        <v/>
      </c>
      <c r="U576" s="127"/>
      <c r="V576" s="127"/>
      <c r="W576" s="127" t="str">
        <f t="shared" si="3"/>
        <v/>
      </c>
      <c r="X576" s="127" t="str">
        <f t="shared" si="4"/>
        <v/>
      </c>
      <c r="Y576" s="127" t="str">
        <f t="shared" si="5"/>
        <v/>
      </c>
    </row>
    <row r="577">
      <c r="A577" s="127"/>
      <c r="B577" s="127" t="str">
        <f>IF(A577="","",VLOOKUP(A577,'BASE OS'!$A$2:$I1000,2,FALSE))</f>
        <v/>
      </c>
      <c r="C577" s="132"/>
      <c r="D577" s="127"/>
      <c r="E577" s="127"/>
      <c r="F577" s="127"/>
      <c r="G577" s="127"/>
      <c r="H577" s="130"/>
      <c r="I577" s="130"/>
      <c r="J577" s="130">
        <f t="shared" si="1"/>
        <v>0</v>
      </c>
      <c r="K577" s="130"/>
      <c r="L577" s="130"/>
      <c r="M577" s="130">
        <f t="shared" si="2"/>
        <v>0</v>
      </c>
      <c r="N577" s="130"/>
      <c r="O577" s="130"/>
      <c r="P577" s="127"/>
      <c r="Q577" s="127"/>
      <c r="R577" s="127"/>
      <c r="S577" s="127"/>
      <c r="T577" s="127" t="str">
        <f>IF(A577="","",VLOOKUP(A577,'BASE OS'!$A$2:$I1000,4,FALSE))</f>
        <v/>
      </c>
      <c r="U577" s="127"/>
      <c r="V577" s="127"/>
      <c r="W577" s="127" t="str">
        <f t="shared" si="3"/>
        <v/>
      </c>
      <c r="X577" s="127" t="str">
        <f t="shared" si="4"/>
        <v/>
      </c>
      <c r="Y577" s="127" t="str">
        <f t="shared" si="5"/>
        <v/>
      </c>
    </row>
    <row r="578">
      <c r="A578" s="127"/>
      <c r="B578" s="127" t="str">
        <f>IF(A578="","",VLOOKUP(A578,'BASE OS'!$A$2:$I1000,2,FALSE))</f>
        <v/>
      </c>
      <c r="C578" s="132"/>
      <c r="D578" s="127"/>
      <c r="E578" s="127"/>
      <c r="F578" s="127"/>
      <c r="G578" s="127"/>
      <c r="H578" s="130"/>
      <c r="I578" s="130"/>
      <c r="J578" s="130">
        <f t="shared" si="1"/>
        <v>0</v>
      </c>
      <c r="K578" s="130"/>
      <c r="L578" s="130"/>
      <c r="M578" s="130">
        <f t="shared" si="2"/>
        <v>0</v>
      </c>
      <c r="N578" s="130"/>
      <c r="O578" s="130"/>
      <c r="P578" s="127"/>
      <c r="Q578" s="127"/>
      <c r="R578" s="127"/>
      <c r="S578" s="127"/>
      <c r="T578" s="127" t="str">
        <f>IF(A578="","",VLOOKUP(A578,'BASE OS'!$A$2:$I1000,4,FALSE))</f>
        <v/>
      </c>
      <c r="U578" s="127"/>
      <c r="V578" s="127"/>
      <c r="W578" s="127" t="str">
        <f t="shared" si="3"/>
        <v/>
      </c>
      <c r="X578" s="127" t="str">
        <f t="shared" si="4"/>
        <v/>
      </c>
      <c r="Y578" s="127" t="str">
        <f t="shared" si="5"/>
        <v/>
      </c>
    </row>
    <row r="579">
      <c r="A579" s="127"/>
      <c r="B579" s="127" t="str">
        <f>IF(A579="","",VLOOKUP(A579,'BASE OS'!$A$2:$I1000,2,FALSE))</f>
        <v/>
      </c>
      <c r="C579" s="132"/>
      <c r="D579" s="127"/>
      <c r="E579" s="127"/>
      <c r="F579" s="127"/>
      <c r="G579" s="127"/>
      <c r="H579" s="130"/>
      <c r="I579" s="130"/>
      <c r="J579" s="130">
        <f t="shared" si="1"/>
        <v>0</v>
      </c>
      <c r="K579" s="130"/>
      <c r="L579" s="130"/>
      <c r="M579" s="130">
        <f t="shared" si="2"/>
        <v>0</v>
      </c>
      <c r="N579" s="130"/>
      <c r="O579" s="130"/>
      <c r="P579" s="127"/>
      <c r="Q579" s="127"/>
      <c r="R579" s="127"/>
      <c r="S579" s="127"/>
      <c r="T579" s="127" t="str">
        <f>IF(A579="","",VLOOKUP(A579,'BASE OS'!$A$2:$I1000,4,FALSE))</f>
        <v/>
      </c>
      <c r="U579" s="127"/>
      <c r="V579" s="127"/>
      <c r="W579" s="127" t="str">
        <f t="shared" si="3"/>
        <v/>
      </c>
      <c r="X579" s="127" t="str">
        <f t="shared" si="4"/>
        <v/>
      </c>
      <c r="Y579" s="127" t="str">
        <f t="shared" si="5"/>
        <v/>
      </c>
    </row>
    <row r="580">
      <c r="A580" s="127"/>
      <c r="B580" s="127" t="str">
        <f>IF(A580="","",VLOOKUP(A580,'BASE OS'!$A$2:$I1000,2,FALSE))</f>
        <v/>
      </c>
      <c r="C580" s="132"/>
      <c r="D580" s="127"/>
      <c r="E580" s="127"/>
      <c r="F580" s="127"/>
      <c r="G580" s="127"/>
      <c r="H580" s="130"/>
      <c r="I580" s="130"/>
      <c r="J580" s="130">
        <f t="shared" si="1"/>
        <v>0</v>
      </c>
      <c r="K580" s="130"/>
      <c r="L580" s="130"/>
      <c r="M580" s="130">
        <f t="shared" si="2"/>
        <v>0</v>
      </c>
      <c r="N580" s="130"/>
      <c r="O580" s="130"/>
      <c r="P580" s="127"/>
      <c r="Q580" s="127"/>
      <c r="R580" s="127"/>
      <c r="S580" s="127"/>
      <c r="T580" s="127" t="str">
        <f>IF(A580="","",VLOOKUP(A580,'BASE OS'!$A$2:$I1000,4,FALSE))</f>
        <v/>
      </c>
      <c r="U580" s="127"/>
      <c r="V580" s="127"/>
      <c r="W580" s="127" t="str">
        <f t="shared" si="3"/>
        <v/>
      </c>
      <c r="X580" s="127" t="str">
        <f t="shared" si="4"/>
        <v/>
      </c>
      <c r="Y580" s="127" t="str">
        <f t="shared" si="5"/>
        <v/>
      </c>
    </row>
    <row r="581">
      <c r="A581" s="127"/>
      <c r="B581" s="127" t="str">
        <f>IF(A581="","",VLOOKUP(A581,'BASE OS'!$A$2:$I1000,2,FALSE))</f>
        <v/>
      </c>
      <c r="C581" s="132"/>
      <c r="D581" s="127"/>
      <c r="E581" s="127"/>
      <c r="F581" s="127"/>
      <c r="G581" s="127"/>
      <c r="H581" s="130"/>
      <c r="I581" s="130"/>
      <c r="J581" s="130">
        <f t="shared" si="1"/>
        <v>0</v>
      </c>
      <c r="K581" s="130"/>
      <c r="L581" s="130"/>
      <c r="M581" s="130">
        <f t="shared" si="2"/>
        <v>0</v>
      </c>
      <c r="N581" s="130"/>
      <c r="O581" s="130"/>
      <c r="P581" s="127"/>
      <c r="Q581" s="127"/>
      <c r="R581" s="127"/>
      <c r="S581" s="127"/>
      <c r="T581" s="127" t="str">
        <f>IF(A581="","",VLOOKUP(A581,'BASE OS'!$A$2:$I1000,4,FALSE))</f>
        <v/>
      </c>
      <c r="U581" s="127"/>
      <c r="V581" s="127"/>
      <c r="W581" s="127" t="str">
        <f t="shared" si="3"/>
        <v/>
      </c>
      <c r="X581" s="127" t="str">
        <f t="shared" si="4"/>
        <v/>
      </c>
      <c r="Y581" s="127" t="str">
        <f t="shared" si="5"/>
        <v/>
      </c>
    </row>
    <row r="582">
      <c r="A582" s="127"/>
      <c r="B582" s="127" t="str">
        <f>IF(A582="","",VLOOKUP(A582,'BASE OS'!$A$2:$I1000,2,FALSE))</f>
        <v/>
      </c>
      <c r="C582" s="132"/>
      <c r="D582" s="127"/>
      <c r="E582" s="127"/>
      <c r="F582" s="127"/>
      <c r="G582" s="127"/>
      <c r="H582" s="130"/>
      <c r="I582" s="130"/>
      <c r="J582" s="130">
        <f t="shared" si="1"/>
        <v>0</v>
      </c>
      <c r="K582" s="130"/>
      <c r="L582" s="130"/>
      <c r="M582" s="130">
        <f t="shared" si="2"/>
        <v>0</v>
      </c>
      <c r="N582" s="130"/>
      <c r="O582" s="130"/>
      <c r="P582" s="127"/>
      <c r="Q582" s="127"/>
      <c r="R582" s="127"/>
      <c r="S582" s="127"/>
      <c r="T582" s="127" t="str">
        <f>IF(A582="","",VLOOKUP(A582,'BASE OS'!$A$2:$I1000,4,FALSE))</f>
        <v/>
      </c>
      <c r="U582" s="127"/>
      <c r="V582" s="127"/>
      <c r="W582" s="127" t="str">
        <f t="shared" si="3"/>
        <v/>
      </c>
      <c r="X582" s="127" t="str">
        <f t="shared" si="4"/>
        <v/>
      </c>
      <c r="Y582" s="127" t="str">
        <f t="shared" si="5"/>
        <v/>
      </c>
    </row>
    <row r="583">
      <c r="A583" s="127"/>
      <c r="B583" s="127" t="str">
        <f>IF(A583="","",VLOOKUP(A583,'BASE OS'!$A$2:$I1000,2,FALSE))</f>
        <v/>
      </c>
      <c r="C583" s="132"/>
      <c r="D583" s="127"/>
      <c r="E583" s="127"/>
      <c r="F583" s="127"/>
      <c r="G583" s="127"/>
      <c r="H583" s="130"/>
      <c r="I583" s="130"/>
      <c r="J583" s="130">
        <f t="shared" si="1"/>
        <v>0</v>
      </c>
      <c r="K583" s="130"/>
      <c r="L583" s="130"/>
      <c r="M583" s="130">
        <f t="shared" si="2"/>
        <v>0</v>
      </c>
      <c r="N583" s="130"/>
      <c r="O583" s="130"/>
      <c r="P583" s="127"/>
      <c r="Q583" s="127"/>
      <c r="R583" s="127"/>
      <c r="S583" s="127"/>
      <c r="T583" s="127" t="str">
        <f>IF(A583="","",VLOOKUP(A583,'BASE OS'!$A$2:$I1000,4,FALSE))</f>
        <v/>
      </c>
      <c r="U583" s="127"/>
      <c r="V583" s="127"/>
      <c r="W583" s="127" t="str">
        <f t="shared" si="3"/>
        <v/>
      </c>
      <c r="X583" s="127" t="str">
        <f t="shared" si="4"/>
        <v/>
      </c>
      <c r="Y583" s="127" t="str">
        <f t="shared" si="5"/>
        <v/>
      </c>
    </row>
    <row r="584">
      <c r="A584" s="127"/>
      <c r="B584" s="127" t="str">
        <f>IF(A584="","",VLOOKUP(A584,'BASE OS'!$A$2:$I1000,2,FALSE))</f>
        <v/>
      </c>
      <c r="C584" s="132"/>
      <c r="D584" s="127"/>
      <c r="E584" s="127"/>
      <c r="F584" s="127"/>
      <c r="G584" s="127"/>
      <c r="H584" s="130"/>
      <c r="I584" s="130"/>
      <c r="J584" s="130">
        <f t="shared" si="1"/>
        <v>0</v>
      </c>
      <c r="K584" s="130"/>
      <c r="L584" s="130"/>
      <c r="M584" s="130">
        <f t="shared" si="2"/>
        <v>0</v>
      </c>
      <c r="N584" s="130"/>
      <c r="O584" s="130"/>
      <c r="P584" s="127"/>
      <c r="Q584" s="127"/>
      <c r="R584" s="127"/>
      <c r="S584" s="127"/>
      <c r="T584" s="127" t="str">
        <f>IF(A584="","",VLOOKUP(A584,'BASE OS'!$A$2:$I1000,4,FALSE))</f>
        <v/>
      </c>
      <c r="U584" s="127"/>
      <c r="V584" s="127"/>
      <c r="W584" s="127" t="str">
        <f t="shared" si="3"/>
        <v/>
      </c>
      <c r="X584" s="127" t="str">
        <f t="shared" si="4"/>
        <v/>
      </c>
      <c r="Y584" s="127" t="str">
        <f t="shared" si="5"/>
        <v/>
      </c>
    </row>
    <row r="585">
      <c r="A585" s="127"/>
      <c r="B585" s="127" t="str">
        <f>IF(A585="","",VLOOKUP(A585,'BASE OS'!$A$2:$I1000,2,FALSE))</f>
        <v/>
      </c>
      <c r="C585" s="132"/>
      <c r="D585" s="127"/>
      <c r="E585" s="127"/>
      <c r="F585" s="127"/>
      <c r="G585" s="127"/>
      <c r="H585" s="130"/>
      <c r="I585" s="130"/>
      <c r="J585" s="130">
        <f t="shared" si="1"/>
        <v>0</v>
      </c>
      <c r="K585" s="130"/>
      <c r="L585" s="130"/>
      <c r="M585" s="130">
        <f t="shared" si="2"/>
        <v>0</v>
      </c>
      <c r="N585" s="130"/>
      <c r="O585" s="130"/>
      <c r="P585" s="127"/>
      <c r="Q585" s="127"/>
      <c r="R585" s="127"/>
      <c r="S585" s="127"/>
      <c r="T585" s="127" t="str">
        <f>IF(A585="","",VLOOKUP(A585,'BASE OS'!$A$2:$I1000,4,FALSE))</f>
        <v/>
      </c>
      <c r="U585" s="127"/>
      <c r="V585" s="127"/>
      <c r="W585" s="127" t="str">
        <f t="shared" si="3"/>
        <v/>
      </c>
      <c r="X585" s="127" t="str">
        <f t="shared" si="4"/>
        <v/>
      </c>
      <c r="Y585" s="127" t="str">
        <f t="shared" si="5"/>
        <v/>
      </c>
    </row>
    <row r="586">
      <c r="A586" s="127"/>
      <c r="B586" s="127" t="str">
        <f>IF(A586="","",VLOOKUP(A586,'BASE OS'!$A$2:$I1000,2,FALSE))</f>
        <v/>
      </c>
      <c r="C586" s="132"/>
      <c r="D586" s="127"/>
      <c r="E586" s="127"/>
      <c r="F586" s="127"/>
      <c r="G586" s="127"/>
      <c r="H586" s="130"/>
      <c r="I586" s="130"/>
      <c r="J586" s="130">
        <f t="shared" si="1"/>
        <v>0</v>
      </c>
      <c r="K586" s="130"/>
      <c r="L586" s="130"/>
      <c r="M586" s="130">
        <f t="shared" si="2"/>
        <v>0</v>
      </c>
      <c r="N586" s="130"/>
      <c r="O586" s="130"/>
      <c r="P586" s="127"/>
      <c r="Q586" s="127"/>
      <c r="R586" s="127"/>
      <c r="S586" s="127"/>
      <c r="T586" s="127" t="str">
        <f>IF(A586="","",VLOOKUP(A586,'BASE OS'!$A$2:$I1000,4,FALSE))</f>
        <v/>
      </c>
      <c r="U586" s="127"/>
      <c r="V586" s="127"/>
      <c r="W586" s="127" t="str">
        <f t="shared" si="3"/>
        <v/>
      </c>
      <c r="X586" s="127" t="str">
        <f t="shared" si="4"/>
        <v/>
      </c>
      <c r="Y586" s="127" t="str">
        <f t="shared" si="5"/>
        <v/>
      </c>
    </row>
    <row r="587">
      <c r="A587" s="127"/>
      <c r="B587" s="127" t="str">
        <f>IF(A587="","",VLOOKUP(A587,'BASE OS'!$A$2:$I1000,2,FALSE))</f>
        <v/>
      </c>
      <c r="C587" s="132"/>
      <c r="D587" s="127"/>
      <c r="E587" s="127"/>
      <c r="F587" s="127"/>
      <c r="G587" s="127"/>
      <c r="H587" s="130"/>
      <c r="I587" s="130"/>
      <c r="J587" s="130">
        <f t="shared" si="1"/>
        <v>0</v>
      </c>
      <c r="K587" s="130"/>
      <c r="L587" s="130"/>
      <c r="M587" s="130">
        <f t="shared" si="2"/>
        <v>0</v>
      </c>
      <c r="N587" s="130"/>
      <c r="O587" s="130"/>
      <c r="P587" s="127"/>
      <c r="Q587" s="127"/>
      <c r="R587" s="127"/>
      <c r="S587" s="127"/>
      <c r="T587" s="127" t="str">
        <f>IF(A587="","",VLOOKUP(A587,'BASE OS'!$A$2:$I1000,4,FALSE))</f>
        <v/>
      </c>
      <c r="U587" s="127"/>
      <c r="V587" s="127"/>
      <c r="W587" s="127" t="str">
        <f t="shared" si="3"/>
        <v/>
      </c>
      <c r="X587" s="127" t="str">
        <f t="shared" si="4"/>
        <v/>
      </c>
      <c r="Y587" s="127" t="str">
        <f t="shared" si="5"/>
        <v/>
      </c>
    </row>
    <row r="588">
      <c r="A588" s="127"/>
      <c r="B588" s="127" t="str">
        <f>IF(A588="","",VLOOKUP(A588,'BASE OS'!$A$2:$I1000,2,FALSE))</f>
        <v/>
      </c>
      <c r="C588" s="132"/>
      <c r="D588" s="127"/>
      <c r="E588" s="127"/>
      <c r="F588" s="127"/>
      <c r="G588" s="127"/>
      <c r="H588" s="130"/>
      <c r="I588" s="130"/>
      <c r="J588" s="130">
        <f t="shared" si="1"/>
        <v>0</v>
      </c>
      <c r="K588" s="130"/>
      <c r="L588" s="130"/>
      <c r="M588" s="130">
        <f t="shared" si="2"/>
        <v>0</v>
      </c>
      <c r="N588" s="130"/>
      <c r="O588" s="130"/>
      <c r="P588" s="127"/>
      <c r="Q588" s="127"/>
      <c r="R588" s="127"/>
      <c r="S588" s="127"/>
      <c r="T588" s="127" t="str">
        <f>IF(A588="","",VLOOKUP(A588,'BASE OS'!$A$2:$I1000,4,FALSE))</f>
        <v/>
      </c>
      <c r="U588" s="127"/>
      <c r="V588" s="127"/>
      <c r="W588" s="127" t="str">
        <f t="shared" si="3"/>
        <v/>
      </c>
      <c r="X588" s="127" t="str">
        <f t="shared" si="4"/>
        <v/>
      </c>
      <c r="Y588" s="127" t="str">
        <f t="shared" si="5"/>
        <v/>
      </c>
    </row>
    <row r="589">
      <c r="A589" s="127"/>
      <c r="B589" s="127" t="str">
        <f>IF(A589="","",VLOOKUP(A589,'BASE OS'!$A$2:$I1000,2,FALSE))</f>
        <v/>
      </c>
      <c r="C589" s="132"/>
      <c r="D589" s="127"/>
      <c r="E589" s="127"/>
      <c r="F589" s="127"/>
      <c r="G589" s="127"/>
      <c r="H589" s="130"/>
      <c r="I589" s="130"/>
      <c r="J589" s="130">
        <f t="shared" si="1"/>
        <v>0</v>
      </c>
      <c r="K589" s="130"/>
      <c r="L589" s="130"/>
      <c r="M589" s="130">
        <f t="shared" si="2"/>
        <v>0</v>
      </c>
      <c r="N589" s="130"/>
      <c r="O589" s="130"/>
      <c r="P589" s="127"/>
      <c r="Q589" s="127"/>
      <c r="R589" s="127"/>
      <c r="S589" s="127"/>
      <c r="T589" s="127" t="str">
        <f>IF(A589="","",VLOOKUP(A589,'BASE OS'!$A$2:$I1000,4,FALSE))</f>
        <v/>
      </c>
      <c r="U589" s="127"/>
      <c r="V589" s="127"/>
      <c r="W589" s="127" t="str">
        <f t="shared" si="3"/>
        <v/>
      </c>
      <c r="X589" s="127" t="str">
        <f t="shared" si="4"/>
        <v/>
      </c>
      <c r="Y589" s="127" t="str">
        <f t="shared" si="5"/>
        <v/>
      </c>
    </row>
    <row r="590">
      <c r="A590" s="127"/>
      <c r="B590" s="127" t="str">
        <f>IF(A590="","",VLOOKUP(A590,'BASE OS'!$A$2:$I1000,2,FALSE))</f>
        <v/>
      </c>
      <c r="C590" s="132"/>
      <c r="D590" s="127"/>
      <c r="E590" s="127"/>
      <c r="F590" s="127"/>
      <c r="G590" s="127"/>
      <c r="H590" s="130"/>
      <c r="I590" s="130"/>
      <c r="J590" s="130">
        <f t="shared" si="1"/>
        <v>0</v>
      </c>
      <c r="K590" s="130"/>
      <c r="L590" s="130"/>
      <c r="M590" s="130">
        <f t="shared" si="2"/>
        <v>0</v>
      </c>
      <c r="N590" s="130"/>
      <c r="O590" s="130"/>
      <c r="P590" s="127"/>
      <c r="Q590" s="127"/>
      <c r="R590" s="127"/>
      <c r="S590" s="127"/>
      <c r="T590" s="127" t="str">
        <f>IF(A590="","",VLOOKUP(A590,'BASE OS'!$A$2:$I1000,4,FALSE))</f>
        <v/>
      </c>
      <c r="U590" s="127"/>
      <c r="V590" s="127"/>
      <c r="W590" s="127" t="str">
        <f t="shared" si="3"/>
        <v/>
      </c>
      <c r="X590" s="127" t="str">
        <f t="shared" si="4"/>
        <v/>
      </c>
      <c r="Y590" s="127" t="str">
        <f t="shared" si="5"/>
        <v/>
      </c>
    </row>
    <row r="591">
      <c r="A591" s="127"/>
      <c r="B591" s="127" t="str">
        <f>IF(A591="","",VLOOKUP(A591,'BASE OS'!$A$2:$I1000,2,FALSE))</f>
        <v/>
      </c>
      <c r="C591" s="132"/>
      <c r="D591" s="127"/>
      <c r="E591" s="127"/>
      <c r="F591" s="127"/>
      <c r="G591" s="127"/>
      <c r="H591" s="130"/>
      <c r="I591" s="130"/>
      <c r="J591" s="130">
        <f t="shared" si="1"/>
        <v>0</v>
      </c>
      <c r="K591" s="130"/>
      <c r="L591" s="130"/>
      <c r="M591" s="130">
        <f t="shared" si="2"/>
        <v>0</v>
      </c>
      <c r="N591" s="130"/>
      <c r="O591" s="130"/>
      <c r="P591" s="127"/>
      <c r="Q591" s="127"/>
      <c r="R591" s="127"/>
      <c r="S591" s="127"/>
      <c r="T591" s="127" t="str">
        <f>IF(A591="","",VLOOKUP(A591,'BASE OS'!$A$2:$I1000,4,FALSE))</f>
        <v/>
      </c>
      <c r="U591" s="127"/>
      <c r="V591" s="127"/>
      <c r="W591" s="127" t="str">
        <f t="shared" si="3"/>
        <v/>
      </c>
      <c r="X591" s="127" t="str">
        <f t="shared" si="4"/>
        <v/>
      </c>
      <c r="Y591" s="127" t="str">
        <f t="shared" si="5"/>
        <v/>
      </c>
    </row>
    <row r="592">
      <c r="A592" s="127"/>
      <c r="B592" s="127" t="str">
        <f>IF(A592="","",VLOOKUP(A592,'BASE OS'!$A$2:$I1000,2,FALSE))</f>
        <v/>
      </c>
      <c r="C592" s="132"/>
      <c r="D592" s="127"/>
      <c r="E592" s="127"/>
      <c r="F592" s="127"/>
      <c r="G592" s="127"/>
      <c r="H592" s="130"/>
      <c r="I592" s="130"/>
      <c r="J592" s="130">
        <f t="shared" si="1"/>
        <v>0</v>
      </c>
      <c r="K592" s="130"/>
      <c r="L592" s="130"/>
      <c r="M592" s="130">
        <f t="shared" si="2"/>
        <v>0</v>
      </c>
      <c r="N592" s="130"/>
      <c r="O592" s="130"/>
      <c r="P592" s="127"/>
      <c r="Q592" s="127"/>
      <c r="R592" s="127"/>
      <c r="S592" s="127"/>
      <c r="T592" s="127" t="str">
        <f>IF(A592="","",VLOOKUP(A592,'BASE OS'!$A$2:$I1000,4,FALSE))</f>
        <v/>
      </c>
      <c r="U592" s="127"/>
      <c r="V592" s="127"/>
      <c r="W592" s="127" t="str">
        <f t="shared" si="3"/>
        <v/>
      </c>
      <c r="X592" s="127" t="str">
        <f t="shared" si="4"/>
        <v/>
      </c>
      <c r="Y592" s="127" t="str">
        <f t="shared" si="5"/>
        <v/>
      </c>
    </row>
    <row r="593">
      <c r="A593" s="127"/>
      <c r="B593" s="127" t="str">
        <f>IF(A593="","",VLOOKUP(A593,'BASE OS'!$A$2:$I1000,2,FALSE))</f>
        <v/>
      </c>
      <c r="C593" s="132"/>
      <c r="D593" s="127"/>
      <c r="E593" s="127"/>
      <c r="F593" s="127"/>
      <c r="G593" s="127"/>
      <c r="H593" s="130"/>
      <c r="I593" s="130"/>
      <c r="J593" s="130">
        <f t="shared" si="1"/>
        <v>0</v>
      </c>
      <c r="K593" s="130"/>
      <c r="L593" s="130"/>
      <c r="M593" s="130">
        <f t="shared" si="2"/>
        <v>0</v>
      </c>
      <c r="N593" s="130"/>
      <c r="O593" s="130"/>
      <c r="P593" s="127"/>
      <c r="Q593" s="127"/>
      <c r="R593" s="127"/>
      <c r="S593" s="127"/>
      <c r="T593" s="127" t="str">
        <f>IF(A593="","",VLOOKUP(A593,'BASE OS'!$A$2:$I1000,4,FALSE))</f>
        <v/>
      </c>
      <c r="U593" s="127"/>
      <c r="V593" s="127"/>
      <c r="W593" s="127" t="str">
        <f t="shared" si="3"/>
        <v/>
      </c>
      <c r="X593" s="127" t="str">
        <f t="shared" si="4"/>
        <v/>
      </c>
      <c r="Y593" s="127" t="str">
        <f t="shared" si="5"/>
        <v/>
      </c>
    </row>
    <row r="594">
      <c r="A594" s="127"/>
      <c r="B594" s="127" t="str">
        <f>IF(A594="","",VLOOKUP(A594,'BASE OS'!$A$2:$I1000,2,FALSE))</f>
        <v/>
      </c>
      <c r="C594" s="132"/>
      <c r="D594" s="127"/>
      <c r="E594" s="127"/>
      <c r="F594" s="127"/>
      <c r="G594" s="127"/>
      <c r="H594" s="130"/>
      <c r="I594" s="130"/>
      <c r="J594" s="130">
        <f t="shared" si="1"/>
        <v>0</v>
      </c>
      <c r="K594" s="130"/>
      <c r="L594" s="130"/>
      <c r="M594" s="130">
        <f t="shared" si="2"/>
        <v>0</v>
      </c>
      <c r="N594" s="130"/>
      <c r="O594" s="130"/>
      <c r="P594" s="127"/>
      <c r="Q594" s="127"/>
      <c r="R594" s="127"/>
      <c r="S594" s="127"/>
      <c r="T594" s="127" t="str">
        <f>IF(A594="","",VLOOKUP(A594,'BASE OS'!$A$2:$I1000,4,FALSE))</f>
        <v/>
      </c>
      <c r="U594" s="127"/>
      <c r="V594" s="127"/>
      <c r="W594" s="127" t="str">
        <f t="shared" si="3"/>
        <v/>
      </c>
      <c r="X594" s="127" t="str">
        <f t="shared" si="4"/>
        <v/>
      </c>
      <c r="Y594" s="127" t="str">
        <f t="shared" si="5"/>
        <v/>
      </c>
    </row>
    <row r="595">
      <c r="A595" s="127"/>
      <c r="B595" s="127" t="str">
        <f>IF(A595="","",VLOOKUP(A595,'BASE OS'!$A$2:$I1000,2,FALSE))</f>
        <v/>
      </c>
      <c r="C595" s="132"/>
      <c r="D595" s="127"/>
      <c r="E595" s="127"/>
      <c r="F595" s="127"/>
      <c r="G595" s="127"/>
      <c r="H595" s="130"/>
      <c r="I595" s="130"/>
      <c r="J595" s="130">
        <f t="shared" si="1"/>
        <v>0</v>
      </c>
      <c r="K595" s="130"/>
      <c r="L595" s="130"/>
      <c r="M595" s="130">
        <f t="shared" si="2"/>
        <v>0</v>
      </c>
      <c r="N595" s="130"/>
      <c r="O595" s="130"/>
      <c r="P595" s="127"/>
      <c r="Q595" s="127"/>
      <c r="R595" s="127"/>
      <c r="S595" s="127"/>
      <c r="T595" s="127" t="str">
        <f>IF(A595="","",VLOOKUP(A595,'BASE OS'!$A$2:$I1000,4,FALSE))</f>
        <v/>
      </c>
      <c r="U595" s="127"/>
      <c r="V595" s="127"/>
      <c r="W595" s="127" t="str">
        <f t="shared" si="3"/>
        <v/>
      </c>
      <c r="X595" s="127" t="str">
        <f t="shared" si="4"/>
        <v/>
      </c>
      <c r="Y595" s="127" t="str">
        <f t="shared" si="5"/>
        <v/>
      </c>
    </row>
    <row r="596">
      <c r="A596" s="127"/>
      <c r="B596" s="127" t="str">
        <f>IF(A596="","",VLOOKUP(A596,'BASE OS'!$A$2:$I1000,2,FALSE))</f>
        <v/>
      </c>
      <c r="C596" s="132"/>
      <c r="D596" s="127"/>
      <c r="E596" s="127"/>
      <c r="F596" s="127"/>
      <c r="G596" s="127"/>
      <c r="H596" s="130"/>
      <c r="I596" s="130"/>
      <c r="J596" s="130">
        <f t="shared" si="1"/>
        <v>0</v>
      </c>
      <c r="K596" s="130"/>
      <c r="L596" s="130"/>
      <c r="M596" s="130">
        <f t="shared" si="2"/>
        <v>0</v>
      </c>
      <c r="N596" s="130"/>
      <c r="O596" s="130"/>
      <c r="P596" s="127"/>
      <c r="Q596" s="127"/>
      <c r="R596" s="127"/>
      <c r="S596" s="127"/>
      <c r="T596" s="127" t="str">
        <f>IF(A596="","",VLOOKUP(A596,'BASE OS'!$A$2:$I1000,4,FALSE))</f>
        <v/>
      </c>
      <c r="U596" s="127"/>
      <c r="V596" s="127"/>
      <c r="W596" s="127" t="str">
        <f t="shared" si="3"/>
        <v/>
      </c>
      <c r="X596" s="127" t="str">
        <f t="shared" si="4"/>
        <v/>
      </c>
      <c r="Y596" s="127" t="str">
        <f t="shared" si="5"/>
        <v/>
      </c>
    </row>
    <row r="597">
      <c r="A597" s="127"/>
      <c r="B597" s="127" t="str">
        <f>IF(A597="","",VLOOKUP(A597,'BASE OS'!$A$2:$I1000,2,FALSE))</f>
        <v/>
      </c>
      <c r="C597" s="132"/>
      <c r="D597" s="127"/>
      <c r="E597" s="127"/>
      <c r="F597" s="127"/>
      <c r="G597" s="127"/>
      <c r="H597" s="130"/>
      <c r="I597" s="130"/>
      <c r="J597" s="130">
        <f t="shared" si="1"/>
        <v>0</v>
      </c>
      <c r="K597" s="130"/>
      <c r="L597" s="130"/>
      <c r="M597" s="130">
        <f t="shared" si="2"/>
        <v>0</v>
      </c>
      <c r="N597" s="130"/>
      <c r="O597" s="130"/>
      <c r="P597" s="127"/>
      <c r="Q597" s="127"/>
      <c r="R597" s="127"/>
      <c r="S597" s="127"/>
      <c r="T597" s="127" t="str">
        <f>IF(A597="","",VLOOKUP(A597,'BASE OS'!$A$2:$I1000,4,FALSE))</f>
        <v/>
      </c>
      <c r="U597" s="127"/>
      <c r="V597" s="127"/>
      <c r="W597" s="127" t="str">
        <f t="shared" si="3"/>
        <v/>
      </c>
      <c r="X597" s="127" t="str">
        <f t="shared" si="4"/>
        <v/>
      </c>
      <c r="Y597" s="127" t="str">
        <f t="shared" si="5"/>
        <v/>
      </c>
    </row>
    <row r="598">
      <c r="A598" s="127"/>
      <c r="B598" s="127" t="str">
        <f>IF(A598="","",VLOOKUP(A598,'BASE OS'!$A$2:$I1000,2,FALSE))</f>
        <v/>
      </c>
      <c r="C598" s="132"/>
      <c r="D598" s="127"/>
      <c r="E598" s="127"/>
      <c r="F598" s="127"/>
      <c r="G598" s="127"/>
      <c r="H598" s="130"/>
      <c r="I598" s="130"/>
      <c r="J598" s="130">
        <f t="shared" si="1"/>
        <v>0</v>
      </c>
      <c r="K598" s="130"/>
      <c r="L598" s="130"/>
      <c r="M598" s="130">
        <f t="shared" si="2"/>
        <v>0</v>
      </c>
      <c r="N598" s="130"/>
      <c r="O598" s="130"/>
      <c r="P598" s="127"/>
      <c r="Q598" s="127"/>
      <c r="R598" s="127"/>
      <c r="S598" s="127"/>
      <c r="T598" s="127" t="str">
        <f>IF(A598="","",VLOOKUP(A598,'BASE OS'!$A$2:$I1000,4,FALSE))</f>
        <v/>
      </c>
      <c r="U598" s="127"/>
      <c r="V598" s="127"/>
      <c r="W598" s="127" t="str">
        <f t="shared" si="3"/>
        <v/>
      </c>
      <c r="X598" s="127" t="str">
        <f t="shared" si="4"/>
        <v/>
      </c>
      <c r="Y598" s="127" t="str">
        <f t="shared" si="5"/>
        <v/>
      </c>
    </row>
    <row r="599">
      <c r="A599" s="127"/>
      <c r="B599" s="127" t="str">
        <f>IF(A599="","",VLOOKUP(A599,'BASE OS'!$A$2:$I1000,2,FALSE))</f>
        <v/>
      </c>
      <c r="C599" s="132"/>
      <c r="D599" s="127"/>
      <c r="E599" s="127"/>
      <c r="F599" s="127"/>
      <c r="G599" s="127"/>
      <c r="H599" s="130"/>
      <c r="I599" s="130"/>
      <c r="J599" s="130">
        <f t="shared" si="1"/>
        <v>0</v>
      </c>
      <c r="K599" s="130"/>
      <c r="L599" s="130"/>
      <c r="M599" s="130">
        <f t="shared" si="2"/>
        <v>0</v>
      </c>
      <c r="N599" s="130"/>
      <c r="O599" s="130"/>
      <c r="P599" s="127"/>
      <c r="Q599" s="127"/>
      <c r="R599" s="127"/>
      <c r="S599" s="127"/>
      <c r="T599" s="127" t="str">
        <f>IF(A599="","",VLOOKUP(A599,'BASE OS'!$A$2:$I1000,4,FALSE))</f>
        <v/>
      </c>
      <c r="U599" s="127"/>
      <c r="V599" s="127"/>
      <c r="W599" s="127" t="str">
        <f t="shared" si="3"/>
        <v/>
      </c>
      <c r="X599" s="127" t="str">
        <f t="shared" si="4"/>
        <v/>
      </c>
      <c r="Y599" s="127" t="str">
        <f t="shared" si="5"/>
        <v/>
      </c>
    </row>
    <row r="600">
      <c r="A600" s="127"/>
      <c r="B600" s="127" t="str">
        <f>IF(A600="","",VLOOKUP(A600,'BASE OS'!$A$2:$I1000,2,FALSE))</f>
        <v/>
      </c>
      <c r="C600" s="132"/>
      <c r="D600" s="127"/>
      <c r="E600" s="127"/>
      <c r="F600" s="127"/>
      <c r="G600" s="127"/>
      <c r="H600" s="130"/>
      <c r="I600" s="130"/>
      <c r="J600" s="130">
        <f t="shared" si="1"/>
        <v>0</v>
      </c>
      <c r="K600" s="130"/>
      <c r="L600" s="130"/>
      <c r="M600" s="130">
        <f t="shared" si="2"/>
        <v>0</v>
      </c>
      <c r="N600" s="130"/>
      <c r="O600" s="130"/>
      <c r="P600" s="127"/>
      <c r="Q600" s="127"/>
      <c r="R600" s="127"/>
      <c r="S600" s="127"/>
      <c r="T600" s="127" t="str">
        <f>IF(A600="","",VLOOKUP(A600,'BASE OS'!$A$2:$I1000,4,FALSE))</f>
        <v/>
      </c>
      <c r="U600" s="127"/>
      <c r="V600" s="127"/>
      <c r="W600" s="127" t="str">
        <f t="shared" si="3"/>
        <v/>
      </c>
      <c r="X600" s="127" t="str">
        <f t="shared" si="4"/>
        <v/>
      </c>
      <c r="Y600" s="127" t="str">
        <f t="shared" si="5"/>
        <v/>
      </c>
    </row>
    <row r="601">
      <c r="A601" s="127"/>
      <c r="B601" s="127" t="str">
        <f>IF(A601="","",VLOOKUP(A601,'BASE OS'!$A$2:$I1000,2,FALSE))</f>
        <v/>
      </c>
      <c r="C601" s="132"/>
      <c r="D601" s="127"/>
      <c r="E601" s="127"/>
      <c r="F601" s="127"/>
      <c r="G601" s="127"/>
      <c r="H601" s="130"/>
      <c r="I601" s="130"/>
      <c r="J601" s="130">
        <f t="shared" si="1"/>
        <v>0</v>
      </c>
      <c r="K601" s="130"/>
      <c r="L601" s="130"/>
      <c r="M601" s="130">
        <f t="shared" si="2"/>
        <v>0</v>
      </c>
      <c r="N601" s="130"/>
      <c r="O601" s="130"/>
      <c r="P601" s="127"/>
      <c r="Q601" s="127"/>
      <c r="R601" s="127"/>
      <c r="S601" s="127"/>
      <c r="T601" s="127" t="str">
        <f>IF(A601="","",VLOOKUP(A601,'BASE OS'!$A$2:$I1000,4,FALSE))</f>
        <v/>
      </c>
      <c r="U601" s="127"/>
      <c r="V601" s="127"/>
      <c r="W601" s="127" t="str">
        <f t="shared" si="3"/>
        <v/>
      </c>
      <c r="X601" s="127" t="str">
        <f t="shared" si="4"/>
        <v/>
      </c>
      <c r="Y601" s="127" t="str">
        <f t="shared" si="5"/>
        <v/>
      </c>
    </row>
    <row r="602">
      <c r="A602" s="127"/>
      <c r="B602" s="127" t="str">
        <f>IF(A602="","",VLOOKUP(A602,'BASE OS'!$A$2:$I1000,2,FALSE))</f>
        <v/>
      </c>
      <c r="C602" s="132"/>
      <c r="D602" s="127"/>
      <c r="E602" s="127"/>
      <c r="F602" s="127"/>
      <c r="G602" s="127"/>
      <c r="H602" s="130"/>
      <c r="I602" s="130"/>
      <c r="J602" s="130">
        <f t="shared" si="1"/>
        <v>0</v>
      </c>
      <c r="K602" s="130"/>
      <c r="L602" s="130"/>
      <c r="M602" s="130">
        <f t="shared" si="2"/>
        <v>0</v>
      </c>
      <c r="N602" s="130"/>
      <c r="O602" s="130"/>
      <c r="P602" s="127"/>
      <c r="Q602" s="127"/>
      <c r="R602" s="127"/>
      <c r="S602" s="127"/>
      <c r="T602" s="127" t="str">
        <f>IF(A602="","",VLOOKUP(A602,'BASE OS'!$A$2:$I1000,4,FALSE))</f>
        <v/>
      </c>
      <c r="U602" s="127"/>
      <c r="V602" s="127"/>
      <c r="W602" s="127" t="str">
        <f t="shared" si="3"/>
        <v/>
      </c>
      <c r="X602" s="127" t="str">
        <f t="shared" si="4"/>
        <v/>
      </c>
      <c r="Y602" s="127" t="str">
        <f t="shared" si="5"/>
        <v/>
      </c>
    </row>
    <row r="603">
      <c r="A603" s="127"/>
      <c r="B603" s="127" t="str">
        <f>IF(A603="","",VLOOKUP(A603,'BASE OS'!$A$2:$I1000,2,FALSE))</f>
        <v/>
      </c>
      <c r="C603" s="132"/>
      <c r="D603" s="127"/>
      <c r="E603" s="127"/>
      <c r="F603" s="127"/>
      <c r="G603" s="127"/>
      <c r="H603" s="130"/>
      <c r="I603" s="130"/>
      <c r="J603" s="130">
        <f t="shared" si="1"/>
        <v>0</v>
      </c>
      <c r="K603" s="130"/>
      <c r="L603" s="130"/>
      <c r="M603" s="130">
        <f t="shared" si="2"/>
        <v>0</v>
      </c>
      <c r="N603" s="130"/>
      <c r="O603" s="130"/>
      <c r="P603" s="127"/>
      <c r="Q603" s="127"/>
      <c r="R603" s="127"/>
      <c r="S603" s="127"/>
      <c r="T603" s="127" t="str">
        <f>IF(A603="","",VLOOKUP(A603,'BASE OS'!$A$2:$I1000,4,FALSE))</f>
        <v/>
      </c>
      <c r="U603" s="127"/>
      <c r="V603" s="127"/>
      <c r="W603" s="127" t="str">
        <f t="shared" si="3"/>
        <v/>
      </c>
      <c r="X603" s="127" t="str">
        <f t="shared" si="4"/>
        <v/>
      </c>
      <c r="Y603" s="127" t="str">
        <f t="shared" si="5"/>
        <v/>
      </c>
    </row>
    <row r="604">
      <c r="A604" s="127"/>
      <c r="B604" s="127" t="str">
        <f>IF(A604="","",VLOOKUP(A604,'BASE OS'!$A$2:$I1000,2,FALSE))</f>
        <v/>
      </c>
      <c r="C604" s="132"/>
      <c r="D604" s="127"/>
      <c r="E604" s="127"/>
      <c r="F604" s="127"/>
      <c r="G604" s="127"/>
      <c r="H604" s="130"/>
      <c r="I604" s="130"/>
      <c r="J604" s="130">
        <f t="shared" si="1"/>
        <v>0</v>
      </c>
      <c r="K604" s="130"/>
      <c r="L604" s="130"/>
      <c r="M604" s="130">
        <f t="shared" si="2"/>
        <v>0</v>
      </c>
      <c r="N604" s="130"/>
      <c r="O604" s="130"/>
      <c r="P604" s="127"/>
      <c r="Q604" s="127"/>
      <c r="R604" s="127"/>
      <c r="S604" s="127"/>
      <c r="T604" s="127" t="str">
        <f>IF(A604="","",VLOOKUP(A604,'BASE OS'!$A$2:$I1000,4,FALSE))</f>
        <v/>
      </c>
      <c r="U604" s="127"/>
      <c r="V604" s="127"/>
      <c r="W604" s="127" t="str">
        <f t="shared" si="3"/>
        <v/>
      </c>
      <c r="X604" s="127" t="str">
        <f t="shared" si="4"/>
        <v/>
      </c>
      <c r="Y604" s="127" t="str">
        <f t="shared" si="5"/>
        <v/>
      </c>
    </row>
    <row r="605">
      <c r="A605" s="127"/>
      <c r="B605" s="127" t="str">
        <f>IF(A605="","",VLOOKUP(A605,'BASE OS'!$A$2:$I1000,2,FALSE))</f>
        <v/>
      </c>
      <c r="C605" s="132"/>
      <c r="D605" s="127"/>
      <c r="E605" s="127"/>
      <c r="F605" s="127"/>
      <c r="G605" s="127"/>
      <c r="H605" s="130"/>
      <c r="I605" s="130"/>
      <c r="J605" s="130">
        <f t="shared" si="1"/>
        <v>0</v>
      </c>
      <c r="K605" s="130"/>
      <c r="L605" s="130"/>
      <c r="M605" s="130">
        <f t="shared" si="2"/>
        <v>0</v>
      </c>
      <c r="N605" s="130"/>
      <c r="O605" s="130"/>
      <c r="P605" s="127"/>
      <c r="Q605" s="127"/>
      <c r="R605" s="127"/>
      <c r="S605" s="127"/>
      <c r="T605" s="127" t="str">
        <f>IF(A605="","",VLOOKUP(A605,'BASE OS'!$A$2:$I1000,4,FALSE))</f>
        <v/>
      </c>
      <c r="U605" s="127"/>
      <c r="V605" s="127"/>
      <c r="W605" s="127" t="str">
        <f t="shared" si="3"/>
        <v/>
      </c>
      <c r="X605" s="127" t="str">
        <f t="shared" si="4"/>
        <v/>
      </c>
      <c r="Y605" s="127" t="str">
        <f t="shared" si="5"/>
        <v/>
      </c>
    </row>
    <row r="606">
      <c r="A606" s="127"/>
      <c r="B606" s="127" t="str">
        <f>IF(A606="","",VLOOKUP(A606,'BASE OS'!$A$2:$I1000,2,FALSE))</f>
        <v/>
      </c>
      <c r="C606" s="132"/>
      <c r="D606" s="127"/>
      <c r="E606" s="127"/>
      <c r="F606" s="127"/>
      <c r="G606" s="127"/>
      <c r="H606" s="130"/>
      <c r="I606" s="130"/>
      <c r="J606" s="130">
        <f t="shared" si="1"/>
        <v>0</v>
      </c>
      <c r="K606" s="130"/>
      <c r="L606" s="130"/>
      <c r="M606" s="130">
        <f t="shared" si="2"/>
        <v>0</v>
      </c>
      <c r="N606" s="130"/>
      <c r="O606" s="130"/>
      <c r="P606" s="127"/>
      <c r="Q606" s="127"/>
      <c r="R606" s="127"/>
      <c r="S606" s="127"/>
      <c r="T606" s="127" t="str">
        <f>IF(A606="","",VLOOKUP(A606,'BASE OS'!$A$2:$I1000,4,FALSE))</f>
        <v/>
      </c>
      <c r="U606" s="127"/>
      <c r="V606" s="127"/>
      <c r="W606" s="127" t="str">
        <f t="shared" si="3"/>
        <v/>
      </c>
      <c r="X606" s="127" t="str">
        <f t="shared" si="4"/>
        <v/>
      </c>
      <c r="Y606" s="127" t="str">
        <f t="shared" si="5"/>
        <v/>
      </c>
    </row>
    <row r="607">
      <c r="A607" s="127"/>
      <c r="B607" s="127" t="str">
        <f>IF(A607="","",VLOOKUP(A607,'BASE OS'!$A$2:$I1000,2,FALSE))</f>
        <v/>
      </c>
      <c r="C607" s="132"/>
      <c r="D607" s="127"/>
      <c r="E607" s="127"/>
      <c r="F607" s="127"/>
      <c r="G607" s="127"/>
      <c r="H607" s="130"/>
      <c r="I607" s="130"/>
      <c r="J607" s="130">
        <f t="shared" si="1"/>
        <v>0</v>
      </c>
      <c r="K607" s="130"/>
      <c r="L607" s="130"/>
      <c r="M607" s="130">
        <f t="shared" si="2"/>
        <v>0</v>
      </c>
      <c r="N607" s="130"/>
      <c r="O607" s="130"/>
      <c r="P607" s="127"/>
      <c r="Q607" s="127"/>
      <c r="R607" s="127"/>
      <c r="S607" s="127"/>
      <c r="T607" s="127" t="str">
        <f>IF(A607="","",VLOOKUP(A607,'BASE OS'!$A$2:$I1000,4,FALSE))</f>
        <v/>
      </c>
      <c r="U607" s="127"/>
      <c r="V607" s="127"/>
      <c r="W607" s="127" t="str">
        <f t="shared" si="3"/>
        <v/>
      </c>
      <c r="X607" s="127" t="str">
        <f t="shared" si="4"/>
        <v/>
      </c>
      <c r="Y607" s="127" t="str">
        <f t="shared" si="5"/>
        <v/>
      </c>
    </row>
    <row r="608">
      <c r="A608" s="127"/>
      <c r="B608" s="127" t="str">
        <f>IF(A608="","",VLOOKUP(A608,'BASE OS'!$A$2:$I1000,2,FALSE))</f>
        <v/>
      </c>
      <c r="C608" s="132"/>
      <c r="D608" s="127"/>
      <c r="E608" s="127"/>
      <c r="F608" s="127"/>
      <c r="G608" s="127"/>
      <c r="H608" s="130"/>
      <c r="I608" s="130"/>
      <c r="J608" s="130">
        <f t="shared" si="1"/>
        <v>0</v>
      </c>
      <c r="K608" s="130"/>
      <c r="L608" s="130"/>
      <c r="M608" s="130">
        <f t="shared" si="2"/>
        <v>0</v>
      </c>
      <c r="N608" s="130"/>
      <c r="O608" s="130"/>
      <c r="P608" s="127"/>
      <c r="Q608" s="127"/>
      <c r="R608" s="127"/>
      <c r="S608" s="127"/>
      <c r="T608" s="127" t="str">
        <f>IF(A608="","",VLOOKUP(A608,'BASE OS'!$A$2:$I1000,4,FALSE))</f>
        <v/>
      </c>
      <c r="U608" s="127"/>
      <c r="V608" s="127"/>
      <c r="W608" s="127" t="str">
        <f t="shared" si="3"/>
        <v/>
      </c>
      <c r="X608" s="127" t="str">
        <f t="shared" si="4"/>
        <v/>
      </c>
      <c r="Y608" s="127" t="str">
        <f t="shared" si="5"/>
        <v/>
      </c>
    </row>
    <row r="609">
      <c r="A609" s="127"/>
      <c r="B609" s="127" t="str">
        <f>IF(A609="","",VLOOKUP(A609,'BASE OS'!$A$2:$I1000,2,FALSE))</f>
        <v/>
      </c>
      <c r="C609" s="132"/>
      <c r="D609" s="127"/>
      <c r="E609" s="127"/>
      <c r="F609" s="127"/>
      <c r="G609" s="127"/>
      <c r="H609" s="130"/>
      <c r="I609" s="130"/>
      <c r="J609" s="130">
        <f t="shared" si="1"/>
        <v>0</v>
      </c>
      <c r="K609" s="130"/>
      <c r="L609" s="130"/>
      <c r="M609" s="130">
        <f t="shared" si="2"/>
        <v>0</v>
      </c>
      <c r="N609" s="130"/>
      <c r="O609" s="130"/>
      <c r="P609" s="127"/>
      <c r="Q609" s="127"/>
      <c r="R609" s="127"/>
      <c r="S609" s="127"/>
      <c r="T609" s="127" t="str">
        <f>IF(A609="","",VLOOKUP(A609,'BASE OS'!$A$2:$I1000,4,FALSE))</f>
        <v/>
      </c>
      <c r="U609" s="127"/>
      <c r="V609" s="127"/>
      <c r="W609" s="127" t="str">
        <f t="shared" si="3"/>
        <v/>
      </c>
      <c r="X609" s="127" t="str">
        <f t="shared" si="4"/>
        <v/>
      </c>
      <c r="Y609" s="127" t="str">
        <f t="shared" si="5"/>
        <v/>
      </c>
    </row>
    <row r="610">
      <c r="A610" s="127"/>
      <c r="B610" s="127" t="str">
        <f>IF(A610="","",VLOOKUP(A610,'BASE OS'!$A$2:$I1000,2,FALSE))</f>
        <v/>
      </c>
      <c r="C610" s="132"/>
      <c r="D610" s="127"/>
      <c r="E610" s="127"/>
      <c r="F610" s="127"/>
      <c r="G610" s="127"/>
      <c r="H610" s="130"/>
      <c r="I610" s="130"/>
      <c r="J610" s="130">
        <f t="shared" si="1"/>
        <v>0</v>
      </c>
      <c r="K610" s="130"/>
      <c r="L610" s="130"/>
      <c r="M610" s="130">
        <f t="shared" si="2"/>
        <v>0</v>
      </c>
      <c r="N610" s="130"/>
      <c r="O610" s="130"/>
      <c r="P610" s="127"/>
      <c r="Q610" s="127"/>
      <c r="R610" s="127"/>
      <c r="S610" s="127"/>
      <c r="T610" s="127" t="str">
        <f>IF(A610="","",VLOOKUP(A610,'BASE OS'!$A$2:$I1000,4,FALSE))</f>
        <v/>
      </c>
      <c r="U610" s="127"/>
      <c r="V610" s="127"/>
      <c r="W610" s="127" t="str">
        <f t="shared" si="3"/>
        <v/>
      </c>
      <c r="X610" s="127" t="str">
        <f t="shared" si="4"/>
        <v/>
      </c>
      <c r="Y610" s="127" t="str">
        <f t="shared" si="5"/>
        <v/>
      </c>
    </row>
    <row r="611">
      <c r="A611" s="127"/>
      <c r="B611" s="127" t="str">
        <f>IF(A611="","",VLOOKUP(A611,'BASE OS'!$A$2:$I1000,2,FALSE))</f>
        <v/>
      </c>
      <c r="C611" s="132"/>
      <c r="D611" s="127"/>
      <c r="E611" s="127"/>
      <c r="F611" s="127"/>
      <c r="G611" s="127"/>
      <c r="H611" s="130"/>
      <c r="I611" s="130"/>
      <c r="J611" s="130">
        <f t="shared" si="1"/>
        <v>0</v>
      </c>
      <c r="K611" s="130"/>
      <c r="L611" s="130"/>
      <c r="M611" s="130">
        <f t="shared" si="2"/>
        <v>0</v>
      </c>
      <c r="N611" s="130"/>
      <c r="O611" s="130"/>
      <c r="P611" s="127"/>
      <c r="Q611" s="127"/>
      <c r="R611" s="127"/>
      <c r="S611" s="127"/>
      <c r="T611" s="127" t="str">
        <f>IF(A611="","",VLOOKUP(A611,'BASE OS'!$A$2:$I1000,4,FALSE))</f>
        <v/>
      </c>
      <c r="U611" s="127"/>
      <c r="V611" s="127"/>
      <c r="W611" s="127" t="str">
        <f t="shared" si="3"/>
        <v/>
      </c>
      <c r="X611" s="127" t="str">
        <f t="shared" si="4"/>
        <v/>
      </c>
      <c r="Y611" s="127" t="str">
        <f t="shared" si="5"/>
        <v/>
      </c>
    </row>
    <row r="612">
      <c r="A612" s="127"/>
      <c r="B612" s="127" t="str">
        <f>IF(A612="","",VLOOKUP(A612,'BASE OS'!$A$2:$I1000,2,FALSE))</f>
        <v/>
      </c>
      <c r="C612" s="132"/>
      <c r="D612" s="127"/>
      <c r="E612" s="127"/>
      <c r="F612" s="127"/>
      <c r="G612" s="127"/>
      <c r="H612" s="130"/>
      <c r="I612" s="130"/>
      <c r="J612" s="130">
        <f t="shared" si="1"/>
        <v>0</v>
      </c>
      <c r="K612" s="130"/>
      <c r="L612" s="130"/>
      <c r="M612" s="130">
        <f t="shared" si="2"/>
        <v>0</v>
      </c>
      <c r="N612" s="130"/>
      <c r="O612" s="130"/>
      <c r="P612" s="127"/>
      <c r="Q612" s="127"/>
      <c r="R612" s="127"/>
      <c r="S612" s="127"/>
      <c r="T612" s="127" t="str">
        <f>IF(A612="","",VLOOKUP(A612,'BASE OS'!$A$2:$I1000,4,FALSE))</f>
        <v/>
      </c>
      <c r="U612" s="127"/>
      <c r="V612" s="127"/>
      <c r="W612" s="127" t="str">
        <f t="shared" si="3"/>
        <v/>
      </c>
      <c r="X612" s="127" t="str">
        <f t="shared" si="4"/>
        <v/>
      </c>
      <c r="Y612" s="127" t="str">
        <f t="shared" si="5"/>
        <v/>
      </c>
    </row>
    <row r="613">
      <c r="A613" s="127"/>
      <c r="B613" s="127" t="str">
        <f>IF(A613="","",VLOOKUP(A613,'BASE OS'!$A$2:$I1000,2,FALSE))</f>
        <v/>
      </c>
      <c r="C613" s="132"/>
      <c r="D613" s="127"/>
      <c r="E613" s="127"/>
      <c r="F613" s="127"/>
      <c r="G613" s="127"/>
      <c r="H613" s="130"/>
      <c r="I613" s="130"/>
      <c r="J613" s="130">
        <f t="shared" si="1"/>
        <v>0</v>
      </c>
      <c r="K613" s="130"/>
      <c r="L613" s="130"/>
      <c r="M613" s="130">
        <f t="shared" si="2"/>
        <v>0</v>
      </c>
      <c r="N613" s="130"/>
      <c r="O613" s="130"/>
      <c r="P613" s="127"/>
      <c r="Q613" s="127"/>
      <c r="R613" s="127"/>
      <c r="S613" s="127"/>
      <c r="T613" s="127" t="str">
        <f>IF(A613="","",VLOOKUP(A613,'BASE OS'!$A$2:$I1000,4,FALSE))</f>
        <v/>
      </c>
      <c r="U613" s="127"/>
      <c r="V613" s="127"/>
      <c r="W613" s="127" t="str">
        <f t="shared" si="3"/>
        <v/>
      </c>
      <c r="X613" s="127" t="str">
        <f t="shared" si="4"/>
        <v/>
      </c>
      <c r="Y613" s="127" t="str">
        <f t="shared" si="5"/>
        <v/>
      </c>
    </row>
    <row r="614">
      <c r="A614" s="127"/>
      <c r="B614" s="127" t="str">
        <f>IF(A614="","",VLOOKUP(A614,'BASE OS'!$A$2:$I1000,2,FALSE))</f>
        <v/>
      </c>
      <c r="C614" s="132"/>
      <c r="D614" s="127"/>
      <c r="E614" s="127"/>
      <c r="F614" s="127"/>
      <c r="G614" s="127"/>
      <c r="H614" s="130"/>
      <c r="I614" s="130"/>
      <c r="J614" s="130">
        <f t="shared" si="1"/>
        <v>0</v>
      </c>
      <c r="K614" s="130"/>
      <c r="L614" s="130"/>
      <c r="M614" s="130">
        <f t="shared" si="2"/>
        <v>0</v>
      </c>
      <c r="N614" s="130"/>
      <c r="O614" s="130"/>
      <c r="P614" s="127"/>
      <c r="Q614" s="127"/>
      <c r="R614" s="127"/>
      <c r="S614" s="127"/>
      <c r="T614" s="127" t="str">
        <f>IF(A614="","",VLOOKUP(A614,'BASE OS'!$A$2:$I1000,4,FALSE))</f>
        <v/>
      </c>
      <c r="U614" s="127"/>
      <c r="V614" s="127"/>
      <c r="W614" s="127" t="str">
        <f t="shared" si="3"/>
        <v/>
      </c>
      <c r="X614" s="127" t="str">
        <f t="shared" si="4"/>
        <v/>
      </c>
      <c r="Y614" s="127" t="str">
        <f t="shared" si="5"/>
        <v/>
      </c>
    </row>
    <row r="615">
      <c r="A615" s="127"/>
      <c r="B615" s="127" t="str">
        <f>IF(A615="","",VLOOKUP(A615,'BASE OS'!$A$2:$I1000,2,FALSE))</f>
        <v/>
      </c>
      <c r="C615" s="132"/>
      <c r="D615" s="127"/>
      <c r="E615" s="127"/>
      <c r="F615" s="127"/>
      <c r="G615" s="127"/>
      <c r="H615" s="130"/>
      <c r="I615" s="130"/>
      <c r="J615" s="130">
        <f t="shared" si="1"/>
        <v>0</v>
      </c>
      <c r="K615" s="130"/>
      <c r="L615" s="130"/>
      <c r="M615" s="130">
        <f t="shared" si="2"/>
        <v>0</v>
      </c>
      <c r="N615" s="130"/>
      <c r="O615" s="130"/>
      <c r="P615" s="127"/>
      <c r="Q615" s="127"/>
      <c r="R615" s="127"/>
      <c r="S615" s="127"/>
      <c r="T615" s="127" t="str">
        <f>IF(A615="","",VLOOKUP(A615,'BASE OS'!$A$2:$I1000,4,FALSE))</f>
        <v/>
      </c>
      <c r="U615" s="127"/>
      <c r="V615" s="127"/>
      <c r="W615" s="127" t="str">
        <f t="shared" si="3"/>
        <v/>
      </c>
      <c r="X615" s="127" t="str">
        <f t="shared" si="4"/>
        <v/>
      </c>
      <c r="Y615" s="127" t="str">
        <f t="shared" si="5"/>
        <v/>
      </c>
    </row>
    <row r="616">
      <c r="A616" s="127"/>
      <c r="B616" s="127" t="str">
        <f>IF(A616="","",VLOOKUP(A616,'BASE OS'!$A$2:$I1000,2,FALSE))</f>
        <v/>
      </c>
      <c r="C616" s="132"/>
      <c r="D616" s="127"/>
      <c r="E616" s="127"/>
      <c r="F616" s="127"/>
      <c r="G616" s="127"/>
      <c r="H616" s="130"/>
      <c r="I616" s="130"/>
      <c r="J616" s="130">
        <f t="shared" si="1"/>
        <v>0</v>
      </c>
      <c r="K616" s="130"/>
      <c r="L616" s="130"/>
      <c r="M616" s="130">
        <f t="shared" si="2"/>
        <v>0</v>
      </c>
      <c r="N616" s="130"/>
      <c r="O616" s="130"/>
      <c r="P616" s="127"/>
      <c r="Q616" s="127"/>
      <c r="R616" s="127"/>
      <c r="S616" s="127"/>
      <c r="T616" s="127" t="str">
        <f>IF(A616="","",VLOOKUP(A616,'BASE OS'!$A$2:$I1000,4,FALSE))</f>
        <v/>
      </c>
      <c r="U616" s="127"/>
      <c r="V616" s="127"/>
      <c r="W616" s="127" t="str">
        <f t="shared" si="3"/>
        <v/>
      </c>
      <c r="X616" s="127" t="str">
        <f t="shared" si="4"/>
        <v/>
      </c>
      <c r="Y616" s="127" t="str">
        <f t="shared" si="5"/>
        <v/>
      </c>
    </row>
    <row r="617">
      <c r="A617" s="127"/>
      <c r="B617" s="127" t="str">
        <f>IF(A617="","",VLOOKUP(A617,'BASE OS'!$A$2:$I1000,2,FALSE))</f>
        <v/>
      </c>
      <c r="C617" s="132"/>
      <c r="D617" s="127"/>
      <c r="E617" s="127"/>
      <c r="F617" s="127"/>
      <c r="G617" s="127"/>
      <c r="H617" s="130"/>
      <c r="I617" s="130"/>
      <c r="J617" s="130">
        <f t="shared" si="1"/>
        <v>0</v>
      </c>
      <c r="K617" s="130"/>
      <c r="L617" s="130"/>
      <c r="M617" s="130">
        <f t="shared" si="2"/>
        <v>0</v>
      </c>
      <c r="N617" s="130"/>
      <c r="O617" s="130"/>
      <c r="P617" s="127"/>
      <c r="Q617" s="127"/>
      <c r="R617" s="127"/>
      <c r="S617" s="127"/>
      <c r="T617" s="127" t="str">
        <f>IF(A617="","",VLOOKUP(A617,'BASE OS'!$A$2:$I1000,4,FALSE))</f>
        <v/>
      </c>
      <c r="U617" s="127"/>
      <c r="V617" s="127"/>
      <c r="W617" s="127" t="str">
        <f t="shared" si="3"/>
        <v/>
      </c>
      <c r="X617" s="127" t="str">
        <f t="shared" si="4"/>
        <v/>
      </c>
      <c r="Y617" s="127" t="str">
        <f t="shared" si="5"/>
        <v/>
      </c>
    </row>
    <row r="618">
      <c r="A618" s="127"/>
      <c r="B618" s="127" t="str">
        <f>IF(A618="","",VLOOKUP(A618,'BASE OS'!$A$2:$I1000,2,FALSE))</f>
        <v/>
      </c>
      <c r="C618" s="132"/>
      <c r="D618" s="127"/>
      <c r="E618" s="127"/>
      <c r="F618" s="127"/>
      <c r="G618" s="127"/>
      <c r="H618" s="130"/>
      <c r="I618" s="130"/>
      <c r="J618" s="130">
        <f t="shared" si="1"/>
        <v>0</v>
      </c>
      <c r="K618" s="130"/>
      <c r="L618" s="130"/>
      <c r="M618" s="130">
        <f t="shared" si="2"/>
        <v>0</v>
      </c>
      <c r="N618" s="130"/>
      <c r="O618" s="130"/>
      <c r="P618" s="127"/>
      <c r="Q618" s="127"/>
      <c r="R618" s="127"/>
      <c r="S618" s="127"/>
      <c r="T618" s="127" t="str">
        <f>IF(A618="","",VLOOKUP(A618,'BASE OS'!$A$2:$I1000,4,FALSE))</f>
        <v/>
      </c>
      <c r="U618" s="127"/>
      <c r="V618" s="127"/>
      <c r="W618" s="127" t="str">
        <f t="shared" si="3"/>
        <v/>
      </c>
      <c r="X618" s="127" t="str">
        <f t="shared" si="4"/>
        <v/>
      </c>
      <c r="Y618" s="127" t="str">
        <f t="shared" si="5"/>
        <v/>
      </c>
    </row>
    <row r="619">
      <c r="A619" s="127"/>
      <c r="B619" s="127" t="str">
        <f>IF(A619="","",VLOOKUP(A619,'BASE OS'!$A$2:$I1000,2,FALSE))</f>
        <v/>
      </c>
      <c r="C619" s="132"/>
      <c r="D619" s="127"/>
      <c r="E619" s="127"/>
      <c r="F619" s="127"/>
      <c r="G619" s="127"/>
      <c r="H619" s="130"/>
      <c r="I619" s="130"/>
      <c r="J619" s="130">
        <f t="shared" si="1"/>
        <v>0</v>
      </c>
      <c r="K619" s="130"/>
      <c r="L619" s="130"/>
      <c r="M619" s="130">
        <f t="shared" si="2"/>
        <v>0</v>
      </c>
      <c r="N619" s="130"/>
      <c r="O619" s="130"/>
      <c r="P619" s="127"/>
      <c r="Q619" s="127"/>
      <c r="R619" s="127"/>
      <c r="S619" s="127"/>
      <c r="T619" s="127" t="str">
        <f>IF(A619="","",VLOOKUP(A619,'BASE OS'!$A$2:$I1000,4,FALSE))</f>
        <v/>
      </c>
      <c r="U619" s="127"/>
      <c r="V619" s="127"/>
      <c r="W619" s="127" t="str">
        <f t="shared" si="3"/>
        <v/>
      </c>
      <c r="X619" s="127" t="str">
        <f t="shared" si="4"/>
        <v/>
      </c>
      <c r="Y619" s="127" t="str">
        <f t="shared" si="5"/>
        <v/>
      </c>
    </row>
    <row r="620">
      <c r="A620" s="127"/>
      <c r="B620" s="127" t="str">
        <f>IF(A620="","",VLOOKUP(A620,'BASE OS'!$A$2:$I1000,2,FALSE))</f>
        <v/>
      </c>
      <c r="C620" s="132"/>
      <c r="D620" s="127"/>
      <c r="E620" s="127"/>
      <c r="F620" s="127"/>
      <c r="G620" s="127"/>
      <c r="H620" s="130"/>
      <c r="I620" s="130"/>
      <c r="J620" s="130">
        <f t="shared" si="1"/>
        <v>0</v>
      </c>
      <c r="K620" s="130"/>
      <c r="L620" s="130"/>
      <c r="M620" s="130">
        <f t="shared" si="2"/>
        <v>0</v>
      </c>
      <c r="N620" s="130"/>
      <c r="O620" s="130"/>
      <c r="P620" s="127"/>
      <c r="Q620" s="127"/>
      <c r="R620" s="127"/>
      <c r="S620" s="127"/>
      <c r="T620" s="127" t="str">
        <f>IF(A620="","",VLOOKUP(A620,'BASE OS'!$A$2:$I1000,4,FALSE))</f>
        <v/>
      </c>
      <c r="U620" s="127"/>
      <c r="V620" s="127"/>
      <c r="W620" s="127" t="str">
        <f t="shared" si="3"/>
        <v/>
      </c>
      <c r="X620" s="127" t="str">
        <f t="shared" si="4"/>
        <v/>
      </c>
      <c r="Y620" s="127" t="str">
        <f t="shared" si="5"/>
        <v/>
      </c>
    </row>
    <row r="621">
      <c r="A621" s="127"/>
      <c r="B621" s="127" t="str">
        <f>IF(A621="","",VLOOKUP(A621,'BASE OS'!$A$2:$I1000,2,FALSE))</f>
        <v/>
      </c>
      <c r="C621" s="132"/>
      <c r="D621" s="127"/>
      <c r="E621" s="127"/>
      <c r="F621" s="127"/>
      <c r="G621" s="127"/>
      <c r="H621" s="130"/>
      <c r="I621" s="130"/>
      <c r="J621" s="130">
        <f t="shared" si="1"/>
        <v>0</v>
      </c>
      <c r="K621" s="130"/>
      <c r="L621" s="130"/>
      <c r="M621" s="130">
        <f t="shared" si="2"/>
        <v>0</v>
      </c>
      <c r="N621" s="130"/>
      <c r="O621" s="130"/>
      <c r="P621" s="127"/>
      <c r="Q621" s="127"/>
      <c r="R621" s="127"/>
      <c r="S621" s="127"/>
      <c r="T621" s="127" t="str">
        <f>IF(A621="","",VLOOKUP(A621,'BASE OS'!$A$2:$I1000,4,FALSE))</f>
        <v/>
      </c>
      <c r="U621" s="127"/>
      <c r="V621" s="127"/>
      <c r="W621" s="127" t="str">
        <f t="shared" si="3"/>
        <v/>
      </c>
      <c r="X621" s="127" t="str">
        <f t="shared" si="4"/>
        <v/>
      </c>
      <c r="Y621" s="127" t="str">
        <f t="shared" si="5"/>
        <v/>
      </c>
    </row>
    <row r="622">
      <c r="A622" s="127"/>
      <c r="B622" s="127" t="str">
        <f>IF(A622="","",VLOOKUP(A622,'BASE OS'!$A$2:$I1000,2,FALSE))</f>
        <v/>
      </c>
      <c r="C622" s="132"/>
      <c r="D622" s="127"/>
      <c r="E622" s="127"/>
      <c r="F622" s="127"/>
      <c r="G622" s="127"/>
      <c r="H622" s="130"/>
      <c r="I622" s="130"/>
      <c r="J622" s="130">
        <f t="shared" si="1"/>
        <v>0</v>
      </c>
      <c r="K622" s="130"/>
      <c r="L622" s="130"/>
      <c r="M622" s="130">
        <f t="shared" si="2"/>
        <v>0</v>
      </c>
      <c r="N622" s="130"/>
      <c r="O622" s="130"/>
      <c r="P622" s="127"/>
      <c r="Q622" s="127"/>
      <c r="R622" s="127"/>
      <c r="S622" s="127"/>
      <c r="T622" s="127" t="str">
        <f>IF(A622="","",VLOOKUP(A622,'BASE OS'!$A$2:$I1000,4,FALSE))</f>
        <v/>
      </c>
      <c r="U622" s="127"/>
      <c r="V622" s="127"/>
      <c r="W622" s="127" t="str">
        <f t="shared" si="3"/>
        <v/>
      </c>
      <c r="X622" s="127" t="str">
        <f t="shared" si="4"/>
        <v/>
      </c>
      <c r="Y622" s="127" t="str">
        <f t="shared" si="5"/>
        <v/>
      </c>
    </row>
    <row r="623">
      <c r="A623" s="127"/>
      <c r="B623" s="127" t="str">
        <f>IF(A623="","",VLOOKUP(A623,'BASE OS'!$A$2:$I1000,2,FALSE))</f>
        <v/>
      </c>
      <c r="C623" s="132"/>
      <c r="D623" s="127"/>
      <c r="E623" s="127"/>
      <c r="F623" s="127"/>
      <c r="G623" s="127"/>
      <c r="H623" s="130"/>
      <c r="I623" s="130"/>
      <c r="J623" s="130">
        <f t="shared" si="1"/>
        <v>0</v>
      </c>
      <c r="K623" s="130"/>
      <c r="L623" s="130"/>
      <c r="M623" s="130">
        <f t="shared" si="2"/>
        <v>0</v>
      </c>
      <c r="N623" s="130"/>
      <c r="O623" s="130"/>
      <c r="P623" s="127"/>
      <c r="Q623" s="127"/>
      <c r="R623" s="127"/>
      <c r="S623" s="127"/>
      <c r="T623" s="127" t="str">
        <f>IF(A623="","",VLOOKUP(A623,'BASE OS'!$A$2:$I1000,4,FALSE))</f>
        <v/>
      </c>
      <c r="U623" s="127"/>
      <c r="V623" s="127"/>
      <c r="W623" s="127" t="str">
        <f t="shared" si="3"/>
        <v/>
      </c>
      <c r="X623" s="127" t="str">
        <f t="shared" si="4"/>
        <v/>
      </c>
      <c r="Y623" s="127" t="str">
        <f t="shared" si="5"/>
        <v/>
      </c>
    </row>
    <row r="624">
      <c r="A624" s="127"/>
      <c r="B624" s="127" t="str">
        <f>IF(A624="","",VLOOKUP(A624,'BASE OS'!$A$2:$I1000,2,FALSE))</f>
        <v/>
      </c>
      <c r="C624" s="132"/>
      <c r="D624" s="127"/>
      <c r="E624" s="127"/>
      <c r="F624" s="127"/>
      <c r="G624" s="127"/>
      <c r="H624" s="130"/>
      <c r="I624" s="130"/>
      <c r="J624" s="130">
        <f t="shared" si="1"/>
        <v>0</v>
      </c>
      <c r="K624" s="130"/>
      <c r="L624" s="130"/>
      <c r="M624" s="130">
        <f t="shared" si="2"/>
        <v>0</v>
      </c>
      <c r="N624" s="130"/>
      <c r="O624" s="130"/>
      <c r="P624" s="127"/>
      <c r="Q624" s="127"/>
      <c r="R624" s="127"/>
      <c r="S624" s="127"/>
      <c r="T624" s="127" t="str">
        <f>IF(A624="","",VLOOKUP(A624,'BASE OS'!$A$2:$I1000,4,FALSE))</f>
        <v/>
      </c>
      <c r="U624" s="127"/>
      <c r="V624" s="127"/>
      <c r="W624" s="127" t="str">
        <f t="shared" si="3"/>
        <v/>
      </c>
      <c r="X624" s="127" t="str">
        <f t="shared" si="4"/>
        <v/>
      </c>
      <c r="Y624" s="127" t="str">
        <f t="shared" si="5"/>
        <v/>
      </c>
    </row>
    <row r="625">
      <c r="A625" s="127"/>
      <c r="B625" s="127" t="str">
        <f>IF(A625="","",VLOOKUP(A625,'BASE OS'!$A$2:$I1000,2,FALSE))</f>
        <v/>
      </c>
      <c r="C625" s="132"/>
      <c r="D625" s="127"/>
      <c r="E625" s="127"/>
      <c r="F625" s="127"/>
      <c r="G625" s="127"/>
      <c r="H625" s="130"/>
      <c r="I625" s="130"/>
      <c r="J625" s="130">
        <f t="shared" si="1"/>
        <v>0</v>
      </c>
      <c r="K625" s="130"/>
      <c r="L625" s="130"/>
      <c r="M625" s="130">
        <f t="shared" si="2"/>
        <v>0</v>
      </c>
      <c r="N625" s="130"/>
      <c r="O625" s="130"/>
      <c r="P625" s="127"/>
      <c r="Q625" s="127"/>
      <c r="R625" s="127"/>
      <c r="S625" s="127"/>
      <c r="T625" s="127" t="str">
        <f>IF(A625="","",VLOOKUP(A625,'BASE OS'!$A$2:$I1000,4,FALSE))</f>
        <v/>
      </c>
      <c r="U625" s="127"/>
      <c r="V625" s="127"/>
      <c r="W625" s="127" t="str">
        <f t="shared" si="3"/>
        <v/>
      </c>
      <c r="X625" s="127" t="str">
        <f t="shared" si="4"/>
        <v/>
      </c>
      <c r="Y625" s="127" t="str">
        <f t="shared" si="5"/>
        <v/>
      </c>
    </row>
    <row r="626">
      <c r="A626" s="127"/>
      <c r="B626" s="127" t="str">
        <f>IF(A626="","",VLOOKUP(A626,'BASE OS'!$A$2:$I1000,2,FALSE))</f>
        <v/>
      </c>
      <c r="C626" s="132"/>
      <c r="D626" s="127"/>
      <c r="E626" s="127"/>
      <c r="F626" s="127"/>
      <c r="G626" s="127"/>
      <c r="H626" s="130"/>
      <c r="I626" s="130"/>
      <c r="J626" s="130">
        <f t="shared" si="1"/>
        <v>0</v>
      </c>
      <c r="K626" s="130"/>
      <c r="L626" s="130"/>
      <c r="M626" s="130">
        <f t="shared" si="2"/>
        <v>0</v>
      </c>
      <c r="N626" s="130"/>
      <c r="O626" s="130"/>
      <c r="P626" s="127"/>
      <c r="Q626" s="127"/>
      <c r="R626" s="127"/>
      <c r="S626" s="127"/>
      <c r="T626" s="127" t="str">
        <f>IF(A626="","",VLOOKUP(A626,'BASE OS'!$A$2:$I1000,4,FALSE))</f>
        <v/>
      </c>
      <c r="U626" s="127"/>
      <c r="V626" s="127"/>
      <c r="W626" s="127" t="str">
        <f t="shared" si="3"/>
        <v/>
      </c>
      <c r="X626" s="127" t="str">
        <f t="shared" si="4"/>
        <v/>
      </c>
      <c r="Y626" s="127" t="str">
        <f t="shared" si="5"/>
        <v/>
      </c>
    </row>
    <row r="627">
      <c r="A627" s="127"/>
      <c r="B627" s="127" t="str">
        <f>IF(A627="","",VLOOKUP(A627,'BASE OS'!$A$2:$I1000,2,FALSE))</f>
        <v/>
      </c>
      <c r="C627" s="132"/>
      <c r="D627" s="127"/>
      <c r="E627" s="127"/>
      <c r="F627" s="127"/>
      <c r="G627" s="127"/>
      <c r="H627" s="130"/>
      <c r="I627" s="130"/>
      <c r="J627" s="130">
        <f t="shared" si="1"/>
        <v>0</v>
      </c>
      <c r="K627" s="130"/>
      <c r="L627" s="130"/>
      <c r="M627" s="130">
        <f t="shared" si="2"/>
        <v>0</v>
      </c>
      <c r="N627" s="130"/>
      <c r="O627" s="130"/>
      <c r="P627" s="127"/>
      <c r="Q627" s="127"/>
      <c r="R627" s="127"/>
      <c r="S627" s="127"/>
      <c r="T627" s="127" t="str">
        <f>IF(A627="","",VLOOKUP(A627,'BASE OS'!$A$2:$I1000,4,FALSE))</f>
        <v/>
      </c>
      <c r="U627" s="127"/>
      <c r="V627" s="127"/>
      <c r="W627" s="127" t="str">
        <f t="shared" si="3"/>
        <v/>
      </c>
      <c r="X627" s="127" t="str">
        <f t="shared" si="4"/>
        <v/>
      </c>
      <c r="Y627" s="127" t="str">
        <f t="shared" si="5"/>
        <v/>
      </c>
    </row>
    <row r="628">
      <c r="A628" s="127"/>
      <c r="B628" s="127" t="str">
        <f>IF(A628="","",VLOOKUP(A628,'BASE OS'!$A$2:$I1000,2,FALSE))</f>
        <v/>
      </c>
      <c r="C628" s="132"/>
      <c r="D628" s="127"/>
      <c r="E628" s="127"/>
      <c r="F628" s="127"/>
      <c r="G628" s="127"/>
      <c r="H628" s="130"/>
      <c r="I628" s="130"/>
      <c r="J628" s="130">
        <f t="shared" si="1"/>
        <v>0</v>
      </c>
      <c r="K628" s="130"/>
      <c r="L628" s="130"/>
      <c r="M628" s="130">
        <f t="shared" si="2"/>
        <v>0</v>
      </c>
      <c r="N628" s="130"/>
      <c r="O628" s="130"/>
      <c r="P628" s="127"/>
      <c r="Q628" s="127"/>
      <c r="R628" s="127"/>
      <c r="S628" s="127"/>
      <c r="T628" s="127" t="str">
        <f>IF(A628="","",VLOOKUP(A628,'BASE OS'!$A$2:$I1000,4,FALSE))</f>
        <v/>
      </c>
      <c r="U628" s="127"/>
      <c r="V628" s="127"/>
      <c r="W628" s="127" t="str">
        <f t="shared" si="3"/>
        <v/>
      </c>
      <c r="X628" s="127" t="str">
        <f t="shared" si="4"/>
        <v/>
      </c>
      <c r="Y628" s="127" t="str">
        <f t="shared" si="5"/>
        <v/>
      </c>
    </row>
    <row r="629">
      <c r="A629" s="127"/>
      <c r="B629" s="127" t="str">
        <f>IF(A629="","",VLOOKUP(A629,'BASE OS'!$A$2:$I1000,2,FALSE))</f>
        <v/>
      </c>
      <c r="C629" s="132"/>
      <c r="D629" s="127"/>
      <c r="E629" s="127"/>
      <c r="F629" s="127"/>
      <c r="G629" s="127"/>
      <c r="H629" s="130"/>
      <c r="I629" s="130"/>
      <c r="J629" s="130">
        <f t="shared" si="1"/>
        <v>0</v>
      </c>
      <c r="K629" s="130"/>
      <c r="L629" s="130"/>
      <c r="M629" s="130">
        <f t="shared" si="2"/>
        <v>0</v>
      </c>
      <c r="N629" s="130"/>
      <c r="O629" s="130"/>
      <c r="P629" s="127"/>
      <c r="Q629" s="127"/>
      <c r="R629" s="127"/>
      <c r="S629" s="127"/>
      <c r="T629" s="127" t="str">
        <f>IF(A629="","",VLOOKUP(A629,'BASE OS'!$A$2:$I1000,4,FALSE))</f>
        <v/>
      </c>
      <c r="U629" s="127"/>
      <c r="V629" s="127"/>
      <c r="W629" s="127" t="str">
        <f t="shared" si="3"/>
        <v/>
      </c>
      <c r="X629" s="127" t="str">
        <f t="shared" si="4"/>
        <v/>
      </c>
      <c r="Y629" s="127" t="str">
        <f t="shared" si="5"/>
        <v/>
      </c>
    </row>
    <row r="630">
      <c r="A630" s="127"/>
      <c r="B630" s="127" t="str">
        <f>IF(A630="","",VLOOKUP(A630,'BASE OS'!$A$2:$I1000,2,FALSE))</f>
        <v/>
      </c>
      <c r="C630" s="132"/>
      <c r="D630" s="127"/>
      <c r="E630" s="127"/>
      <c r="F630" s="127"/>
      <c r="G630" s="127"/>
      <c r="H630" s="130"/>
      <c r="I630" s="130"/>
      <c r="J630" s="130">
        <f t="shared" si="1"/>
        <v>0</v>
      </c>
      <c r="K630" s="130"/>
      <c r="L630" s="130"/>
      <c r="M630" s="130">
        <f t="shared" si="2"/>
        <v>0</v>
      </c>
      <c r="N630" s="130"/>
      <c r="O630" s="130"/>
      <c r="P630" s="127"/>
      <c r="Q630" s="127"/>
      <c r="R630" s="127"/>
      <c r="S630" s="127"/>
      <c r="T630" s="127" t="str">
        <f>IF(A630="","",VLOOKUP(A630,'BASE OS'!$A$2:$I1000,4,FALSE))</f>
        <v/>
      </c>
      <c r="U630" s="127"/>
      <c r="V630" s="127"/>
      <c r="W630" s="127" t="str">
        <f t="shared" si="3"/>
        <v/>
      </c>
      <c r="X630" s="127" t="str">
        <f t="shared" si="4"/>
        <v/>
      </c>
      <c r="Y630" s="127" t="str">
        <f t="shared" si="5"/>
        <v/>
      </c>
    </row>
    <row r="631">
      <c r="A631" s="127"/>
      <c r="B631" s="127" t="str">
        <f>IF(A631="","",VLOOKUP(A631,'BASE OS'!$A$2:$I1000,2,FALSE))</f>
        <v/>
      </c>
      <c r="C631" s="132"/>
      <c r="D631" s="127"/>
      <c r="E631" s="127"/>
      <c r="F631" s="127"/>
      <c r="G631" s="127"/>
      <c r="H631" s="130"/>
      <c r="I631" s="130"/>
      <c r="J631" s="130">
        <f t="shared" si="1"/>
        <v>0</v>
      </c>
      <c r="K631" s="130"/>
      <c r="L631" s="130"/>
      <c r="M631" s="130">
        <f t="shared" si="2"/>
        <v>0</v>
      </c>
      <c r="N631" s="130"/>
      <c r="O631" s="130"/>
      <c r="P631" s="127"/>
      <c r="Q631" s="127"/>
      <c r="R631" s="127"/>
      <c r="S631" s="127"/>
      <c r="T631" s="127" t="str">
        <f>IF(A631="","",VLOOKUP(A631,'BASE OS'!$A$2:$I1000,4,FALSE))</f>
        <v/>
      </c>
      <c r="U631" s="127"/>
      <c r="V631" s="127"/>
      <c r="W631" s="127" t="str">
        <f t="shared" si="3"/>
        <v/>
      </c>
      <c r="X631" s="127" t="str">
        <f t="shared" si="4"/>
        <v/>
      </c>
      <c r="Y631" s="127" t="str">
        <f t="shared" si="5"/>
        <v/>
      </c>
    </row>
    <row r="632">
      <c r="A632" s="127"/>
      <c r="B632" s="127" t="str">
        <f>IF(A632="","",VLOOKUP(A632,'BASE OS'!$A$2:$I1000,2,FALSE))</f>
        <v/>
      </c>
      <c r="C632" s="132"/>
      <c r="D632" s="127"/>
      <c r="E632" s="127"/>
      <c r="F632" s="127"/>
      <c r="G632" s="127"/>
      <c r="H632" s="130"/>
      <c r="I632" s="130"/>
      <c r="J632" s="130">
        <f t="shared" si="1"/>
        <v>0</v>
      </c>
      <c r="K632" s="130"/>
      <c r="L632" s="130"/>
      <c r="M632" s="130">
        <f t="shared" si="2"/>
        <v>0</v>
      </c>
      <c r="N632" s="130"/>
      <c r="O632" s="130"/>
      <c r="P632" s="127"/>
      <c r="Q632" s="127"/>
      <c r="R632" s="127"/>
      <c r="S632" s="127"/>
      <c r="T632" s="127" t="str">
        <f>IF(A632="","",VLOOKUP(A632,'BASE OS'!$A$2:$I1000,4,FALSE))</f>
        <v/>
      </c>
      <c r="U632" s="127"/>
      <c r="V632" s="127"/>
      <c r="W632" s="127" t="str">
        <f t="shared" si="3"/>
        <v/>
      </c>
      <c r="X632" s="127" t="str">
        <f t="shared" si="4"/>
        <v/>
      </c>
      <c r="Y632" s="127" t="str">
        <f t="shared" si="5"/>
        <v/>
      </c>
    </row>
    <row r="633">
      <c r="A633" s="127"/>
      <c r="B633" s="127" t="str">
        <f>IF(A633="","",VLOOKUP(A633,'BASE OS'!$A$2:$I1000,2,FALSE))</f>
        <v/>
      </c>
      <c r="C633" s="132"/>
      <c r="D633" s="127"/>
      <c r="E633" s="127"/>
      <c r="F633" s="127"/>
      <c r="G633" s="127"/>
      <c r="H633" s="130"/>
      <c r="I633" s="130"/>
      <c r="J633" s="130">
        <f t="shared" si="1"/>
        <v>0</v>
      </c>
      <c r="K633" s="130"/>
      <c r="L633" s="130"/>
      <c r="M633" s="130">
        <f t="shared" si="2"/>
        <v>0</v>
      </c>
      <c r="N633" s="130"/>
      <c r="O633" s="130"/>
      <c r="P633" s="127"/>
      <c r="Q633" s="127"/>
      <c r="R633" s="127"/>
      <c r="S633" s="127"/>
      <c r="T633" s="127" t="str">
        <f>IF(A633="","",VLOOKUP(A633,'BASE OS'!$A$2:$I1000,4,FALSE))</f>
        <v/>
      </c>
      <c r="U633" s="127"/>
      <c r="V633" s="127"/>
      <c r="W633" s="127" t="str">
        <f t="shared" si="3"/>
        <v/>
      </c>
      <c r="X633" s="127" t="str">
        <f t="shared" si="4"/>
        <v/>
      </c>
      <c r="Y633" s="127" t="str">
        <f t="shared" si="5"/>
        <v/>
      </c>
    </row>
    <row r="634">
      <c r="A634" s="127"/>
      <c r="B634" s="127" t="str">
        <f>IF(A634="","",VLOOKUP(A634,'BASE OS'!$A$2:$I1000,2,FALSE))</f>
        <v/>
      </c>
      <c r="C634" s="132"/>
      <c r="D634" s="127"/>
      <c r="E634" s="127"/>
      <c r="F634" s="127"/>
      <c r="G634" s="127"/>
      <c r="H634" s="130"/>
      <c r="I634" s="130"/>
      <c r="J634" s="130">
        <f t="shared" si="1"/>
        <v>0</v>
      </c>
      <c r="K634" s="130"/>
      <c r="L634" s="130"/>
      <c r="M634" s="130">
        <f t="shared" si="2"/>
        <v>0</v>
      </c>
      <c r="N634" s="130"/>
      <c r="O634" s="130"/>
      <c r="P634" s="127"/>
      <c r="Q634" s="127"/>
      <c r="R634" s="127"/>
      <c r="S634" s="127"/>
      <c r="T634" s="127" t="str">
        <f>IF(A634="","",VLOOKUP(A634,'BASE OS'!$A$2:$I1000,4,FALSE))</f>
        <v/>
      </c>
      <c r="U634" s="127"/>
      <c r="V634" s="127"/>
      <c r="W634" s="127" t="str">
        <f t="shared" si="3"/>
        <v/>
      </c>
      <c r="X634" s="127" t="str">
        <f t="shared" si="4"/>
        <v/>
      </c>
      <c r="Y634" s="127" t="str">
        <f t="shared" si="5"/>
        <v/>
      </c>
    </row>
    <row r="635">
      <c r="A635" s="127"/>
      <c r="B635" s="127" t="str">
        <f>IF(A635="","",VLOOKUP(A635,'BASE OS'!$A$2:$I1000,2,FALSE))</f>
        <v/>
      </c>
      <c r="C635" s="132"/>
      <c r="D635" s="127"/>
      <c r="E635" s="127"/>
      <c r="F635" s="127"/>
      <c r="G635" s="127"/>
      <c r="H635" s="130"/>
      <c r="I635" s="130"/>
      <c r="J635" s="130">
        <f t="shared" si="1"/>
        <v>0</v>
      </c>
      <c r="K635" s="130"/>
      <c r="L635" s="130"/>
      <c r="M635" s="130">
        <f t="shared" si="2"/>
        <v>0</v>
      </c>
      <c r="N635" s="130"/>
      <c r="O635" s="130"/>
      <c r="P635" s="127"/>
      <c r="Q635" s="127"/>
      <c r="R635" s="127"/>
      <c r="S635" s="127"/>
      <c r="T635" s="127" t="str">
        <f>IF(A635="","",VLOOKUP(A635,'BASE OS'!$A$2:$I1000,4,FALSE))</f>
        <v/>
      </c>
      <c r="U635" s="127"/>
      <c r="V635" s="127"/>
      <c r="W635" s="127" t="str">
        <f t="shared" si="3"/>
        <v/>
      </c>
      <c r="X635" s="127" t="str">
        <f t="shared" si="4"/>
        <v/>
      </c>
      <c r="Y635" s="127" t="str">
        <f t="shared" si="5"/>
        <v/>
      </c>
    </row>
    <row r="636">
      <c r="A636" s="127"/>
      <c r="B636" s="127" t="str">
        <f>IF(A636="","",VLOOKUP(A636,'BASE OS'!$A$2:$I1000,2,FALSE))</f>
        <v/>
      </c>
      <c r="C636" s="132"/>
      <c r="D636" s="127"/>
      <c r="E636" s="127"/>
      <c r="F636" s="127"/>
      <c r="G636" s="127"/>
      <c r="H636" s="130"/>
      <c r="I636" s="130"/>
      <c r="J636" s="130">
        <f t="shared" si="1"/>
        <v>0</v>
      </c>
      <c r="K636" s="130"/>
      <c r="L636" s="130"/>
      <c r="M636" s="130">
        <f t="shared" si="2"/>
        <v>0</v>
      </c>
      <c r="N636" s="130"/>
      <c r="O636" s="130"/>
      <c r="P636" s="127"/>
      <c r="Q636" s="127"/>
      <c r="R636" s="127"/>
      <c r="S636" s="127"/>
      <c r="T636" s="127" t="str">
        <f>IF(A636="","",VLOOKUP(A636,'BASE OS'!$A$2:$I1000,4,FALSE))</f>
        <v/>
      </c>
      <c r="U636" s="127"/>
      <c r="V636" s="127"/>
      <c r="W636" s="127" t="str">
        <f t="shared" si="3"/>
        <v/>
      </c>
      <c r="X636" s="127" t="str">
        <f t="shared" si="4"/>
        <v/>
      </c>
      <c r="Y636" s="127" t="str">
        <f t="shared" si="5"/>
        <v/>
      </c>
    </row>
    <row r="637">
      <c r="A637" s="127"/>
      <c r="B637" s="127" t="str">
        <f>IF(A637="","",VLOOKUP(A637,'BASE OS'!$A$2:$I1000,2,FALSE))</f>
        <v/>
      </c>
      <c r="C637" s="132"/>
      <c r="D637" s="127"/>
      <c r="E637" s="127"/>
      <c r="F637" s="127"/>
      <c r="G637" s="127"/>
      <c r="H637" s="130"/>
      <c r="I637" s="130"/>
      <c r="J637" s="130">
        <f t="shared" si="1"/>
        <v>0</v>
      </c>
      <c r="K637" s="130"/>
      <c r="L637" s="130"/>
      <c r="M637" s="130">
        <f t="shared" si="2"/>
        <v>0</v>
      </c>
      <c r="N637" s="130"/>
      <c r="O637" s="130"/>
      <c r="P637" s="127"/>
      <c r="Q637" s="127"/>
      <c r="R637" s="127"/>
      <c r="S637" s="127"/>
      <c r="T637" s="127" t="str">
        <f>IF(A637="","",VLOOKUP(A637,'BASE OS'!$A$2:$I1000,4,FALSE))</f>
        <v/>
      </c>
      <c r="U637" s="127"/>
      <c r="V637" s="127"/>
      <c r="W637" s="127" t="str">
        <f t="shared" si="3"/>
        <v/>
      </c>
      <c r="X637" s="127" t="str">
        <f t="shared" si="4"/>
        <v/>
      </c>
      <c r="Y637" s="127" t="str">
        <f t="shared" si="5"/>
        <v/>
      </c>
    </row>
    <row r="638">
      <c r="A638" s="127"/>
      <c r="B638" s="127" t="str">
        <f>IF(A638="","",VLOOKUP(A638,'BASE OS'!$A$2:$I1000,2,FALSE))</f>
        <v/>
      </c>
      <c r="C638" s="132"/>
      <c r="D638" s="127"/>
      <c r="E638" s="127"/>
      <c r="F638" s="127"/>
      <c r="G638" s="127"/>
      <c r="H638" s="130"/>
      <c r="I638" s="130"/>
      <c r="J638" s="130">
        <f t="shared" si="1"/>
        <v>0</v>
      </c>
      <c r="K638" s="130"/>
      <c r="L638" s="130"/>
      <c r="M638" s="130">
        <f t="shared" si="2"/>
        <v>0</v>
      </c>
      <c r="N638" s="130"/>
      <c r="O638" s="130"/>
      <c r="P638" s="127"/>
      <c r="Q638" s="127"/>
      <c r="R638" s="127"/>
      <c r="S638" s="127"/>
      <c r="T638" s="127" t="str">
        <f>IF(A638="","",VLOOKUP(A638,'BASE OS'!$A$2:$I1000,4,FALSE))</f>
        <v/>
      </c>
      <c r="U638" s="127"/>
      <c r="V638" s="127"/>
      <c r="W638" s="127" t="str">
        <f t="shared" si="3"/>
        <v/>
      </c>
      <c r="X638" s="127" t="str">
        <f t="shared" si="4"/>
        <v/>
      </c>
      <c r="Y638" s="127" t="str">
        <f t="shared" si="5"/>
        <v/>
      </c>
    </row>
    <row r="639">
      <c r="A639" s="127"/>
      <c r="B639" s="127" t="str">
        <f>IF(A639="","",VLOOKUP(A639,'BASE OS'!$A$2:$I1000,2,FALSE))</f>
        <v/>
      </c>
      <c r="C639" s="132"/>
      <c r="D639" s="127"/>
      <c r="E639" s="127"/>
      <c r="F639" s="127"/>
      <c r="G639" s="127"/>
      <c r="H639" s="130"/>
      <c r="I639" s="130"/>
      <c r="J639" s="130">
        <f t="shared" si="1"/>
        <v>0</v>
      </c>
      <c r="K639" s="130"/>
      <c r="L639" s="130"/>
      <c r="M639" s="130">
        <f t="shared" si="2"/>
        <v>0</v>
      </c>
      <c r="N639" s="130"/>
      <c r="O639" s="130"/>
      <c r="P639" s="127"/>
      <c r="Q639" s="127"/>
      <c r="R639" s="127"/>
      <c r="S639" s="127"/>
      <c r="T639" s="127" t="str">
        <f>IF(A639="","",VLOOKUP(A639,'BASE OS'!$A$2:$I1000,4,FALSE))</f>
        <v/>
      </c>
      <c r="U639" s="127"/>
      <c r="V639" s="127"/>
      <c r="W639" s="127" t="str">
        <f t="shared" si="3"/>
        <v/>
      </c>
      <c r="X639" s="127" t="str">
        <f t="shared" si="4"/>
        <v/>
      </c>
      <c r="Y639" s="127" t="str">
        <f t="shared" si="5"/>
        <v/>
      </c>
    </row>
    <row r="640">
      <c r="A640" s="127"/>
      <c r="B640" s="127" t="str">
        <f>IF(A640="","",VLOOKUP(A640,'BASE OS'!$A$2:$I1000,2,FALSE))</f>
        <v/>
      </c>
      <c r="C640" s="132"/>
      <c r="D640" s="127"/>
      <c r="E640" s="127"/>
      <c r="F640" s="127"/>
      <c r="G640" s="127"/>
      <c r="H640" s="130"/>
      <c r="I640" s="130"/>
      <c r="J640" s="130">
        <f t="shared" si="1"/>
        <v>0</v>
      </c>
      <c r="K640" s="130"/>
      <c r="L640" s="130"/>
      <c r="M640" s="130">
        <f t="shared" si="2"/>
        <v>0</v>
      </c>
      <c r="N640" s="130"/>
      <c r="O640" s="130"/>
      <c r="P640" s="127"/>
      <c r="Q640" s="127"/>
      <c r="R640" s="127"/>
      <c r="S640" s="127"/>
      <c r="T640" s="127" t="str">
        <f>IF(A640="","",VLOOKUP(A640,'BASE OS'!$A$2:$I1000,4,FALSE))</f>
        <v/>
      </c>
      <c r="U640" s="127"/>
      <c r="V640" s="127"/>
      <c r="W640" s="127" t="str">
        <f t="shared" si="3"/>
        <v/>
      </c>
      <c r="X640" s="127" t="str">
        <f t="shared" si="4"/>
        <v/>
      </c>
      <c r="Y640" s="127" t="str">
        <f t="shared" si="5"/>
        <v/>
      </c>
    </row>
    <row r="641">
      <c r="A641" s="127"/>
      <c r="B641" s="127" t="str">
        <f>IF(A641="","",VLOOKUP(A641,'BASE OS'!$A$2:$I1000,2,FALSE))</f>
        <v/>
      </c>
      <c r="C641" s="132"/>
      <c r="D641" s="127"/>
      <c r="E641" s="127"/>
      <c r="F641" s="127"/>
      <c r="G641" s="127"/>
      <c r="H641" s="130"/>
      <c r="I641" s="130"/>
      <c r="J641" s="130">
        <f t="shared" si="1"/>
        <v>0</v>
      </c>
      <c r="K641" s="130"/>
      <c r="L641" s="130"/>
      <c r="M641" s="130">
        <f t="shared" si="2"/>
        <v>0</v>
      </c>
      <c r="N641" s="130"/>
      <c r="O641" s="130"/>
      <c r="P641" s="127"/>
      <c r="Q641" s="127"/>
      <c r="R641" s="127"/>
      <c r="S641" s="127"/>
      <c r="T641" s="127" t="str">
        <f>IF(A641="","",VLOOKUP(A641,'BASE OS'!$A$2:$I1000,4,FALSE))</f>
        <v/>
      </c>
      <c r="U641" s="127"/>
      <c r="V641" s="127"/>
      <c r="W641" s="127" t="str">
        <f t="shared" si="3"/>
        <v/>
      </c>
      <c r="X641" s="127" t="str">
        <f t="shared" si="4"/>
        <v/>
      </c>
      <c r="Y641" s="127" t="str">
        <f t="shared" si="5"/>
        <v/>
      </c>
    </row>
    <row r="642">
      <c r="A642" s="127"/>
      <c r="B642" s="127" t="str">
        <f>IF(A642="","",VLOOKUP(A642,'BASE OS'!$A$2:$I1000,2,FALSE))</f>
        <v/>
      </c>
      <c r="C642" s="132"/>
      <c r="D642" s="127"/>
      <c r="E642" s="127"/>
      <c r="F642" s="127"/>
      <c r="G642" s="127"/>
      <c r="H642" s="130"/>
      <c r="I642" s="130"/>
      <c r="J642" s="130">
        <f t="shared" si="1"/>
        <v>0</v>
      </c>
      <c r="K642" s="130"/>
      <c r="L642" s="130"/>
      <c r="M642" s="130">
        <f t="shared" si="2"/>
        <v>0</v>
      </c>
      <c r="N642" s="130"/>
      <c r="O642" s="130"/>
      <c r="P642" s="127"/>
      <c r="Q642" s="127"/>
      <c r="R642" s="127"/>
      <c r="S642" s="127"/>
      <c r="T642" s="127" t="str">
        <f>IF(A642="","",VLOOKUP(A642,'BASE OS'!$A$2:$I1000,4,FALSE))</f>
        <v/>
      </c>
      <c r="U642" s="127"/>
      <c r="V642" s="127"/>
      <c r="W642" s="127" t="str">
        <f t="shared" si="3"/>
        <v/>
      </c>
      <c r="X642" s="127" t="str">
        <f t="shared" si="4"/>
        <v/>
      </c>
      <c r="Y642" s="127" t="str">
        <f t="shared" si="5"/>
        <v/>
      </c>
    </row>
    <row r="643">
      <c r="A643" s="127"/>
      <c r="B643" s="127" t="str">
        <f>IF(A643="","",VLOOKUP(A643,'BASE OS'!$A$2:$I1000,2,FALSE))</f>
        <v/>
      </c>
      <c r="C643" s="132"/>
      <c r="D643" s="127"/>
      <c r="E643" s="127"/>
      <c r="F643" s="127"/>
      <c r="G643" s="127"/>
      <c r="H643" s="130"/>
      <c r="I643" s="130"/>
      <c r="J643" s="130">
        <f t="shared" si="1"/>
        <v>0</v>
      </c>
      <c r="K643" s="130"/>
      <c r="L643" s="130"/>
      <c r="M643" s="130">
        <f t="shared" si="2"/>
        <v>0</v>
      </c>
      <c r="N643" s="130"/>
      <c r="O643" s="130"/>
      <c r="P643" s="127"/>
      <c r="Q643" s="127"/>
      <c r="R643" s="127"/>
      <c r="S643" s="127"/>
      <c r="T643" s="127" t="str">
        <f>IF(A643="","",VLOOKUP(A643,'BASE OS'!$A$2:$I1000,4,FALSE))</f>
        <v/>
      </c>
      <c r="U643" s="127"/>
      <c r="V643" s="127"/>
      <c r="W643" s="127" t="str">
        <f t="shared" si="3"/>
        <v/>
      </c>
      <c r="X643" s="127" t="str">
        <f t="shared" si="4"/>
        <v/>
      </c>
      <c r="Y643" s="127" t="str">
        <f t="shared" si="5"/>
        <v/>
      </c>
    </row>
    <row r="644">
      <c r="A644" s="127"/>
      <c r="B644" s="127" t="str">
        <f>IF(A644="","",VLOOKUP(A644,'BASE OS'!$A$2:$I1000,2,FALSE))</f>
        <v/>
      </c>
      <c r="C644" s="132"/>
      <c r="D644" s="127"/>
      <c r="E644" s="127"/>
      <c r="F644" s="127"/>
      <c r="G644" s="127"/>
      <c r="H644" s="130"/>
      <c r="I644" s="130"/>
      <c r="J644" s="130">
        <f t="shared" si="1"/>
        <v>0</v>
      </c>
      <c r="K644" s="130"/>
      <c r="L644" s="130"/>
      <c r="M644" s="130">
        <f t="shared" si="2"/>
        <v>0</v>
      </c>
      <c r="N644" s="130"/>
      <c r="O644" s="130"/>
      <c r="P644" s="127"/>
      <c r="Q644" s="127"/>
      <c r="R644" s="127"/>
      <c r="S644" s="127"/>
      <c r="T644" s="127" t="str">
        <f>IF(A644="","",VLOOKUP(A644,'BASE OS'!$A$2:$I1000,4,FALSE))</f>
        <v/>
      </c>
      <c r="U644" s="127"/>
      <c r="V644" s="127"/>
      <c r="W644" s="127" t="str">
        <f t="shared" si="3"/>
        <v/>
      </c>
      <c r="X644" s="127" t="str">
        <f t="shared" si="4"/>
        <v/>
      </c>
      <c r="Y644" s="127" t="str">
        <f t="shared" si="5"/>
        <v/>
      </c>
    </row>
    <row r="645">
      <c r="A645" s="127"/>
      <c r="B645" s="127" t="str">
        <f>IF(A645="","",VLOOKUP(A645,'BASE OS'!$A$2:$I1000,2,FALSE))</f>
        <v/>
      </c>
      <c r="C645" s="132"/>
      <c r="D645" s="127"/>
      <c r="E645" s="127"/>
      <c r="F645" s="127"/>
      <c r="G645" s="127"/>
      <c r="H645" s="130"/>
      <c r="I645" s="130"/>
      <c r="J645" s="130">
        <f t="shared" si="1"/>
        <v>0</v>
      </c>
      <c r="K645" s="130"/>
      <c r="L645" s="130"/>
      <c r="M645" s="130">
        <f t="shared" si="2"/>
        <v>0</v>
      </c>
      <c r="N645" s="130"/>
      <c r="O645" s="130"/>
      <c r="P645" s="127"/>
      <c r="Q645" s="127"/>
      <c r="R645" s="127"/>
      <c r="S645" s="127"/>
      <c r="T645" s="127" t="str">
        <f>IF(A645="","",VLOOKUP(A645,'BASE OS'!$A$2:$I1000,4,FALSE))</f>
        <v/>
      </c>
      <c r="U645" s="127"/>
      <c r="V645" s="127"/>
      <c r="W645" s="127" t="str">
        <f t="shared" si="3"/>
        <v/>
      </c>
      <c r="X645" s="127" t="str">
        <f t="shared" si="4"/>
        <v/>
      </c>
      <c r="Y645" s="127" t="str">
        <f t="shared" si="5"/>
        <v/>
      </c>
    </row>
    <row r="646">
      <c r="A646" s="127"/>
      <c r="B646" s="127" t="str">
        <f>IF(A646="","",VLOOKUP(A646,'BASE OS'!$A$2:$I1000,2,FALSE))</f>
        <v/>
      </c>
      <c r="C646" s="132"/>
      <c r="D646" s="127"/>
      <c r="E646" s="127"/>
      <c r="F646" s="127"/>
      <c r="G646" s="127"/>
      <c r="H646" s="130"/>
      <c r="I646" s="130"/>
      <c r="J646" s="130">
        <f t="shared" si="1"/>
        <v>0</v>
      </c>
      <c r="K646" s="130"/>
      <c r="L646" s="130"/>
      <c r="M646" s="130">
        <f t="shared" si="2"/>
        <v>0</v>
      </c>
      <c r="N646" s="130"/>
      <c r="O646" s="130"/>
      <c r="P646" s="127"/>
      <c r="Q646" s="127"/>
      <c r="R646" s="127"/>
      <c r="S646" s="127"/>
      <c r="T646" s="127" t="str">
        <f>IF(A646="","",VLOOKUP(A646,'BASE OS'!$A$2:$I1000,4,FALSE))</f>
        <v/>
      </c>
      <c r="U646" s="127"/>
      <c r="V646" s="127"/>
      <c r="W646" s="127" t="str">
        <f t="shared" si="3"/>
        <v/>
      </c>
      <c r="X646" s="127" t="str">
        <f t="shared" si="4"/>
        <v/>
      </c>
      <c r="Y646" s="127" t="str">
        <f t="shared" si="5"/>
        <v/>
      </c>
    </row>
    <row r="647">
      <c r="A647" s="127"/>
      <c r="B647" s="127" t="str">
        <f>IF(A647="","",VLOOKUP(A647,'BASE OS'!$A$2:$I1000,2,FALSE))</f>
        <v/>
      </c>
      <c r="C647" s="132"/>
      <c r="D647" s="127"/>
      <c r="E647" s="127"/>
      <c r="F647" s="127"/>
      <c r="G647" s="127"/>
      <c r="H647" s="130"/>
      <c r="I647" s="130"/>
      <c r="J647" s="130">
        <f t="shared" si="1"/>
        <v>0</v>
      </c>
      <c r="K647" s="130"/>
      <c r="L647" s="130"/>
      <c r="M647" s="130">
        <f t="shared" si="2"/>
        <v>0</v>
      </c>
      <c r="N647" s="130"/>
      <c r="O647" s="130"/>
      <c r="P647" s="127"/>
      <c r="Q647" s="127"/>
      <c r="R647" s="127"/>
      <c r="S647" s="127"/>
      <c r="T647" s="127" t="str">
        <f>IF(A647="","",VLOOKUP(A647,'BASE OS'!$A$2:$I1000,4,FALSE))</f>
        <v/>
      </c>
      <c r="U647" s="127"/>
      <c r="V647" s="127"/>
      <c r="W647" s="127" t="str">
        <f t="shared" si="3"/>
        <v/>
      </c>
      <c r="X647" s="127" t="str">
        <f t="shared" si="4"/>
        <v/>
      </c>
      <c r="Y647" s="127" t="str">
        <f t="shared" si="5"/>
        <v/>
      </c>
    </row>
    <row r="648">
      <c r="A648" s="127"/>
      <c r="B648" s="127" t="str">
        <f>IF(A648="","",VLOOKUP(A648,'BASE OS'!$A$2:$I1000,2,FALSE))</f>
        <v/>
      </c>
      <c r="C648" s="132"/>
      <c r="D648" s="127"/>
      <c r="E648" s="127"/>
      <c r="F648" s="127"/>
      <c r="G648" s="127"/>
      <c r="H648" s="130"/>
      <c r="I648" s="130"/>
      <c r="J648" s="130">
        <f t="shared" si="1"/>
        <v>0</v>
      </c>
      <c r="K648" s="130"/>
      <c r="L648" s="130"/>
      <c r="M648" s="130">
        <f t="shared" si="2"/>
        <v>0</v>
      </c>
      <c r="N648" s="130"/>
      <c r="O648" s="130"/>
      <c r="P648" s="127"/>
      <c r="Q648" s="127"/>
      <c r="R648" s="127"/>
      <c r="S648" s="127"/>
      <c r="T648" s="127" t="str">
        <f>IF(A648="","",VLOOKUP(A648,'BASE OS'!$A$2:$I1000,4,FALSE))</f>
        <v/>
      </c>
      <c r="U648" s="127"/>
      <c r="V648" s="127"/>
      <c r="W648" s="127" t="str">
        <f t="shared" si="3"/>
        <v/>
      </c>
      <c r="X648" s="127" t="str">
        <f t="shared" si="4"/>
        <v/>
      </c>
      <c r="Y648" s="127" t="str">
        <f t="shared" si="5"/>
        <v/>
      </c>
    </row>
    <row r="649">
      <c r="A649" s="127"/>
      <c r="B649" s="127" t="str">
        <f>IF(A649="","",VLOOKUP(A649,'BASE OS'!$A$2:$I1000,2,FALSE))</f>
        <v/>
      </c>
      <c r="C649" s="132"/>
      <c r="D649" s="127"/>
      <c r="E649" s="127"/>
      <c r="F649" s="127"/>
      <c r="G649" s="127"/>
      <c r="H649" s="130"/>
      <c r="I649" s="130"/>
      <c r="J649" s="130">
        <f t="shared" si="1"/>
        <v>0</v>
      </c>
      <c r="K649" s="130"/>
      <c r="L649" s="130"/>
      <c r="M649" s="130">
        <f t="shared" si="2"/>
        <v>0</v>
      </c>
      <c r="N649" s="130"/>
      <c r="O649" s="130"/>
      <c r="P649" s="127"/>
      <c r="Q649" s="127"/>
      <c r="R649" s="127"/>
      <c r="S649" s="127"/>
      <c r="T649" s="127" t="str">
        <f>IF(A649="","",VLOOKUP(A649,'BASE OS'!$A$2:$I1000,4,FALSE))</f>
        <v/>
      </c>
      <c r="U649" s="127"/>
      <c r="V649" s="127"/>
      <c r="W649" s="127" t="str">
        <f t="shared" si="3"/>
        <v/>
      </c>
      <c r="X649" s="127" t="str">
        <f t="shared" si="4"/>
        <v/>
      </c>
      <c r="Y649" s="127" t="str">
        <f t="shared" si="5"/>
        <v/>
      </c>
    </row>
    <row r="650">
      <c r="A650" s="127"/>
      <c r="B650" s="127" t="str">
        <f>IF(A650="","",VLOOKUP(A650,'BASE OS'!$A$2:$I1000,2,FALSE))</f>
        <v/>
      </c>
      <c r="C650" s="132"/>
      <c r="D650" s="127"/>
      <c r="E650" s="127"/>
      <c r="F650" s="127"/>
      <c r="G650" s="127"/>
      <c r="H650" s="130"/>
      <c r="I650" s="130"/>
      <c r="J650" s="130">
        <f t="shared" si="1"/>
        <v>0</v>
      </c>
      <c r="K650" s="130"/>
      <c r="L650" s="130"/>
      <c r="M650" s="130">
        <f t="shared" si="2"/>
        <v>0</v>
      </c>
      <c r="N650" s="130"/>
      <c r="O650" s="130"/>
      <c r="P650" s="127"/>
      <c r="Q650" s="127"/>
      <c r="R650" s="127"/>
      <c r="S650" s="127"/>
      <c r="T650" s="127" t="str">
        <f>IF(A650="","",VLOOKUP(A650,'BASE OS'!$A$2:$I1000,4,FALSE))</f>
        <v/>
      </c>
      <c r="U650" s="127"/>
      <c r="V650" s="127"/>
      <c r="W650" s="127" t="str">
        <f t="shared" si="3"/>
        <v/>
      </c>
      <c r="X650" s="127" t="str">
        <f t="shared" si="4"/>
        <v/>
      </c>
      <c r="Y650" s="127" t="str">
        <f t="shared" si="5"/>
        <v/>
      </c>
    </row>
    <row r="651">
      <c r="A651" s="127"/>
      <c r="B651" s="127" t="str">
        <f>IF(A651="","",VLOOKUP(A651,'BASE OS'!$A$2:$I1000,2,FALSE))</f>
        <v/>
      </c>
      <c r="C651" s="132"/>
      <c r="D651" s="127"/>
      <c r="E651" s="127"/>
      <c r="F651" s="127"/>
      <c r="G651" s="127"/>
      <c r="H651" s="130"/>
      <c r="I651" s="130"/>
      <c r="J651" s="130">
        <f t="shared" si="1"/>
        <v>0</v>
      </c>
      <c r="K651" s="130"/>
      <c r="L651" s="130"/>
      <c r="M651" s="130">
        <f t="shared" si="2"/>
        <v>0</v>
      </c>
      <c r="N651" s="130"/>
      <c r="O651" s="130"/>
      <c r="P651" s="127"/>
      <c r="Q651" s="127"/>
      <c r="R651" s="127"/>
      <c r="S651" s="127"/>
      <c r="T651" s="127" t="str">
        <f>IF(A651="","",VLOOKUP(A651,'BASE OS'!$A$2:$I1000,4,FALSE))</f>
        <v/>
      </c>
      <c r="U651" s="127"/>
      <c r="V651" s="127"/>
      <c r="W651" s="127" t="str">
        <f t="shared" si="3"/>
        <v/>
      </c>
      <c r="X651" s="127" t="str">
        <f t="shared" si="4"/>
        <v/>
      </c>
      <c r="Y651" s="127" t="str">
        <f t="shared" si="5"/>
        <v/>
      </c>
    </row>
    <row r="652">
      <c r="A652" s="127"/>
      <c r="B652" s="127" t="str">
        <f>IF(A652="","",VLOOKUP(A652,'BASE OS'!$A$2:$I1000,2,FALSE))</f>
        <v/>
      </c>
      <c r="C652" s="132"/>
      <c r="D652" s="127"/>
      <c r="E652" s="127"/>
      <c r="F652" s="127"/>
      <c r="G652" s="127"/>
      <c r="H652" s="130"/>
      <c r="I652" s="130"/>
      <c r="J652" s="130">
        <f t="shared" si="1"/>
        <v>0</v>
      </c>
      <c r="K652" s="130"/>
      <c r="L652" s="130"/>
      <c r="M652" s="130">
        <f t="shared" si="2"/>
        <v>0</v>
      </c>
      <c r="N652" s="130"/>
      <c r="O652" s="130"/>
      <c r="P652" s="127"/>
      <c r="Q652" s="127"/>
      <c r="R652" s="127"/>
      <c r="S652" s="127"/>
      <c r="T652" s="127" t="str">
        <f>IF(A652="","",VLOOKUP(A652,'BASE OS'!$A$2:$I1000,4,FALSE))</f>
        <v/>
      </c>
      <c r="U652" s="127"/>
      <c r="V652" s="127"/>
      <c r="W652" s="127" t="str">
        <f t="shared" si="3"/>
        <v/>
      </c>
      <c r="X652" s="127" t="str">
        <f t="shared" si="4"/>
        <v/>
      </c>
      <c r="Y652" s="127" t="str">
        <f t="shared" si="5"/>
        <v/>
      </c>
    </row>
    <row r="653">
      <c r="A653" s="127"/>
      <c r="B653" s="127" t="str">
        <f>IF(A653="","",VLOOKUP(A653,'BASE OS'!$A$2:$I1000,2,FALSE))</f>
        <v/>
      </c>
      <c r="C653" s="132"/>
      <c r="D653" s="127"/>
      <c r="E653" s="127"/>
      <c r="F653" s="127"/>
      <c r="G653" s="127"/>
      <c r="H653" s="130"/>
      <c r="I653" s="130"/>
      <c r="J653" s="130">
        <f t="shared" si="1"/>
        <v>0</v>
      </c>
      <c r="K653" s="130"/>
      <c r="L653" s="130"/>
      <c r="M653" s="130">
        <f t="shared" si="2"/>
        <v>0</v>
      </c>
      <c r="N653" s="130"/>
      <c r="O653" s="130"/>
      <c r="P653" s="127"/>
      <c r="Q653" s="127"/>
      <c r="R653" s="127"/>
      <c r="S653" s="127"/>
      <c r="T653" s="127" t="str">
        <f>IF(A653="","",VLOOKUP(A653,'BASE OS'!$A$2:$I1000,4,FALSE))</f>
        <v/>
      </c>
      <c r="U653" s="127"/>
      <c r="V653" s="127"/>
      <c r="W653" s="127" t="str">
        <f t="shared" si="3"/>
        <v/>
      </c>
      <c r="X653" s="127" t="str">
        <f t="shared" si="4"/>
        <v/>
      </c>
      <c r="Y653" s="127" t="str">
        <f t="shared" si="5"/>
        <v/>
      </c>
    </row>
    <row r="654">
      <c r="A654" s="127"/>
      <c r="B654" s="127" t="str">
        <f>IF(A654="","",VLOOKUP(A654,'BASE OS'!$A$2:$I1000,2,FALSE))</f>
        <v/>
      </c>
      <c r="C654" s="132"/>
      <c r="D654" s="127"/>
      <c r="E654" s="127"/>
      <c r="F654" s="127"/>
      <c r="G654" s="127"/>
      <c r="H654" s="130"/>
      <c r="I654" s="130"/>
      <c r="J654" s="130">
        <f t="shared" si="1"/>
        <v>0</v>
      </c>
      <c r="K654" s="130"/>
      <c r="L654" s="130"/>
      <c r="M654" s="130">
        <f t="shared" si="2"/>
        <v>0</v>
      </c>
      <c r="N654" s="130"/>
      <c r="O654" s="130"/>
      <c r="P654" s="127"/>
      <c r="Q654" s="127"/>
      <c r="R654" s="127"/>
      <c r="S654" s="127"/>
      <c r="T654" s="127" t="str">
        <f>IF(A654="","",VLOOKUP(A654,'BASE OS'!$A$2:$I1000,4,FALSE))</f>
        <v/>
      </c>
      <c r="U654" s="127"/>
      <c r="V654" s="127"/>
      <c r="W654" s="127" t="str">
        <f t="shared" si="3"/>
        <v/>
      </c>
      <c r="X654" s="127" t="str">
        <f t="shared" si="4"/>
        <v/>
      </c>
      <c r="Y654" s="127" t="str">
        <f t="shared" si="5"/>
        <v/>
      </c>
    </row>
    <row r="655">
      <c r="A655" s="127"/>
      <c r="B655" s="127" t="str">
        <f>IF(A655="","",VLOOKUP(A655,'BASE OS'!$A$2:$I1000,2,FALSE))</f>
        <v/>
      </c>
      <c r="C655" s="132"/>
      <c r="D655" s="127"/>
      <c r="E655" s="127"/>
      <c r="F655" s="127"/>
      <c r="G655" s="127"/>
      <c r="H655" s="130"/>
      <c r="I655" s="130"/>
      <c r="J655" s="130">
        <f t="shared" si="1"/>
        <v>0</v>
      </c>
      <c r="K655" s="130"/>
      <c r="L655" s="130"/>
      <c r="M655" s="130">
        <f t="shared" si="2"/>
        <v>0</v>
      </c>
      <c r="N655" s="130"/>
      <c r="O655" s="130"/>
      <c r="P655" s="127"/>
      <c r="Q655" s="127"/>
      <c r="R655" s="127"/>
      <c r="S655" s="127"/>
      <c r="T655" s="127" t="str">
        <f>IF(A655="","",VLOOKUP(A655,'BASE OS'!$A$2:$I1000,4,FALSE))</f>
        <v/>
      </c>
      <c r="U655" s="127"/>
      <c r="V655" s="127"/>
      <c r="W655" s="127" t="str">
        <f t="shared" si="3"/>
        <v/>
      </c>
      <c r="X655" s="127" t="str">
        <f t="shared" si="4"/>
        <v/>
      </c>
      <c r="Y655" s="127" t="str">
        <f t="shared" si="5"/>
        <v/>
      </c>
    </row>
    <row r="656">
      <c r="A656" s="127"/>
      <c r="B656" s="127" t="str">
        <f>IF(A656="","",VLOOKUP(A656,'BASE OS'!$A$2:$I1000,2,FALSE))</f>
        <v/>
      </c>
      <c r="C656" s="132"/>
      <c r="D656" s="127"/>
      <c r="E656" s="127"/>
      <c r="F656" s="127"/>
      <c r="G656" s="127"/>
      <c r="H656" s="130"/>
      <c r="I656" s="130"/>
      <c r="J656" s="130">
        <f t="shared" si="1"/>
        <v>0</v>
      </c>
      <c r="K656" s="130"/>
      <c r="L656" s="130"/>
      <c r="M656" s="130">
        <f t="shared" si="2"/>
        <v>0</v>
      </c>
      <c r="N656" s="130"/>
      <c r="O656" s="130"/>
      <c r="P656" s="127"/>
      <c r="Q656" s="127"/>
      <c r="R656" s="127"/>
      <c r="S656" s="127"/>
      <c r="T656" s="127" t="str">
        <f>IF(A656="","",VLOOKUP(A656,'BASE OS'!$A$2:$I1000,4,FALSE))</f>
        <v/>
      </c>
      <c r="U656" s="127"/>
      <c r="V656" s="127"/>
      <c r="W656" s="127" t="str">
        <f t="shared" si="3"/>
        <v/>
      </c>
      <c r="X656" s="127" t="str">
        <f t="shared" si="4"/>
        <v/>
      </c>
      <c r="Y656" s="127" t="str">
        <f t="shared" si="5"/>
        <v/>
      </c>
    </row>
    <row r="657">
      <c r="A657" s="127"/>
      <c r="B657" s="127" t="str">
        <f>IF(A657="","",VLOOKUP(A657,'BASE OS'!$A$2:$I1000,2,FALSE))</f>
        <v/>
      </c>
      <c r="C657" s="132"/>
      <c r="D657" s="127"/>
      <c r="E657" s="127"/>
      <c r="F657" s="127"/>
      <c r="G657" s="127"/>
      <c r="H657" s="130"/>
      <c r="I657" s="130"/>
      <c r="J657" s="130">
        <f t="shared" si="1"/>
        <v>0</v>
      </c>
      <c r="K657" s="130"/>
      <c r="L657" s="130"/>
      <c r="M657" s="130">
        <f t="shared" si="2"/>
        <v>0</v>
      </c>
      <c r="N657" s="130"/>
      <c r="O657" s="130"/>
      <c r="P657" s="127"/>
      <c r="Q657" s="127"/>
      <c r="R657" s="127"/>
      <c r="S657" s="127"/>
      <c r="T657" s="127" t="str">
        <f>IF(A657="","",VLOOKUP(A657,'BASE OS'!$A$2:$I1000,4,FALSE))</f>
        <v/>
      </c>
      <c r="U657" s="127"/>
      <c r="V657" s="127"/>
      <c r="W657" s="127" t="str">
        <f t="shared" si="3"/>
        <v/>
      </c>
      <c r="X657" s="127" t="str">
        <f t="shared" si="4"/>
        <v/>
      </c>
      <c r="Y657" s="127" t="str">
        <f t="shared" si="5"/>
        <v/>
      </c>
    </row>
    <row r="658">
      <c r="A658" s="127"/>
      <c r="B658" s="127" t="str">
        <f>IF(A658="","",VLOOKUP(A658,'BASE OS'!$A$2:$I1000,2,FALSE))</f>
        <v/>
      </c>
      <c r="C658" s="132"/>
      <c r="D658" s="127"/>
      <c r="E658" s="127"/>
      <c r="F658" s="127"/>
      <c r="G658" s="127"/>
      <c r="H658" s="130"/>
      <c r="I658" s="130"/>
      <c r="J658" s="130">
        <f t="shared" si="1"/>
        <v>0</v>
      </c>
      <c r="K658" s="130"/>
      <c r="L658" s="130"/>
      <c r="M658" s="130">
        <f t="shared" si="2"/>
        <v>0</v>
      </c>
      <c r="N658" s="130"/>
      <c r="O658" s="130"/>
      <c r="P658" s="127"/>
      <c r="Q658" s="127"/>
      <c r="R658" s="127"/>
      <c r="S658" s="127"/>
      <c r="T658" s="127" t="str">
        <f>IF(A658="","",VLOOKUP(A658,'BASE OS'!$A$2:$I1000,4,FALSE))</f>
        <v/>
      </c>
      <c r="U658" s="127"/>
      <c r="V658" s="127"/>
      <c r="W658" s="127" t="str">
        <f t="shared" si="3"/>
        <v/>
      </c>
      <c r="X658" s="127" t="str">
        <f t="shared" si="4"/>
        <v/>
      </c>
      <c r="Y658" s="127" t="str">
        <f t="shared" si="5"/>
        <v/>
      </c>
    </row>
    <row r="659">
      <c r="A659" s="127"/>
      <c r="B659" s="127" t="str">
        <f>IF(A659="","",VLOOKUP(A659,'BASE OS'!$A$2:$I1000,2,FALSE))</f>
        <v/>
      </c>
      <c r="C659" s="132"/>
      <c r="D659" s="127"/>
      <c r="E659" s="127"/>
      <c r="F659" s="127"/>
      <c r="G659" s="127"/>
      <c r="H659" s="130"/>
      <c r="I659" s="130"/>
      <c r="J659" s="130">
        <f t="shared" si="1"/>
        <v>0</v>
      </c>
      <c r="K659" s="130"/>
      <c r="L659" s="130"/>
      <c r="M659" s="130">
        <f t="shared" si="2"/>
        <v>0</v>
      </c>
      <c r="N659" s="130"/>
      <c r="O659" s="130"/>
      <c r="P659" s="127"/>
      <c r="Q659" s="127"/>
      <c r="R659" s="127"/>
      <c r="S659" s="127"/>
      <c r="T659" s="127" t="str">
        <f>IF(A659="","",VLOOKUP(A659,'BASE OS'!$A$2:$I1000,4,FALSE))</f>
        <v/>
      </c>
      <c r="U659" s="127"/>
      <c r="V659" s="127"/>
      <c r="W659" s="127" t="str">
        <f t="shared" si="3"/>
        <v/>
      </c>
      <c r="X659" s="127" t="str">
        <f t="shared" si="4"/>
        <v/>
      </c>
      <c r="Y659" s="127" t="str">
        <f t="shared" si="5"/>
        <v/>
      </c>
    </row>
    <row r="660">
      <c r="A660" s="127"/>
      <c r="B660" s="127" t="str">
        <f>IF(A660="","",VLOOKUP(A660,'BASE OS'!$A$2:$I1000,2,FALSE))</f>
        <v/>
      </c>
      <c r="C660" s="132"/>
      <c r="D660" s="127"/>
      <c r="E660" s="127"/>
      <c r="F660" s="127"/>
      <c r="G660" s="127"/>
      <c r="H660" s="130"/>
      <c r="I660" s="130"/>
      <c r="J660" s="130">
        <f t="shared" si="1"/>
        <v>0</v>
      </c>
      <c r="K660" s="130"/>
      <c r="L660" s="130"/>
      <c r="M660" s="130">
        <f t="shared" si="2"/>
        <v>0</v>
      </c>
      <c r="N660" s="130"/>
      <c r="O660" s="130"/>
      <c r="P660" s="127"/>
      <c r="Q660" s="127"/>
      <c r="R660" s="127"/>
      <c r="S660" s="127"/>
      <c r="T660" s="127" t="str">
        <f>IF(A660="","",VLOOKUP(A660,'BASE OS'!$A$2:$I1000,4,FALSE))</f>
        <v/>
      </c>
      <c r="U660" s="127"/>
      <c r="V660" s="127"/>
      <c r="W660" s="127" t="str">
        <f t="shared" si="3"/>
        <v/>
      </c>
      <c r="X660" s="127" t="str">
        <f t="shared" si="4"/>
        <v/>
      </c>
      <c r="Y660" s="127" t="str">
        <f t="shared" si="5"/>
        <v/>
      </c>
    </row>
    <row r="661">
      <c r="A661" s="127"/>
      <c r="B661" s="127" t="str">
        <f>IF(A661="","",VLOOKUP(A661,'BASE OS'!$A$2:$I1000,2,FALSE))</f>
        <v/>
      </c>
      <c r="C661" s="132"/>
      <c r="D661" s="127"/>
      <c r="E661" s="127"/>
      <c r="F661" s="127"/>
      <c r="G661" s="127"/>
      <c r="H661" s="130"/>
      <c r="I661" s="130"/>
      <c r="J661" s="130">
        <f t="shared" si="1"/>
        <v>0</v>
      </c>
      <c r="K661" s="130"/>
      <c r="L661" s="130"/>
      <c r="M661" s="130">
        <f t="shared" si="2"/>
        <v>0</v>
      </c>
      <c r="N661" s="130"/>
      <c r="O661" s="130"/>
      <c r="P661" s="127"/>
      <c r="Q661" s="127"/>
      <c r="R661" s="127"/>
      <c r="S661" s="127"/>
      <c r="T661" s="127" t="str">
        <f>IF(A661="","",VLOOKUP(A661,'BASE OS'!$A$2:$I1000,4,FALSE))</f>
        <v/>
      </c>
      <c r="U661" s="127"/>
      <c r="V661" s="127"/>
      <c r="W661" s="127" t="str">
        <f t="shared" si="3"/>
        <v/>
      </c>
      <c r="X661" s="127" t="str">
        <f t="shared" si="4"/>
        <v/>
      </c>
      <c r="Y661" s="127" t="str">
        <f t="shared" si="5"/>
        <v/>
      </c>
    </row>
    <row r="662">
      <c r="A662" s="127"/>
      <c r="B662" s="127" t="str">
        <f>IF(A662="","",VLOOKUP(A662,'BASE OS'!$A$2:$I1000,2,FALSE))</f>
        <v/>
      </c>
      <c r="C662" s="132"/>
      <c r="D662" s="127"/>
      <c r="E662" s="127"/>
      <c r="F662" s="127"/>
      <c r="G662" s="127"/>
      <c r="H662" s="130"/>
      <c r="I662" s="130"/>
      <c r="J662" s="130">
        <f t="shared" si="1"/>
        <v>0</v>
      </c>
      <c r="K662" s="130"/>
      <c r="L662" s="130"/>
      <c r="M662" s="130">
        <f t="shared" si="2"/>
        <v>0</v>
      </c>
      <c r="N662" s="130"/>
      <c r="O662" s="130"/>
      <c r="P662" s="127"/>
      <c r="Q662" s="127"/>
      <c r="R662" s="127"/>
      <c r="S662" s="127"/>
      <c r="T662" s="127" t="str">
        <f>IF(A662="","",VLOOKUP(A662,'BASE OS'!$A$2:$I1000,4,FALSE))</f>
        <v/>
      </c>
      <c r="U662" s="127"/>
      <c r="V662" s="127"/>
      <c r="W662" s="127" t="str">
        <f t="shared" si="3"/>
        <v/>
      </c>
      <c r="X662" s="127" t="str">
        <f t="shared" si="4"/>
        <v/>
      </c>
      <c r="Y662" s="127" t="str">
        <f t="shared" si="5"/>
        <v/>
      </c>
    </row>
    <row r="663">
      <c r="A663" s="127"/>
      <c r="B663" s="127" t="str">
        <f>IF(A663="","",VLOOKUP(A663,'BASE OS'!$A$2:$I1000,2,FALSE))</f>
        <v/>
      </c>
      <c r="C663" s="132"/>
      <c r="D663" s="127"/>
      <c r="E663" s="127"/>
      <c r="F663" s="127"/>
      <c r="G663" s="127"/>
      <c r="H663" s="130"/>
      <c r="I663" s="130"/>
      <c r="J663" s="130">
        <f t="shared" si="1"/>
        <v>0</v>
      </c>
      <c r="K663" s="130"/>
      <c r="L663" s="130"/>
      <c r="M663" s="130">
        <f t="shared" si="2"/>
        <v>0</v>
      </c>
      <c r="N663" s="130"/>
      <c r="O663" s="130"/>
      <c r="P663" s="127"/>
      <c r="Q663" s="127"/>
      <c r="R663" s="127"/>
      <c r="S663" s="127"/>
      <c r="T663" s="127" t="str">
        <f>IF(A663="","",VLOOKUP(A663,'BASE OS'!$A$2:$I1000,4,FALSE))</f>
        <v/>
      </c>
      <c r="U663" s="127"/>
      <c r="V663" s="127"/>
      <c r="W663" s="127" t="str">
        <f t="shared" si="3"/>
        <v/>
      </c>
      <c r="X663" s="127" t="str">
        <f t="shared" si="4"/>
        <v/>
      </c>
      <c r="Y663" s="127" t="str">
        <f t="shared" si="5"/>
        <v/>
      </c>
    </row>
    <row r="664">
      <c r="A664" s="127"/>
      <c r="B664" s="127" t="str">
        <f>IF(A664="","",VLOOKUP(A664,'BASE OS'!$A$2:$I1000,2,FALSE))</f>
        <v/>
      </c>
      <c r="C664" s="132"/>
      <c r="D664" s="127"/>
      <c r="E664" s="127"/>
      <c r="F664" s="127"/>
      <c r="G664" s="127"/>
      <c r="H664" s="130"/>
      <c r="I664" s="130"/>
      <c r="J664" s="130">
        <f t="shared" si="1"/>
        <v>0</v>
      </c>
      <c r="K664" s="130"/>
      <c r="L664" s="130"/>
      <c r="M664" s="130">
        <f t="shared" si="2"/>
        <v>0</v>
      </c>
      <c r="N664" s="130"/>
      <c r="O664" s="130"/>
      <c r="P664" s="127"/>
      <c r="Q664" s="127"/>
      <c r="R664" s="127"/>
      <c r="S664" s="127"/>
      <c r="T664" s="127" t="str">
        <f>IF(A664="","",VLOOKUP(A664,'BASE OS'!$A$2:$I1000,4,FALSE))</f>
        <v/>
      </c>
      <c r="U664" s="127"/>
      <c r="V664" s="127"/>
      <c r="W664" s="127" t="str">
        <f t="shared" si="3"/>
        <v/>
      </c>
      <c r="X664" s="127" t="str">
        <f t="shared" si="4"/>
        <v/>
      </c>
      <c r="Y664" s="127" t="str">
        <f t="shared" si="5"/>
        <v/>
      </c>
    </row>
    <row r="665">
      <c r="A665" s="127"/>
      <c r="B665" s="127" t="str">
        <f>IF(A665="","",VLOOKUP(A665,'BASE OS'!$A$2:$I1000,2,FALSE))</f>
        <v/>
      </c>
      <c r="C665" s="132"/>
      <c r="D665" s="127"/>
      <c r="E665" s="127"/>
      <c r="F665" s="127"/>
      <c r="G665" s="127"/>
      <c r="H665" s="130"/>
      <c r="I665" s="130"/>
      <c r="J665" s="130">
        <f t="shared" si="1"/>
        <v>0</v>
      </c>
      <c r="K665" s="130"/>
      <c r="L665" s="130"/>
      <c r="M665" s="130">
        <f t="shared" si="2"/>
        <v>0</v>
      </c>
      <c r="N665" s="130"/>
      <c r="O665" s="130"/>
      <c r="P665" s="127"/>
      <c r="Q665" s="127"/>
      <c r="R665" s="127"/>
      <c r="S665" s="127"/>
      <c r="T665" s="127" t="str">
        <f>IF(A665="","",VLOOKUP(A665,'BASE OS'!$A$2:$I1000,4,FALSE))</f>
        <v/>
      </c>
      <c r="U665" s="127"/>
      <c r="V665" s="127"/>
      <c r="W665" s="127" t="str">
        <f t="shared" si="3"/>
        <v/>
      </c>
      <c r="X665" s="127" t="str">
        <f t="shared" si="4"/>
        <v/>
      </c>
      <c r="Y665" s="127" t="str">
        <f t="shared" si="5"/>
        <v/>
      </c>
    </row>
    <row r="666">
      <c r="A666" s="127"/>
      <c r="B666" s="127" t="str">
        <f>IF(A666="","",VLOOKUP(A666,'BASE OS'!$A$2:$I1000,2,FALSE))</f>
        <v/>
      </c>
      <c r="C666" s="132"/>
      <c r="D666" s="127"/>
      <c r="E666" s="127"/>
      <c r="F666" s="127"/>
      <c r="G666" s="127"/>
      <c r="H666" s="130"/>
      <c r="I666" s="130"/>
      <c r="J666" s="130">
        <f t="shared" si="1"/>
        <v>0</v>
      </c>
      <c r="K666" s="130"/>
      <c r="L666" s="130"/>
      <c r="M666" s="130">
        <f t="shared" si="2"/>
        <v>0</v>
      </c>
      <c r="N666" s="130"/>
      <c r="O666" s="130"/>
      <c r="P666" s="127"/>
      <c r="Q666" s="127"/>
      <c r="R666" s="127"/>
      <c r="S666" s="127"/>
      <c r="T666" s="127" t="str">
        <f>IF(A666="","",VLOOKUP(A666,'BASE OS'!$A$2:$I1000,4,FALSE))</f>
        <v/>
      </c>
      <c r="U666" s="127"/>
      <c r="V666" s="127"/>
      <c r="W666" s="127" t="str">
        <f t="shared" si="3"/>
        <v/>
      </c>
      <c r="X666" s="127" t="str">
        <f t="shared" si="4"/>
        <v/>
      </c>
      <c r="Y666" s="127" t="str">
        <f t="shared" si="5"/>
        <v/>
      </c>
    </row>
    <row r="667">
      <c r="A667" s="127"/>
      <c r="B667" s="127" t="str">
        <f>IF(A667="","",VLOOKUP(A667,'BASE OS'!$A$2:$I1000,2,FALSE))</f>
        <v/>
      </c>
      <c r="C667" s="132"/>
      <c r="D667" s="127"/>
      <c r="E667" s="127"/>
      <c r="F667" s="127"/>
      <c r="G667" s="127"/>
      <c r="H667" s="130"/>
      <c r="I667" s="130"/>
      <c r="J667" s="130">
        <f t="shared" si="1"/>
        <v>0</v>
      </c>
      <c r="K667" s="130"/>
      <c r="L667" s="130"/>
      <c r="M667" s="130">
        <f t="shared" si="2"/>
        <v>0</v>
      </c>
      <c r="N667" s="130"/>
      <c r="O667" s="130"/>
      <c r="P667" s="127"/>
      <c r="Q667" s="127"/>
      <c r="R667" s="127"/>
      <c r="S667" s="127"/>
      <c r="T667" s="127" t="str">
        <f>IF(A667="","",VLOOKUP(A667,'BASE OS'!$A$2:$I1000,4,FALSE))</f>
        <v/>
      </c>
      <c r="U667" s="127"/>
      <c r="V667" s="127"/>
      <c r="W667" s="127" t="str">
        <f t="shared" si="3"/>
        <v/>
      </c>
      <c r="X667" s="127" t="str">
        <f t="shared" si="4"/>
        <v/>
      </c>
      <c r="Y667" s="127" t="str">
        <f t="shared" si="5"/>
        <v/>
      </c>
    </row>
    <row r="668">
      <c r="A668" s="127"/>
      <c r="B668" s="127" t="str">
        <f>IF(A668="","",VLOOKUP(A668,'BASE OS'!$A$2:$I1000,2,FALSE))</f>
        <v/>
      </c>
      <c r="C668" s="132"/>
      <c r="D668" s="127"/>
      <c r="E668" s="127"/>
      <c r="F668" s="127"/>
      <c r="G668" s="127"/>
      <c r="H668" s="130"/>
      <c r="I668" s="130"/>
      <c r="J668" s="130">
        <f t="shared" si="1"/>
        <v>0</v>
      </c>
      <c r="K668" s="130"/>
      <c r="L668" s="130"/>
      <c r="M668" s="130">
        <f t="shared" si="2"/>
        <v>0</v>
      </c>
      <c r="N668" s="130"/>
      <c r="O668" s="130"/>
      <c r="P668" s="127"/>
      <c r="Q668" s="127"/>
      <c r="R668" s="127"/>
      <c r="S668" s="127"/>
      <c r="T668" s="127" t="str">
        <f>IF(A668="","",VLOOKUP(A668,'BASE OS'!$A$2:$I1000,4,FALSE))</f>
        <v/>
      </c>
      <c r="U668" s="127"/>
      <c r="V668" s="127"/>
      <c r="W668" s="127" t="str">
        <f t="shared" si="3"/>
        <v/>
      </c>
      <c r="X668" s="127" t="str">
        <f t="shared" si="4"/>
        <v/>
      </c>
      <c r="Y668" s="127" t="str">
        <f t="shared" si="5"/>
        <v/>
      </c>
    </row>
    <row r="669">
      <c r="A669" s="127"/>
      <c r="B669" s="127" t="str">
        <f>IF(A669="","",VLOOKUP(A669,'BASE OS'!$A$2:$I1000,2,FALSE))</f>
        <v/>
      </c>
      <c r="C669" s="132"/>
      <c r="D669" s="127"/>
      <c r="E669" s="127"/>
      <c r="F669" s="127"/>
      <c r="G669" s="127"/>
      <c r="H669" s="130"/>
      <c r="I669" s="130"/>
      <c r="J669" s="130">
        <f t="shared" si="1"/>
        <v>0</v>
      </c>
      <c r="K669" s="130"/>
      <c r="L669" s="130"/>
      <c r="M669" s="130">
        <f t="shared" si="2"/>
        <v>0</v>
      </c>
      <c r="N669" s="130"/>
      <c r="O669" s="130"/>
      <c r="P669" s="127"/>
      <c r="Q669" s="127"/>
      <c r="R669" s="127"/>
      <c r="S669" s="127"/>
      <c r="T669" s="127" t="str">
        <f>IF(A669="","",VLOOKUP(A669,'BASE OS'!$A$2:$I1000,4,FALSE))</f>
        <v/>
      </c>
      <c r="U669" s="127"/>
      <c r="V669" s="127"/>
      <c r="W669" s="127" t="str">
        <f t="shared" si="3"/>
        <v/>
      </c>
      <c r="X669" s="127" t="str">
        <f t="shared" si="4"/>
        <v/>
      </c>
      <c r="Y669" s="127" t="str">
        <f t="shared" si="5"/>
        <v/>
      </c>
    </row>
    <row r="670">
      <c r="A670" s="127"/>
      <c r="B670" s="127" t="str">
        <f>IF(A670="","",VLOOKUP(A670,'BASE OS'!$A$2:$I1000,2,FALSE))</f>
        <v/>
      </c>
      <c r="C670" s="132"/>
      <c r="D670" s="127"/>
      <c r="E670" s="127"/>
      <c r="F670" s="127"/>
      <c r="G670" s="127"/>
      <c r="H670" s="130"/>
      <c r="I670" s="130"/>
      <c r="J670" s="130">
        <f t="shared" si="1"/>
        <v>0</v>
      </c>
      <c r="K670" s="130"/>
      <c r="L670" s="130"/>
      <c r="M670" s="130">
        <f t="shared" si="2"/>
        <v>0</v>
      </c>
      <c r="N670" s="130"/>
      <c r="O670" s="130"/>
      <c r="P670" s="127"/>
      <c r="Q670" s="127"/>
      <c r="R670" s="127"/>
      <c r="S670" s="127"/>
      <c r="T670" s="127" t="str">
        <f>IF(A670="","",VLOOKUP(A670,'BASE OS'!$A$2:$I1000,4,FALSE))</f>
        <v/>
      </c>
      <c r="U670" s="127"/>
      <c r="V670" s="127"/>
      <c r="W670" s="127" t="str">
        <f t="shared" si="3"/>
        <v/>
      </c>
      <c r="X670" s="127" t="str">
        <f t="shared" si="4"/>
        <v/>
      </c>
      <c r="Y670" s="127" t="str">
        <f t="shared" si="5"/>
        <v/>
      </c>
    </row>
    <row r="671">
      <c r="A671" s="127"/>
      <c r="B671" s="127" t="str">
        <f>IF(A671="","",VLOOKUP(A671,'BASE OS'!$A$2:$I1000,2,FALSE))</f>
        <v/>
      </c>
      <c r="C671" s="132"/>
      <c r="D671" s="127"/>
      <c r="E671" s="127"/>
      <c r="F671" s="127"/>
      <c r="G671" s="127"/>
      <c r="H671" s="130"/>
      <c r="I671" s="130"/>
      <c r="J671" s="130">
        <f t="shared" si="1"/>
        <v>0</v>
      </c>
      <c r="K671" s="130"/>
      <c r="L671" s="130"/>
      <c r="M671" s="130">
        <f t="shared" si="2"/>
        <v>0</v>
      </c>
      <c r="N671" s="130"/>
      <c r="O671" s="130"/>
      <c r="P671" s="127"/>
      <c r="Q671" s="127"/>
      <c r="R671" s="127"/>
      <c r="S671" s="127"/>
      <c r="T671" s="127" t="str">
        <f>IF(A671="","",VLOOKUP(A671,'BASE OS'!$A$2:$I1000,4,FALSE))</f>
        <v/>
      </c>
      <c r="U671" s="127"/>
      <c r="V671" s="127"/>
      <c r="W671" s="127" t="str">
        <f t="shared" si="3"/>
        <v/>
      </c>
      <c r="X671" s="127" t="str">
        <f t="shared" si="4"/>
        <v/>
      </c>
      <c r="Y671" s="127" t="str">
        <f t="shared" si="5"/>
        <v/>
      </c>
    </row>
    <row r="672">
      <c r="A672" s="127"/>
      <c r="B672" s="127" t="str">
        <f>IF(A672="","",VLOOKUP(A672,'BASE OS'!$A$2:$I1000,2,FALSE))</f>
        <v/>
      </c>
      <c r="C672" s="132"/>
      <c r="D672" s="127"/>
      <c r="E672" s="127"/>
      <c r="F672" s="127"/>
      <c r="G672" s="127"/>
      <c r="H672" s="130"/>
      <c r="I672" s="130"/>
      <c r="J672" s="130">
        <f t="shared" si="1"/>
        <v>0</v>
      </c>
      <c r="K672" s="130"/>
      <c r="L672" s="130"/>
      <c r="M672" s="130">
        <f t="shared" si="2"/>
        <v>0</v>
      </c>
      <c r="N672" s="130"/>
      <c r="O672" s="130"/>
      <c r="P672" s="127"/>
      <c r="Q672" s="127"/>
      <c r="R672" s="127"/>
      <c r="S672" s="127"/>
      <c r="T672" s="127" t="str">
        <f>IF(A672="","",VLOOKUP(A672,'BASE OS'!$A$2:$I1000,4,FALSE))</f>
        <v/>
      </c>
      <c r="U672" s="127"/>
      <c r="V672" s="127"/>
      <c r="W672" s="127" t="str">
        <f t="shared" si="3"/>
        <v/>
      </c>
      <c r="X672" s="127" t="str">
        <f t="shared" si="4"/>
        <v/>
      </c>
      <c r="Y672" s="127" t="str">
        <f t="shared" si="5"/>
        <v/>
      </c>
    </row>
    <row r="673">
      <c r="A673" s="127"/>
      <c r="B673" s="127" t="str">
        <f>IF(A673="","",VLOOKUP(A673,'BASE OS'!$A$2:$I1000,2,FALSE))</f>
        <v/>
      </c>
      <c r="C673" s="132"/>
      <c r="D673" s="127"/>
      <c r="E673" s="127"/>
      <c r="F673" s="127"/>
      <c r="G673" s="127"/>
      <c r="H673" s="130"/>
      <c r="I673" s="130"/>
      <c r="J673" s="130">
        <f t="shared" si="1"/>
        <v>0</v>
      </c>
      <c r="K673" s="130"/>
      <c r="L673" s="130"/>
      <c r="M673" s="130">
        <f t="shared" si="2"/>
        <v>0</v>
      </c>
      <c r="N673" s="130"/>
      <c r="O673" s="130"/>
      <c r="P673" s="127"/>
      <c r="Q673" s="127"/>
      <c r="R673" s="127"/>
      <c r="S673" s="127"/>
      <c r="T673" s="127" t="str">
        <f>IF(A673="","",VLOOKUP(A673,'BASE OS'!$A$2:$I1000,4,FALSE))</f>
        <v/>
      </c>
      <c r="U673" s="127"/>
      <c r="V673" s="127"/>
      <c r="W673" s="127" t="str">
        <f t="shared" si="3"/>
        <v/>
      </c>
      <c r="X673" s="127" t="str">
        <f t="shared" si="4"/>
        <v/>
      </c>
      <c r="Y673" s="127" t="str">
        <f t="shared" si="5"/>
        <v/>
      </c>
    </row>
    <row r="674">
      <c r="A674" s="127"/>
      <c r="B674" s="127" t="str">
        <f>IF(A674="","",VLOOKUP(A674,'BASE OS'!$A$2:$I1000,2,FALSE))</f>
        <v/>
      </c>
      <c r="C674" s="132"/>
      <c r="D674" s="127"/>
      <c r="E674" s="127"/>
      <c r="F674" s="127"/>
      <c r="G674" s="127"/>
      <c r="H674" s="130"/>
      <c r="I674" s="130"/>
      <c r="J674" s="130">
        <f t="shared" si="1"/>
        <v>0</v>
      </c>
      <c r="K674" s="130"/>
      <c r="L674" s="130"/>
      <c r="M674" s="130">
        <f t="shared" si="2"/>
        <v>0</v>
      </c>
      <c r="N674" s="130"/>
      <c r="O674" s="130"/>
      <c r="P674" s="127"/>
      <c r="Q674" s="127"/>
      <c r="R674" s="127"/>
      <c r="S674" s="127"/>
      <c r="T674" s="127" t="str">
        <f>IF(A674="","",VLOOKUP(A674,'BASE OS'!$A$2:$I1000,4,FALSE))</f>
        <v/>
      </c>
      <c r="U674" s="127"/>
      <c r="V674" s="127"/>
      <c r="W674" s="127" t="str">
        <f t="shared" si="3"/>
        <v/>
      </c>
      <c r="X674" s="127" t="str">
        <f t="shared" si="4"/>
        <v/>
      </c>
      <c r="Y674" s="127" t="str">
        <f t="shared" si="5"/>
        <v/>
      </c>
    </row>
    <row r="675">
      <c r="A675" s="127"/>
      <c r="B675" s="127" t="str">
        <f>IF(A675="","",VLOOKUP(A675,'BASE OS'!$A$2:$I1000,2,FALSE))</f>
        <v/>
      </c>
      <c r="C675" s="132"/>
      <c r="D675" s="127"/>
      <c r="E675" s="127"/>
      <c r="F675" s="127"/>
      <c r="G675" s="127"/>
      <c r="H675" s="130"/>
      <c r="I675" s="130"/>
      <c r="J675" s="130">
        <f t="shared" si="1"/>
        <v>0</v>
      </c>
      <c r="K675" s="130"/>
      <c r="L675" s="130"/>
      <c r="M675" s="130">
        <f t="shared" si="2"/>
        <v>0</v>
      </c>
      <c r="N675" s="130"/>
      <c r="O675" s="130"/>
      <c r="P675" s="127"/>
      <c r="Q675" s="127"/>
      <c r="R675" s="127"/>
      <c r="S675" s="127"/>
      <c r="T675" s="127" t="str">
        <f>IF(A675="","",VLOOKUP(A675,'BASE OS'!$A$2:$I1000,4,FALSE))</f>
        <v/>
      </c>
      <c r="U675" s="127"/>
      <c r="V675" s="127"/>
      <c r="W675" s="127" t="str">
        <f t="shared" si="3"/>
        <v/>
      </c>
      <c r="X675" s="127" t="str">
        <f t="shared" si="4"/>
        <v/>
      </c>
      <c r="Y675" s="127" t="str">
        <f t="shared" si="5"/>
        <v/>
      </c>
    </row>
    <row r="676">
      <c r="A676" s="127"/>
      <c r="B676" s="127" t="str">
        <f>IF(A676="","",VLOOKUP(A676,'BASE OS'!$A$2:$I1000,2,FALSE))</f>
        <v/>
      </c>
      <c r="C676" s="132"/>
      <c r="D676" s="127"/>
      <c r="E676" s="127"/>
      <c r="F676" s="127"/>
      <c r="G676" s="127"/>
      <c r="H676" s="130"/>
      <c r="I676" s="130"/>
      <c r="J676" s="130">
        <f t="shared" si="1"/>
        <v>0</v>
      </c>
      <c r="K676" s="130"/>
      <c r="L676" s="130"/>
      <c r="M676" s="130">
        <f t="shared" si="2"/>
        <v>0</v>
      </c>
      <c r="N676" s="130"/>
      <c r="O676" s="130"/>
      <c r="P676" s="127"/>
      <c r="Q676" s="127"/>
      <c r="R676" s="127"/>
      <c r="S676" s="127"/>
      <c r="T676" s="127" t="str">
        <f>IF(A676="","",VLOOKUP(A676,'BASE OS'!$A$2:$I1000,4,FALSE))</f>
        <v/>
      </c>
      <c r="U676" s="127"/>
      <c r="V676" s="127"/>
      <c r="W676" s="127" t="str">
        <f t="shared" si="3"/>
        <v/>
      </c>
      <c r="X676" s="127" t="str">
        <f t="shared" si="4"/>
        <v/>
      </c>
      <c r="Y676" s="127" t="str">
        <f t="shared" si="5"/>
        <v/>
      </c>
    </row>
    <row r="677">
      <c r="A677" s="127"/>
      <c r="B677" s="127" t="str">
        <f>IF(A677="","",VLOOKUP(A677,'BASE OS'!$A$2:$I1000,2,FALSE))</f>
        <v/>
      </c>
      <c r="C677" s="132"/>
      <c r="D677" s="127"/>
      <c r="E677" s="127"/>
      <c r="F677" s="127"/>
      <c r="G677" s="127"/>
      <c r="H677" s="130"/>
      <c r="I677" s="130"/>
      <c r="J677" s="130">
        <f t="shared" si="1"/>
        <v>0</v>
      </c>
      <c r="K677" s="130"/>
      <c r="L677" s="130"/>
      <c r="M677" s="130">
        <f t="shared" si="2"/>
        <v>0</v>
      </c>
      <c r="N677" s="130"/>
      <c r="O677" s="130"/>
      <c r="P677" s="127"/>
      <c r="Q677" s="127"/>
      <c r="R677" s="127"/>
      <c r="S677" s="127"/>
      <c r="T677" s="127" t="str">
        <f>IF(A677="","",VLOOKUP(A677,'BASE OS'!$A$2:$I1000,4,FALSE))</f>
        <v/>
      </c>
      <c r="U677" s="127"/>
      <c r="V677" s="127"/>
      <c r="W677" s="127" t="str">
        <f t="shared" si="3"/>
        <v/>
      </c>
      <c r="X677" s="127" t="str">
        <f t="shared" si="4"/>
        <v/>
      </c>
      <c r="Y677" s="127" t="str">
        <f t="shared" si="5"/>
        <v/>
      </c>
    </row>
    <row r="678">
      <c r="A678" s="127"/>
      <c r="B678" s="127" t="str">
        <f>IF(A678="","",VLOOKUP(A678,'BASE OS'!$A$2:$I1000,2,FALSE))</f>
        <v/>
      </c>
      <c r="C678" s="132"/>
      <c r="D678" s="127"/>
      <c r="E678" s="127"/>
      <c r="F678" s="127"/>
      <c r="G678" s="127"/>
      <c r="H678" s="130"/>
      <c r="I678" s="130"/>
      <c r="J678" s="130">
        <f t="shared" si="1"/>
        <v>0</v>
      </c>
      <c r="K678" s="130"/>
      <c r="L678" s="130"/>
      <c r="M678" s="130">
        <f t="shared" si="2"/>
        <v>0</v>
      </c>
      <c r="N678" s="130"/>
      <c r="O678" s="130"/>
      <c r="P678" s="127"/>
      <c r="Q678" s="127"/>
      <c r="R678" s="127"/>
      <c r="S678" s="127"/>
      <c r="T678" s="127" t="str">
        <f>IF(A678="","",VLOOKUP(A678,'BASE OS'!$A$2:$I1000,4,FALSE))</f>
        <v/>
      </c>
      <c r="U678" s="127"/>
      <c r="V678" s="127"/>
      <c r="W678" s="127" t="str">
        <f t="shared" si="3"/>
        <v/>
      </c>
      <c r="X678" s="127" t="str">
        <f t="shared" si="4"/>
        <v/>
      </c>
      <c r="Y678" s="127" t="str">
        <f t="shared" si="5"/>
        <v/>
      </c>
    </row>
    <row r="679">
      <c r="A679" s="127"/>
      <c r="B679" s="127" t="str">
        <f>IF(A679="","",VLOOKUP(A679,'BASE OS'!$A$2:$I1000,2,FALSE))</f>
        <v/>
      </c>
      <c r="C679" s="132"/>
      <c r="D679" s="127"/>
      <c r="E679" s="127"/>
      <c r="F679" s="127"/>
      <c r="G679" s="127"/>
      <c r="H679" s="130"/>
      <c r="I679" s="130"/>
      <c r="J679" s="130">
        <f t="shared" si="1"/>
        <v>0</v>
      </c>
      <c r="K679" s="130"/>
      <c r="L679" s="130"/>
      <c r="M679" s="130">
        <f t="shared" si="2"/>
        <v>0</v>
      </c>
      <c r="N679" s="130"/>
      <c r="O679" s="130"/>
      <c r="P679" s="127"/>
      <c r="Q679" s="127"/>
      <c r="R679" s="127"/>
      <c r="S679" s="127"/>
      <c r="T679" s="127" t="str">
        <f>IF(A679="","",VLOOKUP(A679,'BASE OS'!$A$2:$I1000,4,FALSE))</f>
        <v/>
      </c>
      <c r="U679" s="127"/>
      <c r="V679" s="127"/>
      <c r="W679" s="127" t="str">
        <f t="shared" si="3"/>
        <v/>
      </c>
      <c r="X679" s="127" t="str">
        <f t="shared" si="4"/>
        <v/>
      </c>
      <c r="Y679" s="127" t="str">
        <f t="shared" si="5"/>
        <v/>
      </c>
    </row>
    <row r="680">
      <c r="A680" s="127"/>
      <c r="B680" s="127" t="str">
        <f>IF(A680="","",VLOOKUP(A680,'BASE OS'!$A$2:$I1000,2,FALSE))</f>
        <v/>
      </c>
      <c r="C680" s="132"/>
      <c r="D680" s="127"/>
      <c r="E680" s="127"/>
      <c r="F680" s="127"/>
      <c r="G680" s="127"/>
      <c r="H680" s="130"/>
      <c r="I680" s="130"/>
      <c r="J680" s="130">
        <f t="shared" si="1"/>
        <v>0</v>
      </c>
      <c r="K680" s="130"/>
      <c r="L680" s="130"/>
      <c r="M680" s="130">
        <f t="shared" si="2"/>
        <v>0</v>
      </c>
      <c r="N680" s="130"/>
      <c r="O680" s="130"/>
      <c r="P680" s="127"/>
      <c r="Q680" s="127"/>
      <c r="R680" s="127"/>
      <c r="S680" s="127"/>
      <c r="T680" s="127" t="str">
        <f>IF(A680="","",VLOOKUP(A680,'BASE OS'!$A$2:$I1000,4,FALSE))</f>
        <v/>
      </c>
      <c r="U680" s="127"/>
      <c r="V680" s="127"/>
      <c r="W680" s="127" t="str">
        <f t="shared" si="3"/>
        <v/>
      </c>
      <c r="X680" s="127" t="str">
        <f t="shared" si="4"/>
        <v/>
      </c>
      <c r="Y680" s="127" t="str">
        <f t="shared" si="5"/>
        <v/>
      </c>
    </row>
    <row r="681">
      <c r="A681" s="127"/>
      <c r="B681" s="127" t="str">
        <f>IF(A681="","",VLOOKUP(A681,'BASE OS'!$A$2:$I1000,2,FALSE))</f>
        <v/>
      </c>
      <c r="C681" s="132"/>
      <c r="D681" s="127"/>
      <c r="E681" s="127"/>
      <c r="F681" s="127"/>
      <c r="G681" s="127"/>
      <c r="H681" s="130"/>
      <c r="I681" s="130"/>
      <c r="J681" s="130">
        <f t="shared" si="1"/>
        <v>0</v>
      </c>
      <c r="K681" s="130"/>
      <c r="L681" s="130"/>
      <c r="M681" s="130">
        <f t="shared" si="2"/>
        <v>0</v>
      </c>
      <c r="N681" s="130"/>
      <c r="O681" s="130"/>
      <c r="P681" s="127"/>
      <c r="Q681" s="127"/>
      <c r="R681" s="127"/>
      <c r="S681" s="127"/>
      <c r="T681" s="127" t="str">
        <f>IF(A681="","",VLOOKUP(A681,'BASE OS'!$A$2:$I1000,4,FALSE))</f>
        <v/>
      </c>
      <c r="U681" s="127"/>
      <c r="V681" s="127"/>
      <c r="W681" s="127" t="str">
        <f t="shared" si="3"/>
        <v/>
      </c>
      <c r="X681" s="127" t="str">
        <f t="shared" si="4"/>
        <v/>
      </c>
      <c r="Y681" s="127" t="str">
        <f t="shared" si="5"/>
        <v/>
      </c>
    </row>
    <row r="682">
      <c r="A682" s="127"/>
      <c r="B682" s="127" t="str">
        <f>IF(A682="","",VLOOKUP(A682,'BASE OS'!$A$2:$I1000,2,FALSE))</f>
        <v/>
      </c>
      <c r="C682" s="132"/>
      <c r="D682" s="127"/>
      <c r="E682" s="127"/>
      <c r="F682" s="127"/>
      <c r="G682" s="127"/>
      <c r="H682" s="130"/>
      <c r="I682" s="130"/>
      <c r="J682" s="130">
        <f t="shared" si="1"/>
        <v>0</v>
      </c>
      <c r="K682" s="130"/>
      <c r="L682" s="130"/>
      <c r="M682" s="130">
        <f t="shared" si="2"/>
        <v>0</v>
      </c>
      <c r="N682" s="130"/>
      <c r="O682" s="130"/>
      <c r="P682" s="127"/>
      <c r="Q682" s="127"/>
      <c r="R682" s="127"/>
      <c r="S682" s="127"/>
      <c r="T682" s="127" t="str">
        <f>IF(A682="","",VLOOKUP(A682,'BASE OS'!$A$2:$I1000,4,FALSE))</f>
        <v/>
      </c>
      <c r="U682" s="127"/>
      <c r="V682" s="127"/>
      <c r="W682" s="127" t="str">
        <f t="shared" si="3"/>
        <v/>
      </c>
      <c r="X682" s="127" t="str">
        <f t="shared" si="4"/>
        <v/>
      </c>
      <c r="Y682" s="127" t="str">
        <f t="shared" si="5"/>
        <v/>
      </c>
    </row>
    <row r="683">
      <c r="A683" s="127"/>
      <c r="B683" s="127" t="str">
        <f>IF(A683="","",VLOOKUP(A683,'BASE OS'!$A$2:$I1000,2,FALSE))</f>
        <v/>
      </c>
      <c r="C683" s="132"/>
      <c r="D683" s="127"/>
      <c r="E683" s="127"/>
      <c r="F683" s="127"/>
      <c r="G683" s="127"/>
      <c r="H683" s="130"/>
      <c r="I683" s="130"/>
      <c r="J683" s="130">
        <f t="shared" si="1"/>
        <v>0</v>
      </c>
      <c r="K683" s="130"/>
      <c r="L683" s="130"/>
      <c r="M683" s="130">
        <f t="shared" si="2"/>
        <v>0</v>
      </c>
      <c r="N683" s="130"/>
      <c r="O683" s="130"/>
      <c r="P683" s="127"/>
      <c r="Q683" s="127"/>
      <c r="R683" s="127"/>
      <c r="S683" s="127"/>
      <c r="T683" s="127" t="str">
        <f>IF(A683="","",VLOOKUP(A683,'BASE OS'!$A$2:$I1000,4,FALSE))</f>
        <v/>
      </c>
      <c r="U683" s="127"/>
      <c r="V683" s="127"/>
      <c r="W683" s="127" t="str">
        <f t="shared" si="3"/>
        <v/>
      </c>
      <c r="X683" s="127" t="str">
        <f t="shared" si="4"/>
        <v/>
      </c>
      <c r="Y683" s="127" t="str">
        <f t="shared" si="5"/>
        <v/>
      </c>
    </row>
    <row r="684">
      <c r="A684" s="127"/>
      <c r="B684" s="127" t="str">
        <f>IF(A684="","",VLOOKUP(A684,'BASE OS'!$A$2:$I1000,2,FALSE))</f>
        <v/>
      </c>
      <c r="C684" s="132"/>
      <c r="D684" s="127"/>
      <c r="E684" s="127"/>
      <c r="F684" s="127"/>
      <c r="G684" s="127"/>
      <c r="H684" s="130"/>
      <c r="I684" s="130"/>
      <c r="J684" s="130">
        <f t="shared" si="1"/>
        <v>0</v>
      </c>
      <c r="K684" s="130"/>
      <c r="L684" s="130"/>
      <c r="M684" s="130">
        <f t="shared" si="2"/>
        <v>0</v>
      </c>
      <c r="N684" s="130"/>
      <c r="O684" s="130"/>
      <c r="P684" s="127"/>
      <c r="Q684" s="127"/>
      <c r="R684" s="127"/>
      <c r="S684" s="127"/>
      <c r="T684" s="127" t="str">
        <f>IF(A684="","",VLOOKUP(A684,'BASE OS'!$A$2:$I1000,4,FALSE))</f>
        <v/>
      </c>
      <c r="U684" s="127"/>
      <c r="V684" s="127"/>
      <c r="W684" s="127" t="str">
        <f t="shared" si="3"/>
        <v/>
      </c>
      <c r="X684" s="127" t="str">
        <f t="shared" si="4"/>
        <v/>
      </c>
      <c r="Y684" s="127" t="str">
        <f t="shared" si="5"/>
        <v/>
      </c>
    </row>
    <row r="685">
      <c r="A685" s="127"/>
      <c r="B685" s="127" t="str">
        <f>IF(A685="","",VLOOKUP(A685,'BASE OS'!$A$2:$I1000,2,FALSE))</f>
        <v/>
      </c>
      <c r="C685" s="132"/>
      <c r="D685" s="127"/>
      <c r="E685" s="127"/>
      <c r="F685" s="127"/>
      <c r="G685" s="127"/>
      <c r="H685" s="130"/>
      <c r="I685" s="130"/>
      <c r="J685" s="130">
        <f t="shared" si="1"/>
        <v>0</v>
      </c>
      <c r="K685" s="130"/>
      <c r="L685" s="130"/>
      <c r="M685" s="130">
        <f t="shared" si="2"/>
        <v>0</v>
      </c>
      <c r="N685" s="130"/>
      <c r="O685" s="130"/>
      <c r="P685" s="127"/>
      <c r="Q685" s="127"/>
      <c r="R685" s="127"/>
      <c r="S685" s="127"/>
      <c r="T685" s="127" t="str">
        <f>IF(A685="","",VLOOKUP(A685,'BASE OS'!$A$2:$I1000,4,FALSE))</f>
        <v/>
      </c>
      <c r="U685" s="127"/>
      <c r="V685" s="127"/>
      <c r="W685" s="127" t="str">
        <f t="shared" si="3"/>
        <v/>
      </c>
      <c r="X685" s="127" t="str">
        <f t="shared" si="4"/>
        <v/>
      </c>
      <c r="Y685" s="127" t="str">
        <f t="shared" si="5"/>
        <v/>
      </c>
    </row>
    <row r="686">
      <c r="A686" s="127"/>
      <c r="B686" s="127" t="str">
        <f>IF(A686="","",VLOOKUP(A686,'BASE OS'!$A$2:$I1000,2,FALSE))</f>
        <v/>
      </c>
      <c r="C686" s="132"/>
      <c r="D686" s="127"/>
      <c r="E686" s="127"/>
      <c r="F686" s="127"/>
      <c r="G686" s="127"/>
      <c r="H686" s="130"/>
      <c r="I686" s="130"/>
      <c r="J686" s="130">
        <f t="shared" si="1"/>
        <v>0</v>
      </c>
      <c r="K686" s="130"/>
      <c r="L686" s="130"/>
      <c r="M686" s="130">
        <f t="shared" si="2"/>
        <v>0</v>
      </c>
      <c r="N686" s="130"/>
      <c r="O686" s="130"/>
      <c r="P686" s="127"/>
      <c r="Q686" s="127"/>
      <c r="R686" s="127"/>
      <c r="S686" s="127"/>
      <c r="T686" s="127" t="str">
        <f>IF(A686="","",VLOOKUP(A686,'BASE OS'!$A$2:$I1000,4,FALSE))</f>
        <v/>
      </c>
      <c r="U686" s="127"/>
      <c r="V686" s="127"/>
      <c r="W686" s="127" t="str">
        <f t="shared" si="3"/>
        <v/>
      </c>
      <c r="X686" s="127" t="str">
        <f t="shared" si="4"/>
        <v/>
      </c>
      <c r="Y686" s="127" t="str">
        <f t="shared" si="5"/>
        <v/>
      </c>
    </row>
    <row r="687">
      <c r="A687" s="127"/>
      <c r="B687" s="127" t="str">
        <f>IF(A687="","",VLOOKUP(A687,'BASE OS'!$A$2:$I1000,2,FALSE))</f>
        <v/>
      </c>
      <c r="C687" s="132"/>
      <c r="D687" s="127"/>
      <c r="E687" s="127"/>
      <c r="F687" s="127"/>
      <c r="G687" s="127"/>
      <c r="H687" s="130"/>
      <c r="I687" s="130"/>
      <c r="J687" s="130">
        <f t="shared" si="1"/>
        <v>0</v>
      </c>
      <c r="K687" s="130"/>
      <c r="L687" s="130"/>
      <c r="M687" s="130">
        <f t="shared" si="2"/>
        <v>0</v>
      </c>
      <c r="N687" s="130"/>
      <c r="O687" s="130"/>
      <c r="P687" s="127"/>
      <c r="Q687" s="127"/>
      <c r="R687" s="127"/>
      <c r="S687" s="127"/>
      <c r="T687" s="127" t="str">
        <f>IF(A687="","",VLOOKUP(A687,'BASE OS'!$A$2:$I1000,4,FALSE))</f>
        <v/>
      </c>
      <c r="U687" s="127"/>
      <c r="V687" s="127"/>
      <c r="W687" s="127" t="str">
        <f t="shared" si="3"/>
        <v/>
      </c>
      <c r="X687" s="127" t="str">
        <f t="shared" si="4"/>
        <v/>
      </c>
      <c r="Y687" s="127" t="str">
        <f t="shared" si="5"/>
        <v/>
      </c>
    </row>
    <row r="688">
      <c r="A688" s="127"/>
      <c r="B688" s="127" t="str">
        <f>IF(A688="","",VLOOKUP(A688,'BASE OS'!$A$2:$I1000,2,FALSE))</f>
        <v/>
      </c>
      <c r="C688" s="132"/>
      <c r="D688" s="127"/>
      <c r="E688" s="127"/>
      <c r="F688" s="127"/>
      <c r="G688" s="127"/>
      <c r="H688" s="130"/>
      <c r="I688" s="130"/>
      <c r="J688" s="130">
        <f t="shared" si="1"/>
        <v>0</v>
      </c>
      <c r="K688" s="130"/>
      <c r="L688" s="130"/>
      <c r="M688" s="130">
        <f t="shared" si="2"/>
        <v>0</v>
      </c>
      <c r="N688" s="130"/>
      <c r="O688" s="130"/>
      <c r="P688" s="127"/>
      <c r="Q688" s="127"/>
      <c r="R688" s="127"/>
      <c r="S688" s="127"/>
      <c r="T688" s="127" t="str">
        <f>IF(A688="","",VLOOKUP(A688,'BASE OS'!$A$2:$I1000,4,FALSE))</f>
        <v/>
      </c>
      <c r="U688" s="127"/>
      <c r="V688" s="127"/>
      <c r="W688" s="127" t="str">
        <f t="shared" si="3"/>
        <v/>
      </c>
      <c r="X688" s="127" t="str">
        <f t="shared" si="4"/>
        <v/>
      </c>
      <c r="Y688" s="127" t="str">
        <f t="shared" si="5"/>
        <v/>
      </c>
    </row>
    <row r="689">
      <c r="A689" s="127"/>
      <c r="B689" s="127" t="str">
        <f>IF(A689="","",VLOOKUP(A689,'BASE OS'!$A$2:$I1000,2,FALSE))</f>
        <v/>
      </c>
      <c r="C689" s="132"/>
      <c r="D689" s="127"/>
      <c r="E689" s="127"/>
      <c r="F689" s="127"/>
      <c r="G689" s="127"/>
      <c r="H689" s="130"/>
      <c r="I689" s="130"/>
      <c r="J689" s="130">
        <f t="shared" si="1"/>
        <v>0</v>
      </c>
      <c r="K689" s="130"/>
      <c r="L689" s="130"/>
      <c r="M689" s="130">
        <f t="shared" si="2"/>
        <v>0</v>
      </c>
      <c r="N689" s="130"/>
      <c r="O689" s="130"/>
      <c r="P689" s="127"/>
      <c r="Q689" s="127"/>
      <c r="R689" s="127"/>
      <c r="S689" s="127"/>
      <c r="T689" s="127" t="str">
        <f>IF(A689="","",VLOOKUP(A689,'BASE OS'!$A$2:$I1000,4,FALSE))</f>
        <v/>
      </c>
      <c r="U689" s="127"/>
      <c r="V689" s="127"/>
      <c r="W689" s="127" t="str">
        <f t="shared" si="3"/>
        <v/>
      </c>
      <c r="X689" s="127" t="str">
        <f t="shared" si="4"/>
        <v/>
      </c>
      <c r="Y689" s="127" t="str">
        <f t="shared" si="5"/>
        <v/>
      </c>
    </row>
    <row r="690">
      <c r="A690" s="127"/>
      <c r="B690" s="127" t="str">
        <f>IF(A690="","",VLOOKUP(A690,'BASE OS'!$A$2:$I1000,2,FALSE))</f>
        <v/>
      </c>
      <c r="C690" s="132"/>
      <c r="D690" s="127"/>
      <c r="E690" s="127"/>
      <c r="F690" s="127"/>
      <c r="G690" s="127"/>
      <c r="H690" s="130"/>
      <c r="I690" s="130"/>
      <c r="J690" s="130">
        <f t="shared" si="1"/>
        <v>0</v>
      </c>
      <c r="K690" s="130"/>
      <c r="L690" s="130"/>
      <c r="M690" s="130">
        <f t="shared" si="2"/>
        <v>0</v>
      </c>
      <c r="N690" s="130"/>
      <c r="O690" s="130"/>
      <c r="P690" s="127"/>
      <c r="Q690" s="127"/>
      <c r="R690" s="127"/>
      <c r="S690" s="127"/>
      <c r="T690" s="127" t="str">
        <f>IF(A690="","",VLOOKUP(A690,'BASE OS'!$A$2:$I1000,4,FALSE))</f>
        <v/>
      </c>
      <c r="U690" s="127"/>
      <c r="V690" s="127"/>
      <c r="W690" s="127" t="str">
        <f t="shared" si="3"/>
        <v/>
      </c>
      <c r="X690" s="127" t="str">
        <f t="shared" si="4"/>
        <v/>
      </c>
      <c r="Y690" s="127" t="str">
        <f t="shared" si="5"/>
        <v/>
      </c>
    </row>
    <row r="691">
      <c r="A691" s="127"/>
      <c r="B691" s="127" t="str">
        <f>IF(A691="","",VLOOKUP(A691,'BASE OS'!$A$2:$I1000,2,FALSE))</f>
        <v/>
      </c>
      <c r="C691" s="132"/>
      <c r="D691" s="127"/>
      <c r="E691" s="127"/>
      <c r="F691" s="127"/>
      <c r="G691" s="127"/>
      <c r="H691" s="130"/>
      <c r="I691" s="130"/>
      <c r="J691" s="130">
        <f t="shared" si="1"/>
        <v>0</v>
      </c>
      <c r="K691" s="130"/>
      <c r="L691" s="130"/>
      <c r="M691" s="130">
        <f t="shared" si="2"/>
        <v>0</v>
      </c>
      <c r="N691" s="130"/>
      <c r="O691" s="130"/>
      <c r="P691" s="127"/>
      <c r="Q691" s="127"/>
      <c r="R691" s="127"/>
      <c r="S691" s="127"/>
      <c r="T691" s="127" t="str">
        <f>IF(A691="","",VLOOKUP(A691,'BASE OS'!$A$2:$I1000,4,FALSE))</f>
        <v/>
      </c>
      <c r="U691" s="127"/>
      <c r="V691" s="127"/>
      <c r="W691" s="127" t="str">
        <f t="shared" si="3"/>
        <v/>
      </c>
      <c r="X691" s="127" t="str">
        <f t="shared" si="4"/>
        <v/>
      </c>
      <c r="Y691" s="127" t="str">
        <f t="shared" si="5"/>
        <v/>
      </c>
    </row>
    <row r="692">
      <c r="A692" s="127"/>
      <c r="B692" s="127" t="str">
        <f>IF(A692="","",VLOOKUP(A692,'BASE OS'!$A$2:$I1000,2,FALSE))</f>
        <v/>
      </c>
      <c r="C692" s="132"/>
      <c r="D692" s="127"/>
      <c r="E692" s="127"/>
      <c r="F692" s="127"/>
      <c r="G692" s="127"/>
      <c r="H692" s="130"/>
      <c r="I692" s="130"/>
      <c r="J692" s="130">
        <f t="shared" si="1"/>
        <v>0</v>
      </c>
      <c r="K692" s="130"/>
      <c r="L692" s="130"/>
      <c r="M692" s="130">
        <f t="shared" si="2"/>
        <v>0</v>
      </c>
      <c r="N692" s="130"/>
      <c r="O692" s="130"/>
      <c r="P692" s="127"/>
      <c r="Q692" s="127"/>
      <c r="R692" s="127"/>
      <c r="S692" s="127"/>
      <c r="T692" s="127" t="str">
        <f>IF(A692="","",VLOOKUP(A692,'BASE OS'!$A$2:$I1000,4,FALSE))</f>
        <v/>
      </c>
      <c r="U692" s="127"/>
      <c r="V692" s="127"/>
      <c r="W692" s="127" t="str">
        <f t="shared" si="3"/>
        <v/>
      </c>
      <c r="X692" s="127" t="str">
        <f t="shared" si="4"/>
        <v/>
      </c>
      <c r="Y692" s="127" t="str">
        <f t="shared" si="5"/>
        <v/>
      </c>
    </row>
    <row r="693">
      <c r="A693" s="127"/>
      <c r="B693" s="127" t="str">
        <f>IF(A693="","",VLOOKUP(A693,'BASE OS'!$A$2:$I1000,2,FALSE))</f>
        <v/>
      </c>
      <c r="C693" s="132"/>
      <c r="D693" s="127"/>
      <c r="E693" s="127"/>
      <c r="F693" s="127"/>
      <c r="G693" s="127"/>
      <c r="H693" s="130"/>
      <c r="I693" s="130"/>
      <c r="J693" s="130">
        <f t="shared" si="1"/>
        <v>0</v>
      </c>
      <c r="K693" s="130"/>
      <c r="L693" s="130"/>
      <c r="M693" s="130">
        <f t="shared" si="2"/>
        <v>0</v>
      </c>
      <c r="N693" s="130"/>
      <c r="O693" s="130"/>
      <c r="P693" s="127"/>
      <c r="Q693" s="127"/>
      <c r="R693" s="127"/>
      <c r="S693" s="127"/>
      <c r="T693" s="127" t="str">
        <f>IF(A693="","",VLOOKUP(A693,'BASE OS'!$A$2:$I1000,4,FALSE))</f>
        <v/>
      </c>
      <c r="U693" s="127"/>
      <c r="V693" s="127"/>
      <c r="W693" s="127" t="str">
        <f t="shared" si="3"/>
        <v/>
      </c>
      <c r="X693" s="127" t="str">
        <f t="shared" si="4"/>
        <v/>
      </c>
      <c r="Y693" s="127" t="str">
        <f t="shared" si="5"/>
        <v/>
      </c>
    </row>
    <row r="694">
      <c r="A694" s="127"/>
      <c r="B694" s="127" t="str">
        <f>IF(A694="","",VLOOKUP(A694,'BASE OS'!$A$2:$I1000,2,FALSE))</f>
        <v/>
      </c>
      <c r="C694" s="132"/>
      <c r="D694" s="127"/>
      <c r="E694" s="127"/>
      <c r="F694" s="127"/>
      <c r="G694" s="127"/>
      <c r="H694" s="130"/>
      <c r="I694" s="130"/>
      <c r="J694" s="130">
        <f t="shared" si="1"/>
        <v>0</v>
      </c>
      <c r="K694" s="130"/>
      <c r="L694" s="130"/>
      <c r="M694" s="130">
        <f t="shared" si="2"/>
        <v>0</v>
      </c>
      <c r="N694" s="130"/>
      <c r="O694" s="130"/>
      <c r="P694" s="127"/>
      <c r="Q694" s="127"/>
      <c r="R694" s="127"/>
      <c r="S694" s="127"/>
      <c r="T694" s="127" t="str">
        <f>IF(A694="","",VLOOKUP(A694,'BASE OS'!$A$2:$I1000,4,FALSE))</f>
        <v/>
      </c>
      <c r="U694" s="127"/>
      <c r="V694" s="127"/>
      <c r="W694" s="127" t="str">
        <f t="shared" si="3"/>
        <v/>
      </c>
      <c r="X694" s="127" t="str">
        <f t="shared" si="4"/>
        <v/>
      </c>
      <c r="Y694" s="127" t="str">
        <f t="shared" si="5"/>
        <v/>
      </c>
    </row>
    <row r="695">
      <c r="A695" s="127"/>
      <c r="B695" s="127" t="str">
        <f>IF(A695="","",VLOOKUP(A695,'BASE OS'!$A$2:$I1000,2,FALSE))</f>
        <v/>
      </c>
      <c r="C695" s="132"/>
      <c r="D695" s="127"/>
      <c r="E695" s="127"/>
      <c r="F695" s="127"/>
      <c r="G695" s="127"/>
      <c r="H695" s="130"/>
      <c r="I695" s="130"/>
      <c r="J695" s="130">
        <f t="shared" si="1"/>
        <v>0</v>
      </c>
      <c r="K695" s="130"/>
      <c r="L695" s="130"/>
      <c r="M695" s="130">
        <f t="shared" si="2"/>
        <v>0</v>
      </c>
      <c r="N695" s="130"/>
      <c r="O695" s="130"/>
      <c r="P695" s="127"/>
      <c r="Q695" s="127"/>
      <c r="R695" s="127"/>
      <c r="S695" s="127"/>
      <c r="T695" s="127" t="str">
        <f>IF(A695="","",VLOOKUP(A695,'BASE OS'!$A$2:$I1000,4,FALSE))</f>
        <v/>
      </c>
      <c r="U695" s="127"/>
      <c r="V695" s="127"/>
      <c r="W695" s="127" t="str">
        <f t="shared" si="3"/>
        <v/>
      </c>
      <c r="X695" s="127" t="str">
        <f t="shared" si="4"/>
        <v/>
      </c>
      <c r="Y695" s="127" t="str">
        <f t="shared" si="5"/>
        <v/>
      </c>
    </row>
    <row r="696">
      <c r="A696" s="127"/>
      <c r="B696" s="127" t="str">
        <f>IF(A696="","",VLOOKUP(A696,'BASE OS'!$A$2:$I1000,2,FALSE))</f>
        <v/>
      </c>
      <c r="C696" s="132"/>
      <c r="D696" s="127"/>
      <c r="E696" s="127"/>
      <c r="F696" s="127"/>
      <c r="G696" s="127"/>
      <c r="H696" s="130"/>
      <c r="I696" s="130"/>
      <c r="J696" s="130">
        <f t="shared" si="1"/>
        <v>0</v>
      </c>
      <c r="K696" s="130"/>
      <c r="L696" s="130"/>
      <c r="M696" s="130">
        <f t="shared" si="2"/>
        <v>0</v>
      </c>
      <c r="N696" s="130"/>
      <c r="O696" s="130"/>
      <c r="P696" s="127"/>
      <c r="Q696" s="127"/>
      <c r="R696" s="127"/>
      <c r="S696" s="127"/>
      <c r="T696" s="127" t="str">
        <f>IF(A696="","",VLOOKUP(A696,'BASE OS'!$A$2:$I1000,4,FALSE))</f>
        <v/>
      </c>
      <c r="U696" s="127"/>
      <c r="V696" s="127"/>
      <c r="W696" s="127" t="str">
        <f t="shared" si="3"/>
        <v/>
      </c>
      <c r="X696" s="127" t="str">
        <f t="shared" si="4"/>
        <v/>
      </c>
      <c r="Y696" s="127" t="str">
        <f t="shared" si="5"/>
        <v/>
      </c>
    </row>
    <row r="697">
      <c r="A697" s="127"/>
      <c r="B697" s="127" t="str">
        <f>IF(A697="","",VLOOKUP(A697,'BASE OS'!$A$2:$I1000,2,FALSE))</f>
        <v/>
      </c>
      <c r="C697" s="132"/>
      <c r="D697" s="127"/>
      <c r="E697" s="127"/>
      <c r="F697" s="127"/>
      <c r="G697" s="127"/>
      <c r="H697" s="130"/>
      <c r="I697" s="130"/>
      <c r="J697" s="130">
        <f t="shared" si="1"/>
        <v>0</v>
      </c>
      <c r="K697" s="130"/>
      <c r="L697" s="130"/>
      <c r="M697" s="130">
        <f t="shared" si="2"/>
        <v>0</v>
      </c>
      <c r="N697" s="130"/>
      <c r="O697" s="130"/>
      <c r="P697" s="127"/>
      <c r="Q697" s="127"/>
      <c r="R697" s="127"/>
      <c r="S697" s="127"/>
      <c r="T697" s="127" t="str">
        <f>IF(A697="","",VLOOKUP(A697,'BASE OS'!$A$2:$I1000,4,FALSE))</f>
        <v/>
      </c>
      <c r="U697" s="127"/>
      <c r="V697" s="127"/>
      <c r="W697" s="127" t="str">
        <f t="shared" si="3"/>
        <v/>
      </c>
      <c r="X697" s="127" t="str">
        <f t="shared" si="4"/>
        <v/>
      </c>
      <c r="Y697" s="127" t="str">
        <f t="shared" si="5"/>
        <v/>
      </c>
    </row>
    <row r="698">
      <c r="A698" s="127"/>
      <c r="B698" s="127" t="str">
        <f>IF(A698="","",VLOOKUP(A698,'BASE OS'!$A$2:$I1000,2,FALSE))</f>
        <v/>
      </c>
      <c r="C698" s="132"/>
      <c r="D698" s="127"/>
      <c r="E698" s="127"/>
      <c r="F698" s="127"/>
      <c r="G698" s="127"/>
      <c r="H698" s="130"/>
      <c r="I698" s="130"/>
      <c r="J698" s="130">
        <f t="shared" si="1"/>
        <v>0</v>
      </c>
      <c r="K698" s="130"/>
      <c r="L698" s="130"/>
      <c r="M698" s="130">
        <f t="shared" si="2"/>
        <v>0</v>
      </c>
      <c r="N698" s="130"/>
      <c r="O698" s="130"/>
      <c r="P698" s="127"/>
      <c r="Q698" s="127"/>
      <c r="R698" s="127"/>
      <c r="S698" s="127"/>
      <c r="T698" s="127" t="str">
        <f>IF(A698="","",VLOOKUP(A698,'BASE OS'!$A$2:$I1000,4,FALSE))</f>
        <v/>
      </c>
      <c r="U698" s="127"/>
      <c r="V698" s="127"/>
      <c r="W698" s="127" t="str">
        <f t="shared" si="3"/>
        <v/>
      </c>
      <c r="X698" s="127" t="str">
        <f t="shared" si="4"/>
        <v/>
      </c>
      <c r="Y698" s="127" t="str">
        <f t="shared" si="5"/>
        <v/>
      </c>
    </row>
    <row r="699">
      <c r="A699" s="127"/>
      <c r="B699" s="127" t="str">
        <f>IF(A699="","",VLOOKUP(A699,'BASE OS'!$A$2:$I1000,2,FALSE))</f>
        <v/>
      </c>
      <c r="C699" s="132"/>
      <c r="D699" s="127"/>
      <c r="E699" s="127"/>
      <c r="F699" s="127"/>
      <c r="G699" s="127"/>
      <c r="H699" s="130"/>
      <c r="I699" s="130"/>
      <c r="J699" s="130">
        <f t="shared" si="1"/>
        <v>0</v>
      </c>
      <c r="K699" s="130"/>
      <c r="L699" s="130"/>
      <c r="M699" s="130">
        <f t="shared" si="2"/>
        <v>0</v>
      </c>
      <c r="N699" s="130"/>
      <c r="O699" s="130"/>
      <c r="P699" s="127"/>
      <c r="Q699" s="127"/>
      <c r="R699" s="127"/>
      <c r="S699" s="127"/>
      <c r="T699" s="127" t="str">
        <f>IF(A699="","",VLOOKUP(A699,'BASE OS'!$A$2:$I1000,4,FALSE))</f>
        <v/>
      </c>
      <c r="U699" s="127"/>
      <c r="V699" s="127"/>
      <c r="W699" s="127" t="str">
        <f t="shared" si="3"/>
        <v/>
      </c>
      <c r="X699" s="127" t="str">
        <f t="shared" si="4"/>
        <v/>
      </c>
      <c r="Y699" s="127" t="str">
        <f t="shared" si="5"/>
        <v/>
      </c>
    </row>
    <row r="700">
      <c r="A700" s="127"/>
      <c r="B700" s="127" t="str">
        <f>IF(A700="","",VLOOKUP(A700,'BASE OS'!$A$2:$I1000,2,FALSE))</f>
        <v/>
      </c>
      <c r="C700" s="132"/>
      <c r="D700" s="127"/>
      <c r="E700" s="127"/>
      <c r="F700" s="127"/>
      <c r="G700" s="127"/>
      <c r="H700" s="130"/>
      <c r="I700" s="130"/>
      <c r="J700" s="130">
        <f t="shared" si="1"/>
        <v>0</v>
      </c>
      <c r="K700" s="130"/>
      <c r="L700" s="130"/>
      <c r="M700" s="130">
        <f t="shared" si="2"/>
        <v>0</v>
      </c>
      <c r="N700" s="130"/>
      <c r="O700" s="130"/>
      <c r="P700" s="127"/>
      <c r="Q700" s="127"/>
      <c r="R700" s="127"/>
      <c r="S700" s="127"/>
      <c r="T700" s="127" t="str">
        <f>IF(A700="","",VLOOKUP(A700,'BASE OS'!$A$2:$I1000,4,FALSE))</f>
        <v/>
      </c>
      <c r="U700" s="127"/>
      <c r="V700" s="127"/>
      <c r="W700" s="127" t="str">
        <f t="shared" si="3"/>
        <v/>
      </c>
      <c r="X700" s="127" t="str">
        <f t="shared" si="4"/>
        <v/>
      </c>
      <c r="Y700" s="127" t="str">
        <f t="shared" si="5"/>
        <v/>
      </c>
    </row>
    <row r="701">
      <c r="A701" s="127"/>
      <c r="B701" s="127" t="str">
        <f>IF(A701="","",VLOOKUP(A701,'BASE OS'!$A$2:$I1000,2,FALSE))</f>
        <v/>
      </c>
      <c r="C701" s="132"/>
      <c r="D701" s="127"/>
      <c r="E701" s="127"/>
      <c r="F701" s="127"/>
      <c r="G701" s="127"/>
      <c r="H701" s="130"/>
      <c r="I701" s="130"/>
      <c r="J701" s="130">
        <f t="shared" si="1"/>
        <v>0</v>
      </c>
      <c r="K701" s="130"/>
      <c r="L701" s="130"/>
      <c r="M701" s="130">
        <f t="shared" si="2"/>
        <v>0</v>
      </c>
      <c r="N701" s="130"/>
      <c r="O701" s="130"/>
      <c r="P701" s="127"/>
      <c r="Q701" s="127"/>
      <c r="R701" s="127"/>
      <c r="S701" s="127"/>
      <c r="T701" s="127" t="str">
        <f>IF(A701="","",VLOOKUP(A701,'BASE OS'!$A$2:$I1000,4,FALSE))</f>
        <v/>
      </c>
      <c r="U701" s="127"/>
      <c r="V701" s="127"/>
      <c r="W701" s="127" t="str">
        <f t="shared" si="3"/>
        <v/>
      </c>
      <c r="X701" s="127" t="str">
        <f t="shared" si="4"/>
        <v/>
      </c>
      <c r="Y701" s="127" t="str">
        <f t="shared" si="5"/>
        <v/>
      </c>
    </row>
    <row r="702">
      <c r="A702" s="127"/>
      <c r="B702" s="127" t="str">
        <f>IF(A702="","",VLOOKUP(A702,'BASE OS'!$A$2:$I1000,2,FALSE))</f>
        <v/>
      </c>
      <c r="C702" s="132"/>
      <c r="D702" s="127"/>
      <c r="E702" s="127"/>
      <c r="F702" s="127"/>
      <c r="G702" s="127"/>
      <c r="H702" s="130"/>
      <c r="I702" s="130"/>
      <c r="J702" s="130">
        <f t="shared" si="1"/>
        <v>0</v>
      </c>
      <c r="K702" s="130"/>
      <c r="L702" s="130"/>
      <c r="M702" s="130">
        <f t="shared" si="2"/>
        <v>0</v>
      </c>
      <c r="N702" s="130"/>
      <c r="O702" s="130"/>
      <c r="P702" s="127"/>
      <c r="Q702" s="127"/>
      <c r="R702" s="127"/>
      <c r="S702" s="127"/>
      <c r="T702" s="127" t="str">
        <f>IF(A702="","",VLOOKUP(A702,'BASE OS'!$A$2:$I1000,4,FALSE))</f>
        <v/>
      </c>
      <c r="U702" s="127"/>
      <c r="V702" s="127"/>
      <c r="W702" s="127" t="str">
        <f t="shared" si="3"/>
        <v/>
      </c>
      <c r="X702" s="127" t="str">
        <f t="shared" si="4"/>
        <v/>
      </c>
      <c r="Y702" s="127" t="str">
        <f t="shared" si="5"/>
        <v/>
      </c>
    </row>
    <row r="703">
      <c r="A703" s="127"/>
      <c r="B703" s="127" t="str">
        <f>IF(A703="","",VLOOKUP(A703,'BASE OS'!$A$2:$I1000,2,FALSE))</f>
        <v/>
      </c>
      <c r="C703" s="132"/>
      <c r="D703" s="127"/>
      <c r="E703" s="127"/>
      <c r="F703" s="127"/>
      <c r="G703" s="127"/>
      <c r="H703" s="130"/>
      <c r="I703" s="130"/>
      <c r="J703" s="130">
        <f t="shared" si="1"/>
        <v>0</v>
      </c>
      <c r="K703" s="130"/>
      <c r="L703" s="130"/>
      <c r="M703" s="130">
        <f t="shared" si="2"/>
        <v>0</v>
      </c>
      <c r="N703" s="130"/>
      <c r="O703" s="130"/>
      <c r="P703" s="127"/>
      <c r="Q703" s="127"/>
      <c r="R703" s="127"/>
      <c r="S703" s="127"/>
      <c r="T703" s="127" t="str">
        <f>IF(A703="","",VLOOKUP(A703,'BASE OS'!$A$2:$I1000,4,FALSE))</f>
        <v/>
      </c>
      <c r="U703" s="127"/>
      <c r="V703" s="127"/>
      <c r="W703" s="127" t="str">
        <f t="shared" si="3"/>
        <v/>
      </c>
      <c r="X703" s="127" t="str">
        <f t="shared" si="4"/>
        <v/>
      </c>
      <c r="Y703" s="127" t="str">
        <f t="shared" si="5"/>
        <v/>
      </c>
    </row>
    <row r="704">
      <c r="A704" s="127"/>
      <c r="B704" s="127" t="str">
        <f>IF(A704="","",VLOOKUP(A704,'BASE OS'!$A$2:$I1000,2,FALSE))</f>
        <v/>
      </c>
      <c r="C704" s="132"/>
      <c r="D704" s="127"/>
      <c r="E704" s="127"/>
      <c r="F704" s="127"/>
      <c r="G704" s="127"/>
      <c r="H704" s="130"/>
      <c r="I704" s="130"/>
      <c r="J704" s="130">
        <f t="shared" si="1"/>
        <v>0</v>
      </c>
      <c r="K704" s="130"/>
      <c r="L704" s="130"/>
      <c r="M704" s="130">
        <f t="shared" si="2"/>
        <v>0</v>
      </c>
      <c r="N704" s="130"/>
      <c r="O704" s="130"/>
      <c r="P704" s="127"/>
      <c r="Q704" s="127"/>
      <c r="R704" s="127"/>
      <c r="S704" s="127"/>
      <c r="T704" s="127" t="str">
        <f>IF(A704="","",VLOOKUP(A704,'BASE OS'!$A$2:$I1000,4,FALSE))</f>
        <v/>
      </c>
      <c r="U704" s="127"/>
      <c r="V704" s="127"/>
      <c r="W704" s="127" t="str">
        <f t="shared" si="3"/>
        <v/>
      </c>
      <c r="X704" s="127" t="str">
        <f t="shared" si="4"/>
        <v/>
      </c>
      <c r="Y704" s="127" t="str">
        <f t="shared" si="5"/>
        <v/>
      </c>
    </row>
    <row r="705">
      <c r="A705" s="127"/>
      <c r="B705" s="127" t="str">
        <f>IF(A705="","",VLOOKUP(A705,'BASE OS'!$A$2:$I1000,2,FALSE))</f>
        <v/>
      </c>
      <c r="C705" s="132"/>
      <c r="D705" s="127"/>
      <c r="E705" s="127"/>
      <c r="F705" s="127"/>
      <c r="G705" s="127"/>
      <c r="H705" s="130"/>
      <c r="I705" s="130"/>
      <c r="J705" s="130">
        <f t="shared" si="1"/>
        <v>0</v>
      </c>
      <c r="K705" s="130"/>
      <c r="L705" s="130"/>
      <c r="M705" s="130">
        <f t="shared" si="2"/>
        <v>0</v>
      </c>
      <c r="N705" s="130"/>
      <c r="O705" s="130"/>
      <c r="P705" s="127"/>
      <c r="Q705" s="127"/>
      <c r="R705" s="127"/>
      <c r="S705" s="127"/>
      <c r="T705" s="127" t="str">
        <f>IF(A705="","",VLOOKUP(A705,'BASE OS'!$A$2:$I1000,4,FALSE))</f>
        <v/>
      </c>
      <c r="U705" s="127"/>
      <c r="V705" s="127"/>
      <c r="W705" s="127" t="str">
        <f t="shared" si="3"/>
        <v/>
      </c>
      <c r="X705" s="127" t="str">
        <f t="shared" si="4"/>
        <v/>
      </c>
      <c r="Y705" s="127" t="str">
        <f t="shared" si="5"/>
        <v/>
      </c>
    </row>
    <row r="706">
      <c r="A706" s="127"/>
      <c r="B706" s="127" t="str">
        <f>IF(A706="","",VLOOKUP(A706,'BASE OS'!$A$2:$I1000,2,FALSE))</f>
        <v/>
      </c>
      <c r="C706" s="132"/>
      <c r="D706" s="127"/>
      <c r="E706" s="127"/>
      <c r="F706" s="127"/>
      <c r="G706" s="127"/>
      <c r="H706" s="130"/>
      <c r="I706" s="130"/>
      <c r="J706" s="130">
        <f t="shared" si="1"/>
        <v>0</v>
      </c>
      <c r="K706" s="130"/>
      <c r="L706" s="130"/>
      <c r="M706" s="130">
        <f t="shared" si="2"/>
        <v>0</v>
      </c>
      <c r="N706" s="130"/>
      <c r="O706" s="130"/>
      <c r="P706" s="127"/>
      <c r="Q706" s="127"/>
      <c r="R706" s="127"/>
      <c r="S706" s="127"/>
      <c r="T706" s="127" t="str">
        <f>IF(A706="","",VLOOKUP(A706,'BASE OS'!$A$2:$I1000,4,FALSE))</f>
        <v/>
      </c>
      <c r="U706" s="127"/>
      <c r="V706" s="127"/>
      <c r="W706" s="127" t="str">
        <f t="shared" si="3"/>
        <v/>
      </c>
      <c r="X706" s="127" t="str">
        <f t="shared" si="4"/>
        <v/>
      </c>
      <c r="Y706" s="127" t="str">
        <f t="shared" si="5"/>
        <v/>
      </c>
    </row>
    <row r="707">
      <c r="A707" s="127"/>
      <c r="B707" s="127" t="str">
        <f>IF(A707="","",VLOOKUP(A707,'BASE OS'!$A$2:$I1000,2,FALSE))</f>
        <v/>
      </c>
      <c r="C707" s="132"/>
      <c r="D707" s="127"/>
      <c r="E707" s="127"/>
      <c r="F707" s="127"/>
      <c r="G707" s="127"/>
      <c r="H707" s="130"/>
      <c r="I707" s="130"/>
      <c r="J707" s="130">
        <f t="shared" si="1"/>
        <v>0</v>
      </c>
      <c r="K707" s="130"/>
      <c r="L707" s="130"/>
      <c r="M707" s="130">
        <f t="shared" si="2"/>
        <v>0</v>
      </c>
      <c r="N707" s="130"/>
      <c r="O707" s="130"/>
      <c r="P707" s="127"/>
      <c r="Q707" s="127"/>
      <c r="R707" s="127"/>
      <c r="S707" s="127"/>
      <c r="T707" s="127" t="str">
        <f>IF(A707="","",VLOOKUP(A707,'BASE OS'!$A$2:$I1000,4,FALSE))</f>
        <v/>
      </c>
      <c r="U707" s="127"/>
      <c r="V707" s="127"/>
      <c r="W707" s="127" t="str">
        <f t="shared" si="3"/>
        <v/>
      </c>
      <c r="X707" s="127" t="str">
        <f t="shared" si="4"/>
        <v/>
      </c>
      <c r="Y707" s="127" t="str">
        <f t="shared" si="5"/>
        <v/>
      </c>
    </row>
    <row r="708">
      <c r="A708" s="127"/>
      <c r="B708" s="127" t="str">
        <f>IF(A708="","",VLOOKUP(A708,'BASE OS'!$A$2:$I1000,2,FALSE))</f>
        <v/>
      </c>
      <c r="C708" s="132"/>
      <c r="D708" s="127"/>
      <c r="E708" s="127"/>
      <c r="F708" s="127"/>
      <c r="G708" s="127"/>
      <c r="H708" s="130"/>
      <c r="I708" s="130"/>
      <c r="J708" s="130">
        <f t="shared" si="1"/>
        <v>0</v>
      </c>
      <c r="K708" s="130"/>
      <c r="L708" s="130"/>
      <c r="M708" s="130">
        <f t="shared" si="2"/>
        <v>0</v>
      </c>
      <c r="N708" s="130"/>
      <c r="O708" s="130"/>
      <c r="P708" s="127"/>
      <c r="Q708" s="127"/>
      <c r="R708" s="127"/>
      <c r="S708" s="127"/>
      <c r="T708" s="127" t="str">
        <f>IF(A708="","",VLOOKUP(A708,'BASE OS'!$A$2:$I1000,4,FALSE))</f>
        <v/>
      </c>
      <c r="U708" s="127"/>
      <c r="V708" s="127"/>
      <c r="W708" s="127" t="str">
        <f t="shared" si="3"/>
        <v/>
      </c>
      <c r="X708" s="127" t="str">
        <f t="shared" si="4"/>
        <v/>
      </c>
      <c r="Y708" s="127" t="str">
        <f t="shared" si="5"/>
        <v/>
      </c>
    </row>
    <row r="709">
      <c r="A709" s="127"/>
      <c r="B709" s="127" t="str">
        <f>IF(A709="","",VLOOKUP(A709,'BASE OS'!$A$2:$I1000,2,FALSE))</f>
        <v/>
      </c>
      <c r="C709" s="132"/>
      <c r="D709" s="127"/>
      <c r="E709" s="127"/>
      <c r="F709" s="127"/>
      <c r="G709" s="127"/>
      <c r="H709" s="130"/>
      <c r="I709" s="130"/>
      <c r="J709" s="130">
        <f t="shared" si="1"/>
        <v>0</v>
      </c>
      <c r="K709" s="130"/>
      <c r="L709" s="130"/>
      <c r="M709" s="130">
        <f t="shared" si="2"/>
        <v>0</v>
      </c>
      <c r="N709" s="130"/>
      <c r="O709" s="130"/>
      <c r="P709" s="127"/>
      <c r="Q709" s="127"/>
      <c r="R709" s="127"/>
      <c r="S709" s="127"/>
      <c r="T709" s="127" t="str">
        <f>IF(A709="","",VLOOKUP(A709,'BASE OS'!$A$2:$I1000,4,FALSE))</f>
        <v/>
      </c>
      <c r="U709" s="127"/>
      <c r="V709" s="127"/>
      <c r="W709" s="127" t="str">
        <f t="shared" si="3"/>
        <v/>
      </c>
      <c r="X709" s="127" t="str">
        <f t="shared" si="4"/>
        <v/>
      </c>
      <c r="Y709" s="127" t="str">
        <f t="shared" si="5"/>
        <v/>
      </c>
    </row>
    <row r="710">
      <c r="A710" s="127"/>
      <c r="B710" s="127" t="str">
        <f>IF(A710="","",VLOOKUP(A710,'BASE OS'!$A$2:$I1000,2,FALSE))</f>
        <v/>
      </c>
      <c r="C710" s="132"/>
      <c r="D710" s="127"/>
      <c r="E710" s="127"/>
      <c r="F710" s="127"/>
      <c r="G710" s="127"/>
      <c r="H710" s="130"/>
      <c r="I710" s="130"/>
      <c r="J710" s="130">
        <f t="shared" si="1"/>
        <v>0</v>
      </c>
      <c r="K710" s="130"/>
      <c r="L710" s="130"/>
      <c r="M710" s="130">
        <f t="shared" si="2"/>
        <v>0</v>
      </c>
      <c r="N710" s="130"/>
      <c r="O710" s="130"/>
      <c r="P710" s="127"/>
      <c r="Q710" s="127"/>
      <c r="R710" s="127"/>
      <c r="S710" s="127"/>
      <c r="T710" s="127" t="str">
        <f>IF(A710="","",VLOOKUP(A710,'BASE OS'!$A$2:$I1000,4,FALSE))</f>
        <v/>
      </c>
      <c r="U710" s="127"/>
      <c r="V710" s="127"/>
      <c r="W710" s="127" t="str">
        <f t="shared" si="3"/>
        <v/>
      </c>
      <c r="X710" s="127" t="str">
        <f t="shared" si="4"/>
        <v/>
      </c>
      <c r="Y710" s="127" t="str">
        <f t="shared" si="5"/>
        <v/>
      </c>
    </row>
    <row r="711">
      <c r="A711" s="127"/>
      <c r="B711" s="127" t="str">
        <f>IF(A711="","",VLOOKUP(A711,'BASE OS'!$A$2:$I1000,2,FALSE))</f>
        <v/>
      </c>
      <c r="C711" s="132"/>
      <c r="D711" s="127"/>
      <c r="E711" s="127"/>
      <c r="F711" s="127"/>
      <c r="G711" s="127"/>
      <c r="H711" s="130"/>
      <c r="I711" s="130"/>
      <c r="J711" s="130">
        <f t="shared" si="1"/>
        <v>0</v>
      </c>
      <c r="K711" s="130"/>
      <c r="L711" s="130"/>
      <c r="M711" s="130">
        <f t="shared" si="2"/>
        <v>0</v>
      </c>
      <c r="N711" s="130"/>
      <c r="O711" s="130"/>
      <c r="P711" s="127"/>
      <c r="Q711" s="127"/>
      <c r="R711" s="127"/>
      <c r="S711" s="127"/>
      <c r="T711" s="127" t="str">
        <f>IF(A711="","",VLOOKUP(A711,'BASE OS'!$A$2:$I1000,4,FALSE))</f>
        <v/>
      </c>
      <c r="U711" s="127"/>
      <c r="V711" s="127"/>
      <c r="W711" s="127" t="str">
        <f t="shared" si="3"/>
        <v/>
      </c>
      <c r="X711" s="127" t="str">
        <f t="shared" si="4"/>
        <v/>
      </c>
      <c r="Y711" s="127" t="str">
        <f t="shared" si="5"/>
        <v/>
      </c>
    </row>
    <row r="712">
      <c r="A712" s="127"/>
      <c r="B712" s="127" t="str">
        <f>IF(A712="","",VLOOKUP(A712,'BASE OS'!$A$2:$I1000,2,FALSE))</f>
        <v/>
      </c>
      <c r="C712" s="132"/>
      <c r="D712" s="127"/>
      <c r="E712" s="127"/>
      <c r="F712" s="127"/>
      <c r="G712" s="127"/>
      <c r="H712" s="130"/>
      <c r="I712" s="130"/>
      <c r="J712" s="130">
        <f t="shared" si="1"/>
        <v>0</v>
      </c>
      <c r="K712" s="130"/>
      <c r="L712" s="130"/>
      <c r="M712" s="130">
        <f t="shared" si="2"/>
        <v>0</v>
      </c>
      <c r="N712" s="130"/>
      <c r="O712" s="130"/>
      <c r="P712" s="127"/>
      <c r="Q712" s="127"/>
      <c r="R712" s="127"/>
      <c r="S712" s="127"/>
      <c r="T712" s="127" t="str">
        <f>IF(A712="","",VLOOKUP(A712,'BASE OS'!$A$2:$I1000,4,FALSE))</f>
        <v/>
      </c>
      <c r="U712" s="127"/>
      <c r="V712" s="127"/>
      <c r="W712" s="127" t="str">
        <f t="shared" si="3"/>
        <v/>
      </c>
      <c r="X712" s="127" t="str">
        <f t="shared" si="4"/>
        <v/>
      </c>
      <c r="Y712" s="127" t="str">
        <f t="shared" si="5"/>
        <v/>
      </c>
    </row>
    <row r="713">
      <c r="A713" s="127"/>
      <c r="B713" s="127" t="str">
        <f>IF(A713="","",VLOOKUP(A713,'BASE OS'!$A$2:$I1000,2,FALSE))</f>
        <v/>
      </c>
      <c r="C713" s="132"/>
      <c r="D713" s="127"/>
      <c r="E713" s="127"/>
      <c r="F713" s="127"/>
      <c r="G713" s="127"/>
      <c r="H713" s="130"/>
      <c r="I713" s="130"/>
      <c r="J713" s="130">
        <f t="shared" si="1"/>
        <v>0</v>
      </c>
      <c r="K713" s="130"/>
      <c r="L713" s="130"/>
      <c r="M713" s="130">
        <f t="shared" si="2"/>
        <v>0</v>
      </c>
      <c r="N713" s="130"/>
      <c r="O713" s="130"/>
      <c r="P713" s="127"/>
      <c r="Q713" s="127"/>
      <c r="R713" s="127"/>
      <c r="S713" s="127"/>
      <c r="T713" s="127" t="str">
        <f>IF(A713="","",VLOOKUP(A713,'BASE OS'!$A$2:$I1000,4,FALSE))</f>
        <v/>
      </c>
      <c r="U713" s="127"/>
      <c r="V713" s="127"/>
      <c r="W713" s="127" t="str">
        <f t="shared" si="3"/>
        <v/>
      </c>
      <c r="X713" s="127" t="str">
        <f t="shared" si="4"/>
        <v/>
      </c>
      <c r="Y713" s="127" t="str">
        <f t="shared" si="5"/>
        <v/>
      </c>
    </row>
    <row r="714">
      <c r="A714" s="127"/>
      <c r="B714" s="127" t="str">
        <f>IF(A714="","",VLOOKUP(A714,'BASE OS'!$A$2:$I1000,2,FALSE))</f>
        <v/>
      </c>
      <c r="C714" s="132"/>
      <c r="D714" s="127"/>
      <c r="E714" s="127"/>
      <c r="F714" s="127"/>
      <c r="G714" s="127"/>
      <c r="H714" s="130"/>
      <c r="I714" s="130"/>
      <c r="J714" s="130">
        <f t="shared" si="1"/>
        <v>0</v>
      </c>
      <c r="K714" s="130"/>
      <c r="L714" s="130"/>
      <c r="M714" s="130">
        <f t="shared" si="2"/>
        <v>0</v>
      </c>
      <c r="N714" s="130"/>
      <c r="O714" s="130"/>
      <c r="P714" s="127"/>
      <c r="Q714" s="127"/>
      <c r="R714" s="127"/>
      <c r="S714" s="127"/>
      <c r="T714" s="127" t="str">
        <f>IF(A714="","",VLOOKUP(A714,'BASE OS'!$A$2:$I1000,4,FALSE))</f>
        <v/>
      </c>
      <c r="U714" s="127"/>
      <c r="V714" s="127"/>
      <c r="W714" s="127" t="str">
        <f t="shared" si="3"/>
        <v/>
      </c>
      <c r="X714" s="127" t="str">
        <f t="shared" si="4"/>
        <v/>
      </c>
      <c r="Y714" s="127" t="str">
        <f t="shared" si="5"/>
        <v/>
      </c>
    </row>
    <row r="715">
      <c r="A715" s="127"/>
      <c r="B715" s="127" t="str">
        <f>IF(A715="","",VLOOKUP(A715,'BASE OS'!$A$2:$I1000,2,FALSE))</f>
        <v/>
      </c>
      <c r="C715" s="132"/>
      <c r="D715" s="127"/>
      <c r="E715" s="127"/>
      <c r="F715" s="127"/>
      <c r="G715" s="127"/>
      <c r="H715" s="130"/>
      <c r="I715" s="130"/>
      <c r="J715" s="130">
        <f t="shared" si="1"/>
        <v>0</v>
      </c>
      <c r="K715" s="130"/>
      <c r="L715" s="130"/>
      <c r="M715" s="130">
        <f t="shared" si="2"/>
        <v>0</v>
      </c>
      <c r="N715" s="130"/>
      <c r="O715" s="130"/>
      <c r="P715" s="127"/>
      <c r="Q715" s="127"/>
      <c r="R715" s="127"/>
      <c r="S715" s="127"/>
      <c r="T715" s="127" t="str">
        <f>IF(A715="","",VLOOKUP(A715,'BASE OS'!$A$2:$I1000,4,FALSE))</f>
        <v/>
      </c>
      <c r="U715" s="127"/>
      <c r="V715" s="127"/>
      <c r="W715" s="127" t="str">
        <f t="shared" si="3"/>
        <v/>
      </c>
      <c r="X715" s="127" t="str">
        <f t="shared" si="4"/>
        <v/>
      </c>
      <c r="Y715" s="127" t="str">
        <f t="shared" si="5"/>
        <v/>
      </c>
    </row>
    <row r="716">
      <c r="A716" s="127"/>
      <c r="B716" s="127" t="str">
        <f>IF(A716="","",VLOOKUP(A716,'BASE OS'!$A$2:$I1000,2,FALSE))</f>
        <v/>
      </c>
      <c r="C716" s="132"/>
      <c r="D716" s="127"/>
      <c r="E716" s="127"/>
      <c r="F716" s="127"/>
      <c r="G716" s="127"/>
      <c r="H716" s="130"/>
      <c r="I716" s="130"/>
      <c r="J716" s="130">
        <f t="shared" si="1"/>
        <v>0</v>
      </c>
      <c r="K716" s="130"/>
      <c r="L716" s="130"/>
      <c r="M716" s="130">
        <f t="shared" si="2"/>
        <v>0</v>
      </c>
      <c r="N716" s="130"/>
      <c r="O716" s="130"/>
      <c r="P716" s="127"/>
      <c r="Q716" s="127"/>
      <c r="R716" s="127"/>
      <c r="S716" s="127"/>
      <c r="T716" s="127" t="str">
        <f>IF(A716="","",VLOOKUP(A716,'BASE OS'!$A$2:$I1000,4,FALSE))</f>
        <v/>
      </c>
      <c r="U716" s="127"/>
      <c r="V716" s="127"/>
      <c r="W716" s="127" t="str">
        <f t="shared" si="3"/>
        <v/>
      </c>
      <c r="X716" s="127" t="str">
        <f t="shared" si="4"/>
        <v/>
      </c>
      <c r="Y716" s="127" t="str">
        <f t="shared" si="5"/>
        <v/>
      </c>
    </row>
    <row r="717">
      <c r="A717" s="127"/>
      <c r="B717" s="127" t="str">
        <f>IF(A717="","",VLOOKUP(A717,'BASE OS'!$A$2:$I1000,2,FALSE))</f>
        <v/>
      </c>
      <c r="C717" s="132"/>
      <c r="D717" s="127"/>
      <c r="E717" s="127"/>
      <c r="F717" s="127"/>
      <c r="G717" s="127"/>
      <c r="H717" s="130"/>
      <c r="I717" s="130"/>
      <c r="J717" s="130">
        <f t="shared" si="1"/>
        <v>0</v>
      </c>
      <c r="K717" s="130"/>
      <c r="L717" s="130"/>
      <c r="M717" s="130">
        <f t="shared" si="2"/>
        <v>0</v>
      </c>
      <c r="N717" s="130"/>
      <c r="O717" s="130"/>
      <c r="P717" s="127"/>
      <c r="Q717" s="127"/>
      <c r="R717" s="127"/>
      <c r="S717" s="127"/>
      <c r="T717" s="127" t="str">
        <f>IF(A717="","",VLOOKUP(A717,'BASE OS'!$A$2:$I1000,4,FALSE))</f>
        <v/>
      </c>
      <c r="U717" s="127"/>
      <c r="V717" s="127"/>
      <c r="W717" s="127" t="str">
        <f t="shared" si="3"/>
        <v/>
      </c>
      <c r="X717" s="127" t="str">
        <f t="shared" si="4"/>
        <v/>
      </c>
      <c r="Y717" s="127" t="str">
        <f t="shared" si="5"/>
        <v/>
      </c>
    </row>
    <row r="718">
      <c r="A718" s="127"/>
      <c r="B718" s="127" t="str">
        <f>IF(A718="","",VLOOKUP(A718,'BASE OS'!$A$2:$I1000,2,FALSE))</f>
        <v/>
      </c>
      <c r="C718" s="132"/>
      <c r="D718" s="127"/>
      <c r="E718" s="127"/>
      <c r="F718" s="127"/>
      <c r="G718" s="127"/>
      <c r="H718" s="130"/>
      <c r="I718" s="130"/>
      <c r="J718" s="130">
        <f t="shared" si="1"/>
        <v>0</v>
      </c>
      <c r="K718" s="130"/>
      <c r="L718" s="130"/>
      <c r="M718" s="130">
        <f t="shared" si="2"/>
        <v>0</v>
      </c>
      <c r="N718" s="130"/>
      <c r="O718" s="130"/>
      <c r="P718" s="127"/>
      <c r="Q718" s="127"/>
      <c r="R718" s="127"/>
      <c r="S718" s="127"/>
      <c r="T718" s="127" t="str">
        <f>IF(A718="","",VLOOKUP(A718,'BASE OS'!$A$2:$I1000,4,FALSE))</f>
        <v/>
      </c>
      <c r="U718" s="127"/>
      <c r="V718" s="127"/>
      <c r="W718" s="127" t="str">
        <f t="shared" si="3"/>
        <v/>
      </c>
      <c r="X718" s="127" t="str">
        <f t="shared" si="4"/>
        <v/>
      </c>
      <c r="Y718" s="127" t="str">
        <f t="shared" si="5"/>
        <v/>
      </c>
    </row>
    <row r="719">
      <c r="A719" s="127"/>
      <c r="B719" s="127" t="str">
        <f>IF(A719="","",VLOOKUP(A719,'BASE OS'!$A$2:$I1000,2,FALSE))</f>
        <v/>
      </c>
      <c r="C719" s="132"/>
      <c r="D719" s="127"/>
      <c r="E719" s="127"/>
      <c r="F719" s="127"/>
      <c r="G719" s="127"/>
      <c r="H719" s="130"/>
      <c r="I719" s="130"/>
      <c r="J719" s="130">
        <f t="shared" si="1"/>
        <v>0</v>
      </c>
      <c r="K719" s="130"/>
      <c r="L719" s="130"/>
      <c r="M719" s="130">
        <f t="shared" si="2"/>
        <v>0</v>
      </c>
      <c r="N719" s="130"/>
      <c r="O719" s="130"/>
      <c r="P719" s="127"/>
      <c r="Q719" s="127"/>
      <c r="R719" s="127"/>
      <c r="S719" s="127"/>
      <c r="T719" s="127" t="str">
        <f>IF(A719="","",VLOOKUP(A719,'BASE OS'!$A$2:$I1000,4,FALSE))</f>
        <v/>
      </c>
      <c r="U719" s="127"/>
      <c r="V719" s="127"/>
      <c r="W719" s="127" t="str">
        <f t="shared" si="3"/>
        <v/>
      </c>
      <c r="X719" s="127" t="str">
        <f t="shared" si="4"/>
        <v/>
      </c>
      <c r="Y719" s="127" t="str">
        <f t="shared" si="5"/>
        <v/>
      </c>
    </row>
    <row r="720">
      <c r="A720" s="127"/>
      <c r="B720" s="127" t="str">
        <f>IF(A720="","",VLOOKUP(A720,'BASE OS'!$A$2:$I1000,2,FALSE))</f>
        <v/>
      </c>
      <c r="C720" s="132"/>
      <c r="D720" s="127"/>
      <c r="E720" s="127"/>
      <c r="F720" s="127"/>
      <c r="G720" s="127"/>
      <c r="H720" s="130"/>
      <c r="I720" s="130"/>
      <c r="J720" s="130">
        <f t="shared" si="1"/>
        <v>0</v>
      </c>
      <c r="K720" s="130"/>
      <c r="L720" s="130"/>
      <c r="M720" s="130">
        <f t="shared" si="2"/>
        <v>0</v>
      </c>
      <c r="N720" s="130"/>
      <c r="O720" s="130"/>
      <c r="P720" s="127"/>
      <c r="Q720" s="127"/>
      <c r="R720" s="127"/>
      <c r="S720" s="127"/>
      <c r="T720" s="127" t="str">
        <f>IF(A720="","",VLOOKUP(A720,'BASE OS'!$A$2:$I1000,4,FALSE))</f>
        <v/>
      </c>
      <c r="U720" s="127"/>
      <c r="V720" s="127"/>
      <c r="W720" s="127" t="str">
        <f t="shared" si="3"/>
        <v/>
      </c>
      <c r="X720" s="127" t="str">
        <f t="shared" si="4"/>
        <v/>
      </c>
      <c r="Y720" s="127" t="str">
        <f t="shared" si="5"/>
        <v/>
      </c>
    </row>
    <row r="721">
      <c r="A721" s="127"/>
      <c r="B721" s="127" t="str">
        <f>IF(A721="","",VLOOKUP(A721,'BASE OS'!$A$2:$I1000,2,FALSE))</f>
        <v/>
      </c>
      <c r="C721" s="132"/>
      <c r="D721" s="127"/>
      <c r="E721" s="127"/>
      <c r="F721" s="127"/>
      <c r="G721" s="127"/>
      <c r="H721" s="130"/>
      <c r="I721" s="130"/>
      <c r="J721" s="130">
        <f t="shared" si="1"/>
        <v>0</v>
      </c>
      <c r="K721" s="130"/>
      <c r="L721" s="130"/>
      <c r="M721" s="130">
        <f t="shared" si="2"/>
        <v>0</v>
      </c>
      <c r="N721" s="130"/>
      <c r="O721" s="130"/>
      <c r="P721" s="127"/>
      <c r="Q721" s="127"/>
      <c r="R721" s="127"/>
      <c r="S721" s="127"/>
      <c r="T721" s="127" t="str">
        <f>IF(A721="","",VLOOKUP(A721,'BASE OS'!$A$2:$I1000,4,FALSE))</f>
        <v/>
      </c>
      <c r="U721" s="127"/>
      <c r="V721" s="127"/>
      <c r="W721" s="127" t="str">
        <f t="shared" si="3"/>
        <v/>
      </c>
      <c r="X721" s="127" t="str">
        <f t="shared" si="4"/>
        <v/>
      </c>
      <c r="Y721" s="127" t="str">
        <f t="shared" si="5"/>
        <v/>
      </c>
    </row>
    <row r="722">
      <c r="A722" s="127"/>
      <c r="B722" s="127" t="str">
        <f>IF(A722="","",VLOOKUP(A722,'BASE OS'!$A$2:$I1000,2,FALSE))</f>
        <v/>
      </c>
      <c r="C722" s="132"/>
      <c r="D722" s="127"/>
      <c r="E722" s="127"/>
      <c r="F722" s="127"/>
      <c r="G722" s="127"/>
      <c r="H722" s="130"/>
      <c r="I722" s="130"/>
      <c r="J722" s="130">
        <f t="shared" si="1"/>
        <v>0</v>
      </c>
      <c r="K722" s="130"/>
      <c r="L722" s="130"/>
      <c r="M722" s="130">
        <f t="shared" si="2"/>
        <v>0</v>
      </c>
      <c r="N722" s="130"/>
      <c r="O722" s="130"/>
      <c r="P722" s="127"/>
      <c r="Q722" s="127"/>
      <c r="R722" s="127"/>
      <c r="S722" s="127"/>
      <c r="T722" s="127" t="str">
        <f>IF(A722="","",VLOOKUP(A722,'BASE OS'!$A$2:$I1000,4,FALSE))</f>
        <v/>
      </c>
      <c r="U722" s="127"/>
      <c r="V722" s="127"/>
      <c r="W722" s="127" t="str">
        <f t="shared" si="3"/>
        <v/>
      </c>
      <c r="X722" s="127" t="str">
        <f t="shared" si="4"/>
        <v/>
      </c>
      <c r="Y722" s="127" t="str">
        <f t="shared" si="5"/>
        <v/>
      </c>
    </row>
    <row r="723">
      <c r="A723" s="127"/>
      <c r="B723" s="127" t="str">
        <f>IF(A723="","",VLOOKUP(A723,'BASE OS'!$A$2:$I1000,2,FALSE))</f>
        <v/>
      </c>
      <c r="C723" s="132"/>
      <c r="D723" s="127"/>
      <c r="E723" s="127"/>
      <c r="F723" s="127"/>
      <c r="G723" s="127"/>
      <c r="H723" s="130"/>
      <c r="I723" s="130"/>
      <c r="J723" s="130">
        <f t="shared" si="1"/>
        <v>0</v>
      </c>
      <c r="K723" s="130"/>
      <c r="L723" s="130"/>
      <c r="M723" s="130">
        <f t="shared" si="2"/>
        <v>0</v>
      </c>
      <c r="N723" s="130"/>
      <c r="O723" s="130"/>
      <c r="P723" s="127"/>
      <c r="Q723" s="127"/>
      <c r="R723" s="127"/>
      <c r="S723" s="127"/>
      <c r="T723" s="127" t="str">
        <f>IF(A723="","",VLOOKUP(A723,'BASE OS'!$A$2:$I1000,4,FALSE))</f>
        <v/>
      </c>
      <c r="U723" s="127"/>
      <c r="V723" s="127"/>
      <c r="W723" s="127" t="str">
        <f t="shared" si="3"/>
        <v/>
      </c>
      <c r="X723" s="127" t="str">
        <f t="shared" si="4"/>
        <v/>
      </c>
      <c r="Y723" s="127" t="str">
        <f t="shared" si="5"/>
        <v/>
      </c>
    </row>
    <row r="724">
      <c r="A724" s="127"/>
      <c r="B724" s="127" t="str">
        <f>IF(A724="","",VLOOKUP(A724,'BASE OS'!$A$2:$I1000,2,FALSE))</f>
        <v/>
      </c>
      <c r="C724" s="132"/>
      <c r="D724" s="127"/>
      <c r="E724" s="127"/>
      <c r="F724" s="127"/>
      <c r="G724" s="127"/>
      <c r="H724" s="130"/>
      <c r="I724" s="130"/>
      <c r="J724" s="130">
        <f t="shared" si="1"/>
        <v>0</v>
      </c>
      <c r="K724" s="130"/>
      <c r="L724" s="130"/>
      <c r="M724" s="130">
        <f t="shared" si="2"/>
        <v>0</v>
      </c>
      <c r="N724" s="130"/>
      <c r="O724" s="130"/>
      <c r="P724" s="127"/>
      <c r="Q724" s="127"/>
      <c r="R724" s="127"/>
      <c r="S724" s="127"/>
      <c r="T724" s="127" t="str">
        <f>IF(A724="","",VLOOKUP(A724,'BASE OS'!$A$2:$I1000,4,FALSE))</f>
        <v/>
      </c>
      <c r="U724" s="127"/>
      <c r="V724" s="127"/>
      <c r="W724" s="127" t="str">
        <f t="shared" si="3"/>
        <v/>
      </c>
      <c r="X724" s="127" t="str">
        <f t="shared" si="4"/>
        <v/>
      </c>
      <c r="Y724" s="127" t="str">
        <f t="shared" si="5"/>
        <v/>
      </c>
    </row>
    <row r="725">
      <c r="A725" s="127"/>
      <c r="B725" s="127" t="str">
        <f>IF(A725="","",VLOOKUP(A725,'BASE OS'!$A$2:$I1000,2,FALSE))</f>
        <v/>
      </c>
      <c r="C725" s="132"/>
      <c r="D725" s="127"/>
      <c r="E725" s="127"/>
      <c r="F725" s="127"/>
      <c r="G725" s="127"/>
      <c r="H725" s="130"/>
      <c r="I725" s="130"/>
      <c r="J725" s="130">
        <f t="shared" si="1"/>
        <v>0</v>
      </c>
      <c r="K725" s="130"/>
      <c r="L725" s="130"/>
      <c r="M725" s="130">
        <f t="shared" si="2"/>
        <v>0</v>
      </c>
      <c r="N725" s="130"/>
      <c r="O725" s="130"/>
      <c r="P725" s="127"/>
      <c r="Q725" s="127"/>
      <c r="R725" s="127"/>
      <c r="S725" s="127"/>
      <c r="T725" s="127" t="str">
        <f>IF(A725="","",VLOOKUP(A725,'BASE OS'!$A$2:$I1000,4,FALSE))</f>
        <v/>
      </c>
      <c r="U725" s="127"/>
      <c r="V725" s="127"/>
      <c r="W725" s="127" t="str">
        <f t="shared" si="3"/>
        <v/>
      </c>
      <c r="X725" s="127" t="str">
        <f t="shared" si="4"/>
        <v/>
      </c>
      <c r="Y725" s="127" t="str">
        <f t="shared" si="5"/>
        <v/>
      </c>
    </row>
    <row r="726">
      <c r="A726" s="127"/>
      <c r="B726" s="127" t="str">
        <f>IF(A726="","",VLOOKUP(A726,'BASE OS'!$A$2:$I1000,2,FALSE))</f>
        <v/>
      </c>
      <c r="C726" s="132"/>
      <c r="D726" s="127"/>
      <c r="E726" s="127"/>
      <c r="F726" s="127"/>
      <c r="G726" s="127"/>
      <c r="H726" s="130"/>
      <c r="I726" s="130"/>
      <c r="J726" s="130">
        <f t="shared" si="1"/>
        <v>0</v>
      </c>
      <c r="K726" s="130"/>
      <c r="L726" s="130"/>
      <c r="M726" s="130">
        <f t="shared" si="2"/>
        <v>0</v>
      </c>
      <c r="N726" s="130"/>
      <c r="O726" s="130"/>
      <c r="P726" s="127"/>
      <c r="Q726" s="127"/>
      <c r="R726" s="127"/>
      <c r="S726" s="127"/>
      <c r="T726" s="127" t="str">
        <f>IF(A726="","",VLOOKUP(A726,'BASE OS'!$A$2:$I1000,4,FALSE))</f>
        <v/>
      </c>
      <c r="U726" s="127"/>
      <c r="V726" s="127"/>
      <c r="W726" s="127" t="str">
        <f t="shared" si="3"/>
        <v/>
      </c>
      <c r="X726" s="127" t="str">
        <f t="shared" si="4"/>
        <v/>
      </c>
      <c r="Y726" s="127" t="str">
        <f t="shared" si="5"/>
        <v/>
      </c>
    </row>
    <row r="727">
      <c r="A727" s="127"/>
      <c r="B727" s="127" t="str">
        <f>IF(A727="","",VLOOKUP(A727,'BASE OS'!$A$2:$I1000,2,FALSE))</f>
        <v/>
      </c>
      <c r="C727" s="132"/>
      <c r="D727" s="127"/>
      <c r="E727" s="127"/>
      <c r="F727" s="127"/>
      <c r="G727" s="127"/>
      <c r="H727" s="130"/>
      <c r="I727" s="130"/>
      <c r="J727" s="130">
        <f t="shared" si="1"/>
        <v>0</v>
      </c>
      <c r="K727" s="130"/>
      <c r="L727" s="130"/>
      <c r="M727" s="130">
        <f t="shared" si="2"/>
        <v>0</v>
      </c>
      <c r="N727" s="130"/>
      <c r="O727" s="130"/>
      <c r="P727" s="127"/>
      <c r="Q727" s="127"/>
      <c r="R727" s="127"/>
      <c r="S727" s="127"/>
      <c r="T727" s="127" t="str">
        <f>IF(A727="","",VLOOKUP(A727,'BASE OS'!$A$2:$I1000,4,FALSE))</f>
        <v/>
      </c>
      <c r="U727" s="127"/>
      <c r="V727" s="127"/>
      <c r="W727" s="127" t="str">
        <f t="shared" si="3"/>
        <v/>
      </c>
      <c r="X727" s="127" t="str">
        <f t="shared" si="4"/>
        <v/>
      </c>
      <c r="Y727" s="127" t="str">
        <f t="shared" si="5"/>
        <v/>
      </c>
    </row>
    <row r="728">
      <c r="A728" s="127"/>
      <c r="B728" s="127" t="str">
        <f>IF(A728="","",VLOOKUP(A728,'BASE OS'!$A$2:$I1000,2,FALSE))</f>
        <v/>
      </c>
      <c r="C728" s="132"/>
      <c r="D728" s="127"/>
      <c r="E728" s="127"/>
      <c r="F728" s="127"/>
      <c r="G728" s="127"/>
      <c r="H728" s="130"/>
      <c r="I728" s="130"/>
      <c r="J728" s="130">
        <f t="shared" si="1"/>
        <v>0</v>
      </c>
      <c r="K728" s="130"/>
      <c r="L728" s="130"/>
      <c r="M728" s="130">
        <f t="shared" si="2"/>
        <v>0</v>
      </c>
      <c r="N728" s="130"/>
      <c r="O728" s="130"/>
      <c r="P728" s="127"/>
      <c r="Q728" s="127"/>
      <c r="R728" s="127"/>
      <c r="S728" s="127"/>
      <c r="T728" s="127" t="str">
        <f>IF(A728="","",VLOOKUP(A728,'BASE OS'!$A$2:$I1000,4,FALSE))</f>
        <v/>
      </c>
      <c r="U728" s="127"/>
      <c r="V728" s="127"/>
      <c r="W728" s="127" t="str">
        <f t="shared" si="3"/>
        <v/>
      </c>
      <c r="X728" s="127" t="str">
        <f t="shared" si="4"/>
        <v/>
      </c>
      <c r="Y728" s="127" t="str">
        <f t="shared" si="5"/>
        <v/>
      </c>
    </row>
    <row r="729">
      <c r="A729" s="127"/>
      <c r="B729" s="127" t="str">
        <f>IF(A729="","",VLOOKUP(A729,'BASE OS'!$A$2:$I1000,2,FALSE))</f>
        <v/>
      </c>
      <c r="C729" s="132"/>
      <c r="D729" s="127"/>
      <c r="E729" s="127"/>
      <c r="F729" s="127"/>
      <c r="G729" s="127"/>
      <c r="H729" s="130"/>
      <c r="I729" s="130"/>
      <c r="J729" s="130">
        <f t="shared" si="1"/>
        <v>0</v>
      </c>
      <c r="K729" s="130"/>
      <c r="L729" s="130"/>
      <c r="M729" s="130">
        <f t="shared" si="2"/>
        <v>0</v>
      </c>
      <c r="N729" s="130"/>
      <c r="O729" s="130"/>
      <c r="P729" s="127"/>
      <c r="Q729" s="127"/>
      <c r="R729" s="127"/>
      <c r="S729" s="127"/>
      <c r="T729" s="127" t="str">
        <f>IF(A729="","",VLOOKUP(A729,'BASE OS'!$A$2:$I1000,4,FALSE))</f>
        <v/>
      </c>
      <c r="U729" s="127"/>
      <c r="V729" s="127"/>
      <c r="W729" s="127" t="str">
        <f t="shared" si="3"/>
        <v/>
      </c>
      <c r="X729" s="127" t="str">
        <f t="shared" si="4"/>
        <v/>
      </c>
      <c r="Y729" s="127" t="str">
        <f t="shared" si="5"/>
        <v/>
      </c>
    </row>
    <row r="730">
      <c r="A730" s="127"/>
      <c r="B730" s="127" t="str">
        <f>IF(A730="","",VLOOKUP(A730,'BASE OS'!$A$2:$I1000,2,FALSE))</f>
        <v/>
      </c>
      <c r="C730" s="132"/>
      <c r="D730" s="127"/>
      <c r="E730" s="127"/>
      <c r="F730" s="127"/>
      <c r="G730" s="127"/>
      <c r="H730" s="130"/>
      <c r="I730" s="130"/>
      <c r="J730" s="130">
        <f t="shared" si="1"/>
        <v>0</v>
      </c>
      <c r="K730" s="130"/>
      <c r="L730" s="130"/>
      <c r="M730" s="130">
        <f t="shared" si="2"/>
        <v>0</v>
      </c>
      <c r="N730" s="130"/>
      <c r="O730" s="130"/>
      <c r="P730" s="127"/>
      <c r="Q730" s="127"/>
      <c r="R730" s="127"/>
      <c r="S730" s="127"/>
      <c r="T730" s="127" t="str">
        <f>IF(A730="","",VLOOKUP(A730,'BASE OS'!$A$2:$I1000,4,FALSE))</f>
        <v/>
      </c>
      <c r="U730" s="127"/>
      <c r="V730" s="127"/>
      <c r="W730" s="127" t="str">
        <f t="shared" si="3"/>
        <v/>
      </c>
      <c r="X730" s="127" t="str">
        <f t="shared" si="4"/>
        <v/>
      </c>
      <c r="Y730" s="127" t="str">
        <f t="shared" si="5"/>
        <v/>
      </c>
    </row>
    <row r="731">
      <c r="A731" s="127"/>
      <c r="B731" s="127" t="str">
        <f>IF(A731="","",VLOOKUP(A731,'BASE OS'!$A$2:$I1000,2,FALSE))</f>
        <v/>
      </c>
      <c r="C731" s="132"/>
      <c r="D731" s="127"/>
      <c r="E731" s="127"/>
      <c r="F731" s="127"/>
      <c r="G731" s="127"/>
      <c r="H731" s="130"/>
      <c r="I731" s="130"/>
      <c r="J731" s="130">
        <f t="shared" si="1"/>
        <v>0</v>
      </c>
      <c r="K731" s="130"/>
      <c r="L731" s="130"/>
      <c r="M731" s="130">
        <f t="shared" si="2"/>
        <v>0</v>
      </c>
      <c r="N731" s="130"/>
      <c r="O731" s="130"/>
      <c r="P731" s="127"/>
      <c r="Q731" s="127"/>
      <c r="R731" s="127"/>
      <c r="S731" s="127"/>
      <c r="T731" s="127" t="str">
        <f>IF(A731="","",VLOOKUP(A731,'BASE OS'!$A$2:$I1000,4,FALSE))</f>
        <v/>
      </c>
      <c r="U731" s="127"/>
      <c r="V731" s="127"/>
      <c r="W731" s="127" t="str">
        <f t="shared" si="3"/>
        <v/>
      </c>
      <c r="X731" s="127" t="str">
        <f t="shared" si="4"/>
        <v/>
      </c>
      <c r="Y731" s="127" t="str">
        <f t="shared" si="5"/>
        <v/>
      </c>
    </row>
    <row r="732">
      <c r="A732" s="127"/>
      <c r="B732" s="127" t="str">
        <f>IF(A732="","",VLOOKUP(A732,'BASE OS'!$A$2:$I1000,2,FALSE))</f>
        <v/>
      </c>
      <c r="C732" s="132"/>
      <c r="D732" s="127"/>
      <c r="E732" s="127"/>
      <c r="F732" s="127"/>
      <c r="G732" s="127"/>
      <c r="H732" s="130"/>
      <c r="I732" s="130"/>
      <c r="J732" s="130">
        <f t="shared" si="1"/>
        <v>0</v>
      </c>
      <c r="K732" s="130"/>
      <c r="L732" s="130"/>
      <c r="M732" s="130">
        <f t="shared" si="2"/>
        <v>0</v>
      </c>
      <c r="N732" s="130"/>
      <c r="O732" s="130"/>
      <c r="P732" s="127"/>
      <c r="Q732" s="127"/>
      <c r="R732" s="127"/>
      <c r="S732" s="127"/>
      <c r="T732" s="127" t="str">
        <f>IF(A732="","",VLOOKUP(A732,'BASE OS'!$A$2:$I1000,4,FALSE))</f>
        <v/>
      </c>
      <c r="U732" s="127"/>
      <c r="V732" s="127"/>
      <c r="W732" s="127" t="str">
        <f t="shared" si="3"/>
        <v/>
      </c>
      <c r="X732" s="127" t="str">
        <f t="shared" si="4"/>
        <v/>
      </c>
      <c r="Y732" s="127" t="str">
        <f t="shared" si="5"/>
        <v/>
      </c>
    </row>
    <row r="733">
      <c r="A733" s="127"/>
      <c r="B733" s="127" t="str">
        <f>IF(A733="","",VLOOKUP(A733,'BASE OS'!$A$2:$I1000,2,FALSE))</f>
        <v/>
      </c>
      <c r="C733" s="132"/>
      <c r="D733" s="127"/>
      <c r="E733" s="127"/>
      <c r="F733" s="127"/>
      <c r="G733" s="127"/>
      <c r="H733" s="130"/>
      <c r="I733" s="130"/>
      <c r="J733" s="130">
        <f t="shared" si="1"/>
        <v>0</v>
      </c>
      <c r="K733" s="130"/>
      <c r="L733" s="130"/>
      <c r="M733" s="130">
        <f t="shared" si="2"/>
        <v>0</v>
      </c>
      <c r="N733" s="130"/>
      <c r="O733" s="130"/>
      <c r="P733" s="127"/>
      <c r="Q733" s="127"/>
      <c r="R733" s="127"/>
      <c r="S733" s="127"/>
      <c r="T733" s="127" t="str">
        <f>IF(A733="","",VLOOKUP(A733,'BASE OS'!$A$2:$I1000,4,FALSE))</f>
        <v/>
      </c>
      <c r="U733" s="127"/>
      <c r="V733" s="127"/>
      <c r="W733" s="127" t="str">
        <f t="shared" si="3"/>
        <v/>
      </c>
      <c r="X733" s="127" t="str">
        <f t="shared" si="4"/>
        <v/>
      </c>
      <c r="Y733" s="127" t="str">
        <f t="shared" si="5"/>
        <v/>
      </c>
    </row>
    <row r="734">
      <c r="A734" s="127"/>
      <c r="B734" s="127" t="str">
        <f>IF(A734="","",VLOOKUP(A734,'BASE OS'!$A$2:$I1000,2,FALSE))</f>
        <v/>
      </c>
      <c r="C734" s="132"/>
      <c r="D734" s="127"/>
      <c r="E734" s="127"/>
      <c r="F734" s="127"/>
      <c r="G734" s="127"/>
      <c r="H734" s="130"/>
      <c r="I734" s="130"/>
      <c r="J734" s="130">
        <f t="shared" si="1"/>
        <v>0</v>
      </c>
      <c r="K734" s="130"/>
      <c r="L734" s="130"/>
      <c r="M734" s="130">
        <f t="shared" si="2"/>
        <v>0</v>
      </c>
      <c r="N734" s="130"/>
      <c r="O734" s="130"/>
      <c r="P734" s="127"/>
      <c r="Q734" s="127"/>
      <c r="R734" s="127"/>
      <c r="S734" s="127"/>
      <c r="T734" s="127" t="str">
        <f>IF(A734="","",VLOOKUP(A734,'BASE OS'!$A$2:$I1000,4,FALSE))</f>
        <v/>
      </c>
      <c r="U734" s="127"/>
      <c r="V734" s="127"/>
      <c r="W734" s="127" t="str">
        <f t="shared" si="3"/>
        <v/>
      </c>
      <c r="X734" s="127" t="str">
        <f t="shared" si="4"/>
        <v/>
      </c>
      <c r="Y734" s="127" t="str">
        <f t="shared" si="5"/>
        <v/>
      </c>
    </row>
    <row r="735">
      <c r="A735" s="127"/>
      <c r="B735" s="127" t="str">
        <f>IF(A735="","",VLOOKUP(A735,'BASE OS'!$A$2:$I1000,2,FALSE))</f>
        <v/>
      </c>
      <c r="C735" s="132"/>
      <c r="D735" s="127"/>
      <c r="E735" s="127"/>
      <c r="F735" s="127"/>
      <c r="G735" s="127"/>
      <c r="H735" s="130"/>
      <c r="I735" s="130"/>
      <c r="J735" s="130">
        <f t="shared" si="1"/>
        <v>0</v>
      </c>
      <c r="K735" s="130"/>
      <c r="L735" s="130"/>
      <c r="M735" s="130">
        <f t="shared" si="2"/>
        <v>0</v>
      </c>
      <c r="N735" s="130"/>
      <c r="O735" s="130"/>
      <c r="P735" s="127"/>
      <c r="Q735" s="127"/>
      <c r="R735" s="127"/>
      <c r="S735" s="127"/>
      <c r="T735" s="127" t="str">
        <f>IF(A735="","",VLOOKUP(A735,'BASE OS'!$A$2:$I1000,4,FALSE))</f>
        <v/>
      </c>
      <c r="U735" s="127"/>
      <c r="V735" s="127"/>
      <c r="W735" s="127" t="str">
        <f t="shared" si="3"/>
        <v/>
      </c>
      <c r="X735" s="127" t="str">
        <f t="shared" si="4"/>
        <v/>
      </c>
      <c r="Y735" s="127" t="str">
        <f t="shared" si="5"/>
        <v/>
      </c>
    </row>
    <row r="736">
      <c r="A736" s="127"/>
      <c r="B736" s="127" t="str">
        <f>IF(A736="","",VLOOKUP(A736,'BASE OS'!$A$2:$I1000,2,FALSE))</f>
        <v/>
      </c>
      <c r="C736" s="132"/>
      <c r="D736" s="127"/>
      <c r="E736" s="127"/>
      <c r="F736" s="127"/>
      <c r="G736" s="127"/>
      <c r="H736" s="130"/>
      <c r="I736" s="130"/>
      <c r="J736" s="130">
        <f t="shared" si="1"/>
        <v>0</v>
      </c>
      <c r="K736" s="130"/>
      <c r="L736" s="130"/>
      <c r="M736" s="130">
        <f t="shared" si="2"/>
        <v>0</v>
      </c>
      <c r="N736" s="130"/>
      <c r="O736" s="130"/>
      <c r="P736" s="127"/>
      <c r="Q736" s="127"/>
      <c r="R736" s="127"/>
      <c r="S736" s="127"/>
      <c r="T736" s="127" t="str">
        <f>IF(A736="","",VLOOKUP(A736,'BASE OS'!$A$2:$I1000,4,FALSE))</f>
        <v/>
      </c>
      <c r="U736" s="127"/>
      <c r="V736" s="127"/>
      <c r="W736" s="127" t="str">
        <f t="shared" si="3"/>
        <v/>
      </c>
      <c r="X736" s="127" t="str">
        <f t="shared" si="4"/>
        <v/>
      </c>
      <c r="Y736" s="127" t="str">
        <f t="shared" si="5"/>
        <v/>
      </c>
    </row>
    <row r="737">
      <c r="A737" s="127"/>
      <c r="B737" s="127" t="str">
        <f>IF(A737="","",VLOOKUP(A737,'BASE OS'!$A$2:$I1000,2,FALSE))</f>
        <v/>
      </c>
      <c r="C737" s="132"/>
      <c r="D737" s="127"/>
      <c r="E737" s="127"/>
      <c r="F737" s="127"/>
      <c r="G737" s="127"/>
      <c r="H737" s="130"/>
      <c r="I737" s="130"/>
      <c r="J737" s="130">
        <f t="shared" si="1"/>
        <v>0</v>
      </c>
      <c r="K737" s="130"/>
      <c r="L737" s="130"/>
      <c r="M737" s="130">
        <f t="shared" si="2"/>
        <v>0</v>
      </c>
      <c r="N737" s="130"/>
      <c r="O737" s="130"/>
      <c r="P737" s="127"/>
      <c r="Q737" s="127"/>
      <c r="R737" s="127"/>
      <c r="S737" s="127"/>
      <c r="T737" s="127" t="str">
        <f>IF(A737="","",VLOOKUP(A737,'BASE OS'!$A$2:$I1000,4,FALSE))</f>
        <v/>
      </c>
      <c r="U737" s="127"/>
      <c r="V737" s="127"/>
      <c r="W737" s="127" t="str">
        <f t="shared" si="3"/>
        <v/>
      </c>
      <c r="X737" s="127" t="str">
        <f t="shared" si="4"/>
        <v/>
      </c>
      <c r="Y737" s="127" t="str">
        <f t="shared" si="5"/>
        <v/>
      </c>
    </row>
    <row r="738">
      <c r="A738" s="127"/>
      <c r="B738" s="127" t="str">
        <f>IF(A738="","",VLOOKUP(A738,'BASE OS'!$A$2:$I1000,2,FALSE))</f>
        <v/>
      </c>
      <c r="C738" s="132"/>
      <c r="D738" s="127"/>
      <c r="E738" s="127"/>
      <c r="F738" s="127"/>
      <c r="G738" s="127"/>
      <c r="H738" s="130"/>
      <c r="I738" s="130"/>
      <c r="J738" s="130">
        <f t="shared" si="1"/>
        <v>0</v>
      </c>
      <c r="K738" s="130"/>
      <c r="L738" s="130"/>
      <c r="M738" s="130">
        <f t="shared" si="2"/>
        <v>0</v>
      </c>
      <c r="N738" s="130"/>
      <c r="O738" s="130"/>
      <c r="P738" s="127"/>
      <c r="Q738" s="127"/>
      <c r="R738" s="127"/>
      <c r="S738" s="127"/>
      <c r="T738" s="127" t="str">
        <f>IF(A738="","",VLOOKUP(A738,'BASE OS'!$A$2:$I1000,4,FALSE))</f>
        <v/>
      </c>
      <c r="U738" s="127"/>
      <c r="V738" s="127"/>
      <c r="W738" s="127" t="str">
        <f t="shared" si="3"/>
        <v/>
      </c>
      <c r="X738" s="127" t="str">
        <f t="shared" si="4"/>
        <v/>
      </c>
      <c r="Y738" s="127" t="str">
        <f t="shared" si="5"/>
        <v/>
      </c>
    </row>
    <row r="739">
      <c r="A739" s="127"/>
      <c r="B739" s="127" t="str">
        <f>IF(A739="","",VLOOKUP(A739,'BASE OS'!$A$2:$I1000,2,FALSE))</f>
        <v/>
      </c>
      <c r="C739" s="132"/>
      <c r="D739" s="127"/>
      <c r="E739" s="127"/>
      <c r="F739" s="127"/>
      <c r="G739" s="127"/>
      <c r="H739" s="130"/>
      <c r="I739" s="130"/>
      <c r="J739" s="130">
        <f t="shared" si="1"/>
        <v>0</v>
      </c>
      <c r="K739" s="130"/>
      <c r="L739" s="130"/>
      <c r="M739" s="130">
        <f t="shared" si="2"/>
        <v>0</v>
      </c>
      <c r="N739" s="130"/>
      <c r="O739" s="130"/>
      <c r="P739" s="127"/>
      <c r="Q739" s="127"/>
      <c r="R739" s="127"/>
      <c r="S739" s="127"/>
      <c r="T739" s="127" t="str">
        <f>IF(A739="","",VLOOKUP(A739,'BASE OS'!$A$2:$I1000,4,FALSE))</f>
        <v/>
      </c>
      <c r="U739" s="127"/>
      <c r="V739" s="127"/>
      <c r="W739" s="127" t="str">
        <f t="shared" si="3"/>
        <v/>
      </c>
      <c r="X739" s="127" t="str">
        <f t="shared" si="4"/>
        <v/>
      </c>
      <c r="Y739" s="127" t="str">
        <f t="shared" si="5"/>
        <v/>
      </c>
    </row>
    <row r="740">
      <c r="A740" s="127"/>
      <c r="B740" s="127" t="str">
        <f>IF(A740="","",VLOOKUP(A740,'BASE OS'!$A$2:$I1000,2,FALSE))</f>
        <v/>
      </c>
      <c r="C740" s="132"/>
      <c r="D740" s="127"/>
      <c r="E740" s="127"/>
      <c r="F740" s="127"/>
      <c r="G740" s="127"/>
      <c r="H740" s="130"/>
      <c r="I740" s="130"/>
      <c r="J740" s="130">
        <f t="shared" si="1"/>
        <v>0</v>
      </c>
      <c r="K740" s="130"/>
      <c r="L740" s="130"/>
      <c r="M740" s="130">
        <f t="shared" si="2"/>
        <v>0</v>
      </c>
      <c r="N740" s="130"/>
      <c r="O740" s="130"/>
      <c r="P740" s="127"/>
      <c r="Q740" s="127"/>
      <c r="R740" s="127"/>
      <c r="S740" s="127"/>
      <c r="T740" s="127" t="str">
        <f>IF(A740="","",VLOOKUP(A740,'BASE OS'!$A$2:$I1000,4,FALSE))</f>
        <v/>
      </c>
      <c r="U740" s="127"/>
      <c r="V740" s="127"/>
      <c r="W740" s="127" t="str">
        <f t="shared" si="3"/>
        <v/>
      </c>
      <c r="X740" s="127" t="str">
        <f t="shared" si="4"/>
        <v/>
      </c>
      <c r="Y740" s="127" t="str">
        <f t="shared" si="5"/>
        <v/>
      </c>
    </row>
    <row r="741">
      <c r="A741" s="127"/>
      <c r="B741" s="127" t="str">
        <f>IF(A741="","",VLOOKUP(A741,'BASE OS'!$A$2:$I1000,2,FALSE))</f>
        <v/>
      </c>
      <c r="C741" s="132"/>
      <c r="D741" s="127"/>
      <c r="E741" s="127"/>
      <c r="F741" s="127"/>
      <c r="G741" s="127"/>
      <c r="H741" s="130"/>
      <c r="I741" s="130"/>
      <c r="J741" s="130">
        <f t="shared" si="1"/>
        <v>0</v>
      </c>
      <c r="K741" s="130"/>
      <c r="L741" s="130"/>
      <c r="M741" s="130">
        <f t="shared" si="2"/>
        <v>0</v>
      </c>
      <c r="N741" s="130"/>
      <c r="O741" s="130"/>
      <c r="P741" s="127"/>
      <c r="Q741" s="127"/>
      <c r="R741" s="127"/>
      <c r="S741" s="127"/>
      <c r="T741" s="127" t="str">
        <f>IF(A741="","",VLOOKUP(A741,'BASE OS'!$A$2:$I1000,4,FALSE))</f>
        <v/>
      </c>
      <c r="U741" s="127"/>
      <c r="V741" s="127"/>
      <c r="W741" s="127" t="str">
        <f t="shared" si="3"/>
        <v/>
      </c>
      <c r="X741" s="127" t="str">
        <f t="shared" si="4"/>
        <v/>
      </c>
      <c r="Y741" s="127" t="str">
        <f t="shared" si="5"/>
        <v/>
      </c>
    </row>
    <row r="742">
      <c r="A742" s="127"/>
      <c r="B742" s="127" t="str">
        <f>IF(A742="","",VLOOKUP(A742,'BASE OS'!$A$2:$I1000,2,FALSE))</f>
        <v/>
      </c>
      <c r="C742" s="132"/>
      <c r="D742" s="127"/>
      <c r="E742" s="127"/>
      <c r="F742" s="127"/>
      <c r="G742" s="127"/>
      <c r="H742" s="130"/>
      <c r="I742" s="130"/>
      <c r="J742" s="130">
        <f t="shared" si="1"/>
        <v>0</v>
      </c>
      <c r="K742" s="130"/>
      <c r="L742" s="130"/>
      <c r="M742" s="130">
        <f t="shared" si="2"/>
        <v>0</v>
      </c>
      <c r="N742" s="130"/>
      <c r="O742" s="130"/>
      <c r="P742" s="127"/>
      <c r="Q742" s="127"/>
      <c r="R742" s="127"/>
      <c r="S742" s="127"/>
      <c r="T742" s="127" t="str">
        <f>IF(A742="","",VLOOKUP(A742,'BASE OS'!$A$2:$I1000,4,FALSE))</f>
        <v/>
      </c>
      <c r="U742" s="127"/>
      <c r="V742" s="127"/>
      <c r="W742" s="127" t="str">
        <f t="shared" si="3"/>
        <v/>
      </c>
      <c r="X742" s="127" t="str">
        <f t="shared" si="4"/>
        <v/>
      </c>
      <c r="Y742" s="127" t="str">
        <f t="shared" si="5"/>
        <v/>
      </c>
    </row>
    <row r="743">
      <c r="A743" s="127"/>
      <c r="B743" s="127" t="str">
        <f>IF(A743="","",VLOOKUP(A743,'BASE OS'!$A$2:$I1000,2,FALSE))</f>
        <v/>
      </c>
      <c r="C743" s="132"/>
      <c r="D743" s="127"/>
      <c r="E743" s="127"/>
      <c r="F743" s="127"/>
      <c r="G743" s="127"/>
      <c r="H743" s="130"/>
      <c r="I743" s="130"/>
      <c r="J743" s="130">
        <f t="shared" si="1"/>
        <v>0</v>
      </c>
      <c r="K743" s="130"/>
      <c r="L743" s="130"/>
      <c r="M743" s="130">
        <f t="shared" si="2"/>
        <v>0</v>
      </c>
      <c r="N743" s="130"/>
      <c r="O743" s="130"/>
      <c r="P743" s="127"/>
      <c r="Q743" s="127"/>
      <c r="R743" s="127"/>
      <c r="S743" s="127"/>
      <c r="T743" s="127" t="str">
        <f>IF(A743="","",VLOOKUP(A743,'BASE OS'!$A$2:$I1000,4,FALSE))</f>
        <v/>
      </c>
      <c r="U743" s="127"/>
      <c r="V743" s="127"/>
      <c r="W743" s="127" t="str">
        <f t="shared" si="3"/>
        <v/>
      </c>
      <c r="X743" s="127" t="str">
        <f t="shared" si="4"/>
        <v/>
      </c>
      <c r="Y743" s="127" t="str">
        <f t="shared" si="5"/>
        <v/>
      </c>
    </row>
    <row r="744">
      <c r="A744" s="127"/>
      <c r="B744" s="127" t="str">
        <f>IF(A744="","",VLOOKUP(A744,'BASE OS'!$A$2:$I1000,2,FALSE))</f>
        <v/>
      </c>
      <c r="C744" s="132"/>
      <c r="D744" s="127"/>
      <c r="E744" s="127"/>
      <c r="F744" s="127"/>
      <c r="G744" s="127"/>
      <c r="H744" s="130"/>
      <c r="I744" s="130"/>
      <c r="J744" s="130">
        <f t="shared" si="1"/>
        <v>0</v>
      </c>
      <c r="K744" s="130"/>
      <c r="L744" s="130"/>
      <c r="M744" s="130">
        <f t="shared" si="2"/>
        <v>0</v>
      </c>
      <c r="N744" s="130"/>
      <c r="O744" s="130"/>
      <c r="P744" s="127"/>
      <c r="Q744" s="127"/>
      <c r="R744" s="127"/>
      <c r="S744" s="127"/>
      <c r="T744" s="127" t="str">
        <f>IF(A744="","",VLOOKUP(A744,'BASE OS'!$A$2:$I1000,4,FALSE))</f>
        <v/>
      </c>
      <c r="U744" s="127"/>
      <c r="V744" s="127"/>
      <c r="W744" s="127" t="str">
        <f t="shared" si="3"/>
        <v/>
      </c>
      <c r="X744" s="127" t="str">
        <f t="shared" si="4"/>
        <v/>
      </c>
      <c r="Y744" s="127" t="str">
        <f t="shared" si="5"/>
        <v/>
      </c>
    </row>
    <row r="745">
      <c r="A745" s="127"/>
      <c r="B745" s="127" t="str">
        <f>IF(A745="","",VLOOKUP(A745,'BASE OS'!$A$2:$I1000,2,FALSE))</f>
        <v/>
      </c>
      <c r="C745" s="132"/>
      <c r="D745" s="127"/>
      <c r="E745" s="127"/>
      <c r="F745" s="127"/>
      <c r="G745" s="127"/>
      <c r="H745" s="130"/>
      <c r="I745" s="130"/>
      <c r="J745" s="130">
        <f t="shared" si="1"/>
        <v>0</v>
      </c>
      <c r="K745" s="130"/>
      <c r="L745" s="130"/>
      <c r="M745" s="130">
        <f t="shared" si="2"/>
        <v>0</v>
      </c>
      <c r="N745" s="130"/>
      <c r="O745" s="130"/>
      <c r="P745" s="127"/>
      <c r="Q745" s="127"/>
      <c r="R745" s="127"/>
      <c r="S745" s="127"/>
      <c r="T745" s="127" t="str">
        <f>IF(A745="","",VLOOKUP(A745,'BASE OS'!$A$2:$I1000,4,FALSE))</f>
        <v/>
      </c>
      <c r="U745" s="127"/>
      <c r="V745" s="127"/>
      <c r="W745" s="127" t="str">
        <f t="shared" si="3"/>
        <v/>
      </c>
      <c r="X745" s="127" t="str">
        <f t="shared" si="4"/>
        <v/>
      </c>
      <c r="Y745" s="127" t="str">
        <f t="shared" si="5"/>
        <v/>
      </c>
    </row>
    <row r="746">
      <c r="A746" s="127"/>
      <c r="B746" s="127" t="str">
        <f>IF(A746="","",VLOOKUP(A746,'BASE OS'!$A$2:$I1000,2,FALSE))</f>
        <v/>
      </c>
      <c r="C746" s="132"/>
      <c r="D746" s="127"/>
      <c r="E746" s="127"/>
      <c r="F746" s="127"/>
      <c r="G746" s="127"/>
      <c r="H746" s="130"/>
      <c r="I746" s="130"/>
      <c r="J746" s="130">
        <f t="shared" si="1"/>
        <v>0</v>
      </c>
      <c r="K746" s="130"/>
      <c r="L746" s="130"/>
      <c r="M746" s="130">
        <f t="shared" si="2"/>
        <v>0</v>
      </c>
      <c r="N746" s="130"/>
      <c r="O746" s="130"/>
      <c r="P746" s="127"/>
      <c r="Q746" s="127"/>
      <c r="R746" s="127"/>
      <c r="S746" s="127"/>
      <c r="T746" s="127" t="str">
        <f>IF(A746="","",VLOOKUP(A746,'BASE OS'!$A$2:$I1000,4,FALSE))</f>
        <v/>
      </c>
      <c r="U746" s="127"/>
      <c r="V746" s="127"/>
      <c r="W746" s="127" t="str">
        <f t="shared" si="3"/>
        <v/>
      </c>
      <c r="X746" s="127" t="str">
        <f t="shared" si="4"/>
        <v/>
      </c>
      <c r="Y746" s="127" t="str">
        <f t="shared" si="5"/>
        <v/>
      </c>
    </row>
    <row r="747">
      <c r="A747" s="127"/>
      <c r="B747" s="127" t="str">
        <f>IF(A747="","",VLOOKUP(A747,'BASE OS'!$A$2:$I1000,2,FALSE))</f>
        <v/>
      </c>
      <c r="C747" s="132"/>
      <c r="D747" s="127"/>
      <c r="E747" s="127"/>
      <c r="F747" s="127"/>
      <c r="G747" s="127"/>
      <c r="H747" s="130"/>
      <c r="I747" s="130"/>
      <c r="J747" s="130">
        <f t="shared" si="1"/>
        <v>0</v>
      </c>
      <c r="K747" s="130"/>
      <c r="L747" s="130"/>
      <c r="M747" s="130">
        <f t="shared" si="2"/>
        <v>0</v>
      </c>
      <c r="N747" s="130"/>
      <c r="O747" s="130"/>
      <c r="P747" s="127"/>
      <c r="Q747" s="127"/>
      <c r="R747" s="127"/>
      <c r="S747" s="127"/>
      <c r="T747" s="127" t="str">
        <f>IF(A747="","",VLOOKUP(A747,'BASE OS'!$A$2:$I1000,4,FALSE))</f>
        <v/>
      </c>
      <c r="U747" s="127"/>
      <c r="V747" s="127"/>
      <c r="W747" s="127" t="str">
        <f t="shared" si="3"/>
        <v/>
      </c>
      <c r="X747" s="127" t="str">
        <f t="shared" si="4"/>
        <v/>
      </c>
      <c r="Y747" s="127" t="str">
        <f t="shared" si="5"/>
        <v/>
      </c>
    </row>
    <row r="748">
      <c r="A748" s="127"/>
      <c r="B748" s="127" t="str">
        <f>IF(A748="","",VLOOKUP(A748,'BASE OS'!$A$2:$I1000,2,FALSE))</f>
        <v/>
      </c>
      <c r="C748" s="132"/>
      <c r="D748" s="127"/>
      <c r="E748" s="127"/>
      <c r="F748" s="127"/>
      <c r="G748" s="127"/>
      <c r="H748" s="130"/>
      <c r="I748" s="130"/>
      <c r="J748" s="130">
        <f t="shared" si="1"/>
        <v>0</v>
      </c>
      <c r="K748" s="130"/>
      <c r="L748" s="130"/>
      <c r="M748" s="130">
        <f t="shared" si="2"/>
        <v>0</v>
      </c>
      <c r="N748" s="130"/>
      <c r="O748" s="130"/>
      <c r="P748" s="127"/>
      <c r="Q748" s="127"/>
      <c r="R748" s="127"/>
      <c r="S748" s="127"/>
      <c r="T748" s="127" t="str">
        <f>IF(A748="","",VLOOKUP(A748,'BASE OS'!$A$2:$I1000,4,FALSE))</f>
        <v/>
      </c>
      <c r="U748" s="127"/>
      <c r="V748" s="127"/>
      <c r="W748" s="127" t="str">
        <f t="shared" si="3"/>
        <v/>
      </c>
      <c r="X748" s="127" t="str">
        <f t="shared" si="4"/>
        <v/>
      </c>
      <c r="Y748" s="127" t="str">
        <f t="shared" si="5"/>
        <v/>
      </c>
    </row>
    <row r="749">
      <c r="A749" s="127"/>
      <c r="B749" s="127" t="str">
        <f>IF(A749="","",VLOOKUP(A749,'BASE OS'!$A$2:$I1000,2,FALSE))</f>
        <v/>
      </c>
      <c r="C749" s="132"/>
      <c r="D749" s="127"/>
      <c r="E749" s="127"/>
      <c r="F749" s="127"/>
      <c r="G749" s="127"/>
      <c r="H749" s="130"/>
      <c r="I749" s="130"/>
      <c r="J749" s="130">
        <f t="shared" si="1"/>
        <v>0</v>
      </c>
      <c r="K749" s="130"/>
      <c r="L749" s="130"/>
      <c r="M749" s="130">
        <f t="shared" si="2"/>
        <v>0</v>
      </c>
      <c r="N749" s="130"/>
      <c r="O749" s="130"/>
      <c r="P749" s="127"/>
      <c r="Q749" s="127"/>
      <c r="R749" s="127"/>
      <c r="S749" s="127"/>
      <c r="T749" s="127" t="str">
        <f>IF(A749="","",VLOOKUP(A749,'BASE OS'!$A$2:$I1000,4,FALSE))</f>
        <v/>
      </c>
      <c r="U749" s="127"/>
      <c r="V749" s="127"/>
      <c r="W749" s="127" t="str">
        <f t="shared" si="3"/>
        <v/>
      </c>
      <c r="X749" s="127" t="str">
        <f t="shared" si="4"/>
        <v/>
      </c>
      <c r="Y749" s="127" t="str">
        <f t="shared" si="5"/>
        <v/>
      </c>
    </row>
    <row r="750">
      <c r="A750" s="127"/>
      <c r="B750" s="127" t="str">
        <f>IF(A750="","",VLOOKUP(A750,'BASE OS'!$A$2:$I1000,2,FALSE))</f>
        <v/>
      </c>
      <c r="C750" s="132"/>
      <c r="D750" s="127"/>
      <c r="E750" s="127"/>
      <c r="F750" s="127"/>
      <c r="G750" s="127"/>
      <c r="H750" s="130"/>
      <c r="I750" s="130"/>
      <c r="J750" s="130">
        <f t="shared" si="1"/>
        <v>0</v>
      </c>
      <c r="K750" s="130"/>
      <c r="L750" s="130"/>
      <c r="M750" s="130">
        <f t="shared" si="2"/>
        <v>0</v>
      </c>
      <c r="N750" s="130"/>
      <c r="O750" s="130"/>
      <c r="P750" s="127"/>
      <c r="Q750" s="127"/>
      <c r="R750" s="127"/>
      <c r="S750" s="127"/>
      <c r="T750" s="127" t="str">
        <f>IF(A750="","",VLOOKUP(A750,'BASE OS'!$A$2:$I1000,4,FALSE))</f>
        <v/>
      </c>
      <c r="U750" s="127"/>
      <c r="V750" s="127"/>
      <c r="W750" s="127" t="str">
        <f t="shared" si="3"/>
        <v/>
      </c>
      <c r="X750" s="127" t="str">
        <f t="shared" si="4"/>
        <v/>
      </c>
      <c r="Y750" s="127" t="str">
        <f t="shared" si="5"/>
        <v/>
      </c>
    </row>
    <row r="751">
      <c r="A751" s="127"/>
      <c r="B751" s="127" t="str">
        <f>IF(A751="","",VLOOKUP(A751,'BASE OS'!$A$2:$I1000,2,FALSE))</f>
        <v/>
      </c>
      <c r="C751" s="132"/>
      <c r="D751" s="127"/>
      <c r="E751" s="127"/>
      <c r="F751" s="127"/>
      <c r="G751" s="127"/>
      <c r="H751" s="130"/>
      <c r="I751" s="130"/>
      <c r="J751" s="130">
        <f t="shared" si="1"/>
        <v>0</v>
      </c>
      <c r="K751" s="130"/>
      <c r="L751" s="130"/>
      <c r="M751" s="130">
        <f t="shared" si="2"/>
        <v>0</v>
      </c>
      <c r="N751" s="130"/>
      <c r="O751" s="130"/>
      <c r="P751" s="127"/>
      <c r="Q751" s="127"/>
      <c r="R751" s="127"/>
      <c r="S751" s="127"/>
      <c r="T751" s="127" t="str">
        <f>IF(A751="","",VLOOKUP(A751,'BASE OS'!$A$2:$I1000,4,FALSE))</f>
        <v/>
      </c>
      <c r="U751" s="127"/>
      <c r="V751" s="127"/>
      <c r="W751" s="127" t="str">
        <f t="shared" si="3"/>
        <v/>
      </c>
      <c r="X751" s="127" t="str">
        <f t="shared" si="4"/>
        <v/>
      </c>
      <c r="Y751" s="127" t="str">
        <f t="shared" si="5"/>
        <v/>
      </c>
    </row>
    <row r="752">
      <c r="A752" s="127"/>
      <c r="B752" s="127" t="str">
        <f>IF(A752="","",VLOOKUP(A752,'BASE OS'!$A$2:$I1000,2,FALSE))</f>
        <v/>
      </c>
      <c r="C752" s="132"/>
      <c r="D752" s="127"/>
      <c r="E752" s="127"/>
      <c r="F752" s="127"/>
      <c r="G752" s="127"/>
      <c r="H752" s="130"/>
      <c r="I752" s="130"/>
      <c r="J752" s="130">
        <f t="shared" si="1"/>
        <v>0</v>
      </c>
      <c r="K752" s="130"/>
      <c r="L752" s="130"/>
      <c r="M752" s="130">
        <f t="shared" si="2"/>
        <v>0</v>
      </c>
      <c r="N752" s="130"/>
      <c r="O752" s="130"/>
      <c r="P752" s="127"/>
      <c r="Q752" s="127"/>
      <c r="R752" s="127"/>
      <c r="S752" s="127"/>
      <c r="T752" s="127" t="str">
        <f>IF(A752="","",VLOOKUP(A752,'BASE OS'!$A$2:$I1000,4,FALSE))</f>
        <v/>
      </c>
      <c r="U752" s="127"/>
      <c r="V752" s="127"/>
      <c r="W752" s="127" t="str">
        <f t="shared" si="3"/>
        <v/>
      </c>
      <c r="X752" s="127" t="str">
        <f t="shared" si="4"/>
        <v/>
      </c>
      <c r="Y752" s="127" t="str">
        <f t="shared" si="5"/>
        <v/>
      </c>
    </row>
    <row r="753">
      <c r="A753" s="127"/>
      <c r="B753" s="127" t="str">
        <f>IF(A753="","",VLOOKUP(A753,'BASE OS'!$A$2:$I1000,2,FALSE))</f>
        <v/>
      </c>
      <c r="C753" s="132"/>
      <c r="D753" s="127"/>
      <c r="E753" s="127"/>
      <c r="F753" s="127"/>
      <c r="G753" s="127"/>
      <c r="H753" s="130"/>
      <c r="I753" s="130"/>
      <c r="J753" s="130">
        <f t="shared" si="1"/>
        <v>0</v>
      </c>
      <c r="K753" s="130"/>
      <c r="L753" s="130"/>
      <c r="M753" s="130">
        <f t="shared" si="2"/>
        <v>0</v>
      </c>
      <c r="N753" s="130"/>
      <c r="O753" s="130"/>
      <c r="P753" s="127"/>
      <c r="Q753" s="127"/>
      <c r="R753" s="127"/>
      <c r="S753" s="127"/>
      <c r="T753" s="127" t="str">
        <f>IF(A753="","",VLOOKUP(A753,'BASE OS'!$A$2:$I1000,4,FALSE))</f>
        <v/>
      </c>
      <c r="U753" s="127"/>
      <c r="V753" s="127"/>
      <c r="W753" s="127" t="str">
        <f t="shared" si="3"/>
        <v/>
      </c>
      <c r="X753" s="127" t="str">
        <f t="shared" si="4"/>
        <v/>
      </c>
      <c r="Y753" s="127" t="str">
        <f t="shared" si="5"/>
        <v/>
      </c>
    </row>
    <row r="754">
      <c r="A754" s="127"/>
      <c r="B754" s="127" t="str">
        <f>IF(A754="","",VLOOKUP(A754,'BASE OS'!$A$2:$I1000,2,FALSE))</f>
        <v/>
      </c>
      <c r="C754" s="132"/>
      <c r="D754" s="127"/>
      <c r="E754" s="127"/>
      <c r="F754" s="127"/>
      <c r="G754" s="127"/>
      <c r="H754" s="130"/>
      <c r="I754" s="130"/>
      <c r="J754" s="130">
        <f t="shared" si="1"/>
        <v>0</v>
      </c>
      <c r="K754" s="130"/>
      <c r="L754" s="130"/>
      <c r="M754" s="130">
        <f t="shared" si="2"/>
        <v>0</v>
      </c>
      <c r="N754" s="130"/>
      <c r="O754" s="130"/>
      <c r="P754" s="127"/>
      <c r="Q754" s="127"/>
      <c r="R754" s="127"/>
      <c r="S754" s="127"/>
      <c r="T754" s="127" t="str">
        <f>IF(A754="","",VLOOKUP(A754,'BASE OS'!$A$2:$I1000,4,FALSE))</f>
        <v/>
      </c>
      <c r="U754" s="127"/>
      <c r="V754" s="127"/>
      <c r="W754" s="127" t="str">
        <f t="shared" si="3"/>
        <v/>
      </c>
      <c r="X754" s="127" t="str">
        <f t="shared" si="4"/>
        <v/>
      </c>
      <c r="Y754" s="127" t="str">
        <f t="shared" si="5"/>
        <v/>
      </c>
    </row>
    <row r="755">
      <c r="A755" s="127"/>
      <c r="B755" s="127" t="str">
        <f>IF(A755="","",VLOOKUP(A755,'BASE OS'!$A$2:$I1000,2,FALSE))</f>
        <v/>
      </c>
      <c r="C755" s="132"/>
      <c r="D755" s="127"/>
      <c r="E755" s="127"/>
      <c r="F755" s="127"/>
      <c r="G755" s="127"/>
      <c r="H755" s="130"/>
      <c r="I755" s="130"/>
      <c r="J755" s="130">
        <f t="shared" si="1"/>
        <v>0</v>
      </c>
      <c r="K755" s="130"/>
      <c r="L755" s="130"/>
      <c r="M755" s="130">
        <f t="shared" si="2"/>
        <v>0</v>
      </c>
      <c r="N755" s="130"/>
      <c r="O755" s="130"/>
      <c r="P755" s="127"/>
      <c r="Q755" s="127"/>
      <c r="R755" s="127"/>
      <c r="S755" s="127"/>
      <c r="T755" s="127" t="str">
        <f>IF(A755="","",VLOOKUP(A755,'BASE OS'!$A$2:$I1000,4,FALSE))</f>
        <v/>
      </c>
      <c r="U755" s="127"/>
      <c r="V755" s="127"/>
      <c r="W755" s="127" t="str">
        <f t="shared" si="3"/>
        <v/>
      </c>
      <c r="X755" s="127" t="str">
        <f t="shared" si="4"/>
        <v/>
      </c>
      <c r="Y755" s="127" t="str">
        <f t="shared" si="5"/>
        <v/>
      </c>
    </row>
    <row r="756">
      <c r="A756" s="127"/>
      <c r="B756" s="127" t="str">
        <f>IF(A756="","",VLOOKUP(A756,'BASE OS'!$A$2:$I1000,2,FALSE))</f>
        <v/>
      </c>
      <c r="C756" s="132"/>
      <c r="D756" s="127"/>
      <c r="E756" s="127"/>
      <c r="F756" s="127"/>
      <c r="G756" s="127"/>
      <c r="H756" s="130"/>
      <c r="I756" s="130"/>
      <c r="J756" s="130">
        <f t="shared" si="1"/>
        <v>0</v>
      </c>
      <c r="K756" s="130"/>
      <c r="L756" s="130"/>
      <c r="M756" s="130">
        <f t="shared" si="2"/>
        <v>0</v>
      </c>
      <c r="N756" s="130"/>
      <c r="O756" s="130"/>
      <c r="P756" s="127"/>
      <c r="Q756" s="127"/>
      <c r="R756" s="127"/>
      <c r="S756" s="127"/>
      <c r="T756" s="127" t="str">
        <f>IF(A756="","",VLOOKUP(A756,'BASE OS'!$A$2:$I1000,4,FALSE))</f>
        <v/>
      </c>
      <c r="U756" s="127"/>
      <c r="V756" s="127"/>
      <c r="W756" s="127" t="str">
        <f t="shared" si="3"/>
        <v/>
      </c>
      <c r="X756" s="127" t="str">
        <f t="shared" si="4"/>
        <v/>
      </c>
      <c r="Y756" s="127" t="str">
        <f t="shared" si="5"/>
        <v/>
      </c>
    </row>
    <row r="757">
      <c r="A757" s="127"/>
      <c r="B757" s="127" t="str">
        <f>IF(A757="","",VLOOKUP(A757,'BASE OS'!$A$2:$I1000,2,FALSE))</f>
        <v/>
      </c>
      <c r="C757" s="132"/>
      <c r="D757" s="127"/>
      <c r="E757" s="127"/>
      <c r="F757" s="127"/>
      <c r="G757" s="127"/>
      <c r="H757" s="130"/>
      <c r="I757" s="130"/>
      <c r="J757" s="130">
        <f t="shared" si="1"/>
        <v>0</v>
      </c>
      <c r="K757" s="130"/>
      <c r="L757" s="130"/>
      <c r="M757" s="130">
        <f t="shared" si="2"/>
        <v>0</v>
      </c>
      <c r="N757" s="130"/>
      <c r="O757" s="130"/>
      <c r="P757" s="127"/>
      <c r="Q757" s="127"/>
      <c r="R757" s="127"/>
      <c r="S757" s="127"/>
      <c r="T757" s="127" t="str">
        <f>IF(A757="","",VLOOKUP(A757,'BASE OS'!$A$2:$I1000,4,FALSE))</f>
        <v/>
      </c>
      <c r="U757" s="127"/>
      <c r="V757" s="127"/>
      <c r="W757" s="127" t="str">
        <f t="shared" si="3"/>
        <v/>
      </c>
      <c r="X757" s="127" t="str">
        <f t="shared" si="4"/>
        <v/>
      </c>
      <c r="Y757" s="127" t="str">
        <f t="shared" si="5"/>
        <v/>
      </c>
    </row>
    <row r="758">
      <c r="A758" s="127"/>
      <c r="B758" s="127" t="str">
        <f>IF(A758="","",VLOOKUP(A758,'BASE OS'!$A$2:$I1000,2,FALSE))</f>
        <v/>
      </c>
      <c r="C758" s="132"/>
      <c r="D758" s="127"/>
      <c r="E758" s="127"/>
      <c r="F758" s="127"/>
      <c r="G758" s="127"/>
      <c r="H758" s="130"/>
      <c r="I758" s="130"/>
      <c r="J758" s="130">
        <f t="shared" si="1"/>
        <v>0</v>
      </c>
      <c r="K758" s="130"/>
      <c r="L758" s="130"/>
      <c r="M758" s="130">
        <f t="shared" si="2"/>
        <v>0</v>
      </c>
      <c r="N758" s="130"/>
      <c r="O758" s="130"/>
      <c r="P758" s="127"/>
      <c r="Q758" s="127"/>
      <c r="R758" s="127"/>
      <c r="S758" s="127"/>
      <c r="T758" s="127" t="str">
        <f>IF(A758="","",VLOOKUP(A758,'BASE OS'!$A$2:$I1000,4,FALSE))</f>
        <v/>
      </c>
      <c r="U758" s="127"/>
      <c r="V758" s="127"/>
      <c r="W758" s="127" t="str">
        <f t="shared" si="3"/>
        <v/>
      </c>
      <c r="X758" s="127" t="str">
        <f t="shared" si="4"/>
        <v/>
      </c>
      <c r="Y758" s="127" t="str">
        <f t="shared" si="5"/>
        <v/>
      </c>
    </row>
    <row r="759">
      <c r="A759" s="127"/>
      <c r="B759" s="127" t="str">
        <f>IF(A759="","",VLOOKUP(A759,'BASE OS'!$A$2:$I1000,2,FALSE))</f>
        <v/>
      </c>
      <c r="C759" s="132"/>
      <c r="D759" s="127"/>
      <c r="E759" s="127"/>
      <c r="F759" s="127"/>
      <c r="G759" s="127"/>
      <c r="H759" s="130"/>
      <c r="I759" s="130"/>
      <c r="J759" s="130">
        <f t="shared" si="1"/>
        <v>0</v>
      </c>
      <c r="K759" s="130"/>
      <c r="L759" s="130"/>
      <c r="M759" s="130">
        <f t="shared" si="2"/>
        <v>0</v>
      </c>
      <c r="N759" s="130"/>
      <c r="O759" s="130"/>
      <c r="P759" s="127"/>
      <c r="Q759" s="127"/>
      <c r="R759" s="127"/>
      <c r="S759" s="127"/>
      <c r="T759" s="127" t="str">
        <f>IF(A759="","",VLOOKUP(A759,'BASE OS'!$A$2:$I1000,4,FALSE))</f>
        <v/>
      </c>
      <c r="U759" s="127"/>
      <c r="V759" s="127"/>
      <c r="W759" s="127" t="str">
        <f t="shared" si="3"/>
        <v/>
      </c>
      <c r="X759" s="127" t="str">
        <f t="shared" si="4"/>
        <v/>
      </c>
      <c r="Y759" s="127" t="str">
        <f t="shared" si="5"/>
        <v/>
      </c>
    </row>
    <row r="760">
      <c r="A760" s="127"/>
      <c r="B760" s="127" t="str">
        <f>IF(A760="","",VLOOKUP(A760,'BASE OS'!$A$2:$I1000,2,FALSE))</f>
        <v/>
      </c>
      <c r="C760" s="132"/>
      <c r="D760" s="127"/>
      <c r="E760" s="127"/>
      <c r="F760" s="127"/>
      <c r="G760" s="127"/>
      <c r="H760" s="130"/>
      <c r="I760" s="130"/>
      <c r="J760" s="130">
        <f t="shared" si="1"/>
        <v>0</v>
      </c>
      <c r="K760" s="130"/>
      <c r="L760" s="130"/>
      <c r="M760" s="130">
        <f t="shared" si="2"/>
        <v>0</v>
      </c>
      <c r="N760" s="130"/>
      <c r="O760" s="130"/>
      <c r="P760" s="127"/>
      <c r="Q760" s="127"/>
      <c r="R760" s="127"/>
      <c r="S760" s="127"/>
      <c r="T760" s="127" t="str">
        <f>IF(A760="","",VLOOKUP(A760,'BASE OS'!$A$2:$I1000,4,FALSE))</f>
        <v/>
      </c>
      <c r="U760" s="127"/>
      <c r="V760" s="127"/>
      <c r="W760" s="127" t="str">
        <f t="shared" si="3"/>
        <v/>
      </c>
      <c r="X760" s="127" t="str">
        <f t="shared" si="4"/>
        <v/>
      </c>
      <c r="Y760" s="127" t="str">
        <f t="shared" si="5"/>
        <v/>
      </c>
    </row>
    <row r="761">
      <c r="A761" s="127"/>
      <c r="B761" s="127" t="str">
        <f>IF(A761="","",VLOOKUP(A761,'BASE OS'!$A$2:$I1000,2,FALSE))</f>
        <v/>
      </c>
      <c r="C761" s="132"/>
      <c r="D761" s="127"/>
      <c r="E761" s="127"/>
      <c r="F761" s="127"/>
      <c r="G761" s="127"/>
      <c r="H761" s="130"/>
      <c r="I761" s="130"/>
      <c r="J761" s="130">
        <f t="shared" si="1"/>
        <v>0</v>
      </c>
      <c r="K761" s="130"/>
      <c r="L761" s="130"/>
      <c r="M761" s="130">
        <f t="shared" si="2"/>
        <v>0</v>
      </c>
      <c r="N761" s="130"/>
      <c r="O761" s="130"/>
      <c r="P761" s="127"/>
      <c r="Q761" s="127"/>
      <c r="R761" s="127"/>
      <c r="S761" s="127"/>
      <c r="T761" s="127" t="str">
        <f>IF(A761="","",VLOOKUP(A761,'BASE OS'!$A$2:$I1000,4,FALSE))</f>
        <v/>
      </c>
      <c r="U761" s="127"/>
      <c r="V761" s="127"/>
      <c r="W761" s="127" t="str">
        <f t="shared" si="3"/>
        <v/>
      </c>
      <c r="X761" s="127" t="str">
        <f t="shared" si="4"/>
        <v/>
      </c>
      <c r="Y761" s="127" t="str">
        <f t="shared" si="5"/>
        <v/>
      </c>
    </row>
    <row r="762">
      <c r="A762" s="127"/>
      <c r="B762" s="127" t="str">
        <f>IF(A762="","",VLOOKUP(A762,'BASE OS'!$A$2:$I1000,2,FALSE))</f>
        <v/>
      </c>
      <c r="C762" s="132"/>
      <c r="D762" s="127"/>
      <c r="E762" s="127"/>
      <c r="F762" s="127"/>
      <c r="G762" s="127"/>
      <c r="H762" s="130"/>
      <c r="I762" s="130"/>
      <c r="J762" s="130">
        <f t="shared" si="1"/>
        <v>0</v>
      </c>
      <c r="K762" s="130"/>
      <c r="L762" s="130"/>
      <c r="M762" s="130">
        <f t="shared" si="2"/>
        <v>0</v>
      </c>
      <c r="N762" s="130"/>
      <c r="O762" s="130"/>
      <c r="P762" s="127"/>
      <c r="Q762" s="127"/>
      <c r="R762" s="127"/>
      <c r="S762" s="127"/>
      <c r="T762" s="127" t="str">
        <f>IF(A762="","",VLOOKUP(A762,'BASE OS'!$A$2:$I1000,4,FALSE))</f>
        <v/>
      </c>
      <c r="U762" s="127"/>
      <c r="V762" s="127"/>
      <c r="W762" s="127" t="str">
        <f t="shared" si="3"/>
        <v/>
      </c>
      <c r="X762" s="127" t="str">
        <f t="shared" si="4"/>
        <v/>
      </c>
      <c r="Y762" s="127" t="str">
        <f t="shared" si="5"/>
        <v/>
      </c>
    </row>
    <row r="763">
      <c r="A763" s="127"/>
      <c r="B763" s="127" t="str">
        <f>IF(A763="","",VLOOKUP(A763,'BASE OS'!$A$2:$I1000,2,FALSE))</f>
        <v/>
      </c>
      <c r="C763" s="132"/>
      <c r="D763" s="127"/>
      <c r="E763" s="127"/>
      <c r="F763" s="127"/>
      <c r="G763" s="127"/>
      <c r="H763" s="130"/>
      <c r="I763" s="130"/>
      <c r="J763" s="130">
        <f t="shared" si="1"/>
        <v>0</v>
      </c>
      <c r="K763" s="130"/>
      <c r="L763" s="130"/>
      <c r="M763" s="130">
        <f t="shared" si="2"/>
        <v>0</v>
      </c>
      <c r="N763" s="130"/>
      <c r="O763" s="130"/>
      <c r="P763" s="127"/>
      <c r="Q763" s="127"/>
      <c r="R763" s="127"/>
      <c r="S763" s="127"/>
      <c r="T763" s="127" t="str">
        <f>IF(A763="","",VLOOKUP(A763,'BASE OS'!$A$2:$I1000,4,FALSE))</f>
        <v/>
      </c>
      <c r="U763" s="127"/>
      <c r="V763" s="127"/>
      <c r="W763" s="127" t="str">
        <f t="shared" si="3"/>
        <v/>
      </c>
      <c r="X763" s="127" t="str">
        <f t="shared" si="4"/>
        <v/>
      </c>
      <c r="Y763" s="127" t="str">
        <f t="shared" si="5"/>
        <v/>
      </c>
    </row>
    <row r="764">
      <c r="A764" s="127"/>
      <c r="B764" s="127" t="str">
        <f>IF(A764="","",VLOOKUP(A764,'BASE OS'!$A$2:$I1000,2,FALSE))</f>
        <v/>
      </c>
      <c r="C764" s="132"/>
      <c r="D764" s="127"/>
      <c r="E764" s="127"/>
      <c r="F764" s="127"/>
      <c r="G764" s="127"/>
      <c r="H764" s="130"/>
      <c r="I764" s="130"/>
      <c r="J764" s="130">
        <f t="shared" si="1"/>
        <v>0</v>
      </c>
      <c r="K764" s="130"/>
      <c r="L764" s="130"/>
      <c r="M764" s="130">
        <f t="shared" si="2"/>
        <v>0</v>
      </c>
      <c r="N764" s="130"/>
      <c r="O764" s="130"/>
      <c r="P764" s="127"/>
      <c r="Q764" s="127"/>
      <c r="R764" s="127"/>
      <c r="S764" s="127"/>
      <c r="T764" s="127" t="str">
        <f>IF(A764="","",VLOOKUP(A764,'BASE OS'!$A$2:$I1000,4,FALSE))</f>
        <v/>
      </c>
      <c r="U764" s="127"/>
      <c r="V764" s="127"/>
      <c r="W764" s="127" t="str">
        <f t="shared" si="3"/>
        <v/>
      </c>
      <c r="X764" s="127" t="str">
        <f t="shared" si="4"/>
        <v/>
      </c>
      <c r="Y764" s="127" t="str">
        <f t="shared" si="5"/>
        <v/>
      </c>
    </row>
    <row r="765">
      <c r="A765" s="127"/>
      <c r="B765" s="127" t="str">
        <f>IF(A765="","",VLOOKUP(A765,'BASE OS'!$A$2:$I1000,2,FALSE))</f>
        <v/>
      </c>
      <c r="C765" s="132"/>
      <c r="D765" s="127"/>
      <c r="E765" s="127"/>
      <c r="F765" s="127"/>
      <c r="G765" s="127"/>
      <c r="H765" s="130"/>
      <c r="I765" s="130"/>
      <c r="J765" s="130">
        <f t="shared" si="1"/>
        <v>0</v>
      </c>
      <c r="K765" s="130"/>
      <c r="L765" s="130"/>
      <c r="M765" s="130">
        <f t="shared" si="2"/>
        <v>0</v>
      </c>
      <c r="N765" s="130"/>
      <c r="O765" s="130"/>
      <c r="P765" s="127"/>
      <c r="Q765" s="127"/>
      <c r="R765" s="127"/>
      <c r="S765" s="127"/>
      <c r="T765" s="127" t="str">
        <f>IF(A765="","",VLOOKUP(A765,'BASE OS'!$A$2:$I1000,4,FALSE))</f>
        <v/>
      </c>
      <c r="U765" s="127"/>
      <c r="V765" s="127"/>
      <c r="W765" s="127" t="str">
        <f t="shared" si="3"/>
        <v/>
      </c>
      <c r="X765" s="127" t="str">
        <f t="shared" si="4"/>
        <v/>
      </c>
      <c r="Y765" s="127" t="str">
        <f t="shared" si="5"/>
        <v/>
      </c>
    </row>
    <row r="766">
      <c r="A766" s="127"/>
      <c r="B766" s="127" t="str">
        <f>IF(A766="","",VLOOKUP(A766,'BASE OS'!$A$2:$I1000,2,FALSE))</f>
        <v/>
      </c>
      <c r="C766" s="132"/>
      <c r="D766" s="127"/>
      <c r="E766" s="127"/>
      <c r="F766" s="127"/>
      <c r="G766" s="127"/>
      <c r="H766" s="130"/>
      <c r="I766" s="130"/>
      <c r="J766" s="130">
        <f t="shared" si="1"/>
        <v>0</v>
      </c>
      <c r="K766" s="130"/>
      <c r="L766" s="130"/>
      <c r="M766" s="130">
        <f t="shared" si="2"/>
        <v>0</v>
      </c>
      <c r="N766" s="130"/>
      <c r="O766" s="130"/>
      <c r="P766" s="127"/>
      <c r="Q766" s="127"/>
      <c r="R766" s="127"/>
      <c r="S766" s="127"/>
      <c r="T766" s="127" t="str">
        <f>IF(A766="","",VLOOKUP(A766,'BASE OS'!$A$2:$I1000,4,FALSE))</f>
        <v/>
      </c>
      <c r="U766" s="127"/>
      <c r="V766" s="127"/>
      <c r="W766" s="127" t="str">
        <f t="shared" si="3"/>
        <v/>
      </c>
      <c r="X766" s="127" t="str">
        <f t="shared" si="4"/>
        <v/>
      </c>
      <c r="Y766" s="127" t="str">
        <f t="shared" si="5"/>
        <v/>
      </c>
    </row>
    <row r="767">
      <c r="A767" s="127"/>
      <c r="B767" s="127" t="str">
        <f>IF(A767="","",VLOOKUP(A767,'BASE OS'!$A$2:$I1000,2,FALSE))</f>
        <v/>
      </c>
      <c r="C767" s="132"/>
      <c r="D767" s="127"/>
      <c r="E767" s="127"/>
      <c r="F767" s="127"/>
      <c r="G767" s="127"/>
      <c r="H767" s="130"/>
      <c r="I767" s="130"/>
      <c r="J767" s="130">
        <f t="shared" si="1"/>
        <v>0</v>
      </c>
      <c r="K767" s="130"/>
      <c r="L767" s="130"/>
      <c r="M767" s="130">
        <f t="shared" si="2"/>
        <v>0</v>
      </c>
      <c r="N767" s="130"/>
      <c r="O767" s="130"/>
      <c r="P767" s="127"/>
      <c r="Q767" s="127"/>
      <c r="R767" s="127"/>
      <c r="S767" s="127"/>
      <c r="T767" s="127" t="str">
        <f>IF(A767="","",VLOOKUP(A767,'BASE OS'!$A$2:$I1000,4,FALSE))</f>
        <v/>
      </c>
      <c r="U767" s="127"/>
      <c r="V767" s="127"/>
      <c r="W767" s="127" t="str">
        <f t="shared" si="3"/>
        <v/>
      </c>
      <c r="X767" s="127" t="str">
        <f t="shared" si="4"/>
        <v/>
      </c>
      <c r="Y767" s="127" t="str">
        <f t="shared" si="5"/>
        <v/>
      </c>
    </row>
    <row r="768">
      <c r="A768" s="127"/>
      <c r="B768" s="127" t="str">
        <f>IF(A768="","",VLOOKUP(A768,'BASE OS'!$A$2:$I1000,2,FALSE))</f>
        <v/>
      </c>
      <c r="C768" s="132"/>
      <c r="D768" s="127"/>
      <c r="E768" s="127"/>
      <c r="F768" s="127"/>
      <c r="G768" s="127"/>
      <c r="H768" s="130"/>
      <c r="I768" s="130"/>
      <c r="J768" s="130">
        <f t="shared" si="1"/>
        <v>0</v>
      </c>
      <c r="K768" s="130"/>
      <c r="L768" s="130"/>
      <c r="M768" s="130">
        <f t="shared" si="2"/>
        <v>0</v>
      </c>
      <c r="N768" s="130"/>
      <c r="O768" s="130"/>
      <c r="P768" s="127"/>
      <c r="Q768" s="127"/>
      <c r="R768" s="127"/>
      <c r="S768" s="127"/>
      <c r="T768" s="127" t="str">
        <f>IF(A768="","",VLOOKUP(A768,'BASE OS'!$A$2:$I1000,4,FALSE))</f>
        <v/>
      </c>
      <c r="U768" s="127"/>
      <c r="V768" s="127"/>
      <c r="W768" s="127" t="str">
        <f t="shared" si="3"/>
        <v/>
      </c>
      <c r="X768" s="127" t="str">
        <f t="shared" si="4"/>
        <v/>
      </c>
      <c r="Y768" s="127" t="str">
        <f t="shared" si="5"/>
        <v/>
      </c>
    </row>
    <row r="769">
      <c r="A769" s="127"/>
      <c r="B769" s="127" t="str">
        <f>IF(A769="","",VLOOKUP(A769,'BASE OS'!$A$2:$I1000,2,FALSE))</f>
        <v/>
      </c>
      <c r="C769" s="132"/>
      <c r="D769" s="127"/>
      <c r="E769" s="127"/>
      <c r="F769" s="127"/>
      <c r="G769" s="127"/>
      <c r="H769" s="130"/>
      <c r="I769" s="130"/>
      <c r="J769" s="130">
        <f t="shared" si="1"/>
        <v>0</v>
      </c>
      <c r="K769" s="130"/>
      <c r="L769" s="130"/>
      <c r="M769" s="130">
        <f t="shared" si="2"/>
        <v>0</v>
      </c>
      <c r="N769" s="130"/>
      <c r="O769" s="130"/>
      <c r="P769" s="127"/>
      <c r="Q769" s="127"/>
      <c r="R769" s="127"/>
      <c r="S769" s="127"/>
      <c r="T769" s="127" t="str">
        <f>IF(A769="","",VLOOKUP(A769,'BASE OS'!$A$2:$I1000,4,FALSE))</f>
        <v/>
      </c>
      <c r="U769" s="127"/>
      <c r="V769" s="127"/>
      <c r="W769" s="127" t="str">
        <f t="shared" si="3"/>
        <v/>
      </c>
      <c r="X769" s="127" t="str">
        <f t="shared" si="4"/>
        <v/>
      </c>
      <c r="Y769" s="127" t="str">
        <f t="shared" si="5"/>
        <v/>
      </c>
    </row>
    <row r="770">
      <c r="A770" s="127"/>
      <c r="B770" s="127" t="str">
        <f>IF(A770="","",VLOOKUP(A770,'BASE OS'!$A$2:$I1000,2,FALSE))</f>
        <v/>
      </c>
      <c r="C770" s="132"/>
      <c r="D770" s="127"/>
      <c r="E770" s="127"/>
      <c r="F770" s="127"/>
      <c r="G770" s="127"/>
      <c r="H770" s="130"/>
      <c r="I770" s="130"/>
      <c r="J770" s="130">
        <f t="shared" si="1"/>
        <v>0</v>
      </c>
      <c r="K770" s="130"/>
      <c r="L770" s="130"/>
      <c r="M770" s="130">
        <f t="shared" si="2"/>
        <v>0</v>
      </c>
      <c r="N770" s="130"/>
      <c r="O770" s="130"/>
      <c r="P770" s="127"/>
      <c r="Q770" s="127"/>
      <c r="R770" s="127"/>
      <c r="S770" s="127"/>
      <c r="T770" s="127" t="str">
        <f>IF(A770="","",VLOOKUP(A770,'BASE OS'!$A$2:$I1000,4,FALSE))</f>
        <v/>
      </c>
      <c r="U770" s="127"/>
      <c r="V770" s="127"/>
      <c r="W770" s="127" t="str">
        <f t="shared" si="3"/>
        <v/>
      </c>
      <c r="X770" s="127" t="str">
        <f t="shared" si="4"/>
        <v/>
      </c>
      <c r="Y770" s="127" t="str">
        <f t="shared" si="5"/>
        <v/>
      </c>
    </row>
    <row r="771">
      <c r="A771" s="127"/>
      <c r="B771" s="127" t="str">
        <f>IF(A771="","",VLOOKUP(A771,'BASE OS'!$A$2:$I1000,2,FALSE))</f>
        <v/>
      </c>
      <c r="C771" s="132"/>
      <c r="D771" s="127"/>
      <c r="E771" s="127"/>
      <c r="F771" s="127"/>
      <c r="G771" s="127"/>
      <c r="H771" s="130"/>
      <c r="I771" s="130"/>
      <c r="J771" s="130">
        <f t="shared" si="1"/>
        <v>0</v>
      </c>
      <c r="K771" s="130"/>
      <c r="L771" s="130"/>
      <c r="M771" s="130">
        <f t="shared" si="2"/>
        <v>0</v>
      </c>
      <c r="N771" s="130"/>
      <c r="O771" s="130"/>
      <c r="P771" s="127"/>
      <c r="Q771" s="127"/>
      <c r="R771" s="127"/>
      <c r="S771" s="127"/>
      <c r="T771" s="127" t="str">
        <f>IF(A771="","",VLOOKUP(A771,'BASE OS'!$A$2:$I1000,4,FALSE))</f>
        <v/>
      </c>
      <c r="U771" s="127"/>
      <c r="V771" s="127"/>
      <c r="W771" s="127" t="str">
        <f t="shared" si="3"/>
        <v/>
      </c>
      <c r="X771" s="127" t="str">
        <f t="shared" si="4"/>
        <v/>
      </c>
      <c r="Y771" s="127" t="str">
        <f t="shared" si="5"/>
        <v/>
      </c>
    </row>
    <row r="772">
      <c r="A772" s="127"/>
      <c r="B772" s="127" t="str">
        <f>IF(A772="","",VLOOKUP(A772,'BASE OS'!$A$2:$I1000,2,FALSE))</f>
        <v/>
      </c>
      <c r="C772" s="132"/>
      <c r="D772" s="127"/>
      <c r="E772" s="127"/>
      <c r="F772" s="127"/>
      <c r="G772" s="127"/>
      <c r="H772" s="130"/>
      <c r="I772" s="130"/>
      <c r="J772" s="130">
        <f t="shared" si="1"/>
        <v>0</v>
      </c>
      <c r="K772" s="130"/>
      <c r="L772" s="130"/>
      <c r="M772" s="130">
        <f t="shared" si="2"/>
        <v>0</v>
      </c>
      <c r="N772" s="130"/>
      <c r="O772" s="130"/>
      <c r="P772" s="127"/>
      <c r="Q772" s="127"/>
      <c r="R772" s="127"/>
      <c r="S772" s="127"/>
      <c r="T772" s="127" t="str">
        <f>IF(A772="","",VLOOKUP(A772,'BASE OS'!$A$2:$I1000,4,FALSE))</f>
        <v/>
      </c>
      <c r="U772" s="127"/>
      <c r="V772" s="127"/>
      <c r="W772" s="127" t="str">
        <f t="shared" si="3"/>
        <v/>
      </c>
      <c r="X772" s="127" t="str">
        <f t="shared" si="4"/>
        <v/>
      </c>
      <c r="Y772" s="127" t="str">
        <f t="shared" si="5"/>
        <v/>
      </c>
    </row>
    <row r="773">
      <c r="A773" s="127"/>
      <c r="B773" s="127" t="str">
        <f>IF(A773="","",VLOOKUP(A773,'BASE OS'!$A$2:$I1000,2,FALSE))</f>
        <v/>
      </c>
      <c r="C773" s="132"/>
      <c r="D773" s="127"/>
      <c r="E773" s="127"/>
      <c r="F773" s="127"/>
      <c r="G773" s="127"/>
      <c r="H773" s="130"/>
      <c r="I773" s="130"/>
      <c r="J773" s="130">
        <f t="shared" si="1"/>
        <v>0</v>
      </c>
      <c r="K773" s="130"/>
      <c r="L773" s="130"/>
      <c r="M773" s="130">
        <f t="shared" si="2"/>
        <v>0</v>
      </c>
      <c r="N773" s="130"/>
      <c r="O773" s="130"/>
      <c r="P773" s="127"/>
      <c r="Q773" s="127"/>
      <c r="R773" s="127"/>
      <c r="S773" s="127"/>
      <c r="T773" s="127" t="str">
        <f>IF(A773="","",VLOOKUP(A773,'BASE OS'!$A$2:$I1000,4,FALSE))</f>
        <v/>
      </c>
      <c r="U773" s="127"/>
      <c r="V773" s="127"/>
      <c r="W773" s="127" t="str">
        <f t="shared" si="3"/>
        <v/>
      </c>
      <c r="X773" s="127" t="str">
        <f t="shared" si="4"/>
        <v/>
      </c>
      <c r="Y773" s="127" t="str">
        <f t="shared" si="5"/>
        <v/>
      </c>
    </row>
    <row r="774">
      <c r="A774" s="127"/>
      <c r="B774" s="127" t="str">
        <f>IF(A774="","",VLOOKUP(A774,'BASE OS'!$A$2:$I1000,2,FALSE))</f>
        <v/>
      </c>
      <c r="C774" s="132"/>
      <c r="D774" s="127"/>
      <c r="E774" s="127"/>
      <c r="F774" s="127"/>
      <c r="G774" s="127"/>
      <c r="H774" s="130"/>
      <c r="I774" s="130"/>
      <c r="J774" s="130">
        <f t="shared" si="1"/>
        <v>0</v>
      </c>
      <c r="K774" s="130"/>
      <c r="L774" s="130"/>
      <c r="M774" s="130">
        <f t="shared" si="2"/>
        <v>0</v>
      </c>
      <c r="N774" s="130"/>
      <c r="O774" s="130"/>
      <c r="P774" s="127"/>
      <c r="Q774" s="127"/>
      <c r="R774" s="127"/>
      <c r="S774" s="127"/>
      <c r="T774" s="127" t="str">
        <f>IF(A774="","",VLOOKUP(A774,'BASE OS'!$A$2:$I1000,4,FALSE))</f>
        <v/>
      </c>
      <c r="U774" s="127"/>
      <c r="V774" s="127"/>
      <c r="W774" s="127" t="str">
        <f t="shared" si="3"/>
        <v/>
      </c>
      <c r="X774" s="127" t="str">
        <f t="shared" si="4"/>
        <v/>
      </c>
      <c r="Y774" s="127" t="str">
        <f t="shared" si="5"/>
        <v/>
      </c>
    </row>
    <row r="775">
      <c r="A775" s="127"/>
      <c r="B775" s="127" t="str">
        <f>IF(A775="","",VLOOKUP(A775,'BASE OS'!$A$2:$I1000,2,FALSE))</f>
        <v/>
      </c>
      <c r="C775" s="132"/>
      <c r="D775" s="127"/>
      <c r="E775" s="127"/>
      <c r="F775" s="127"/>
      <c r="G775" s="127"/>
      <c r="H775" s="130"/>
      <c r="I775" s="130"/>
      <c r="J775" s="130">
        <f t="shared" si="1"/>
        <v>0</v>
      </c>
      <c r="K775" s="130"/>
      <c r="L775" s="130"/>
      <c r="M775" s="130">
        <f t="shared" si="2"/>
        <v>0</v>
      </c>
      <c r="N775" s="130"/>
      <c r="O775" s="130"/>
      <c r="P775" s="127"/>
      <c r="Q775" s="127"/>
      <c r="R775" s="127"/>
      <c r="S775" s="127"/>
      <c r="T775" s="127" t="str">
        <f>IF(A775="","",VLOOKUP(A775,'BASE OS'!$A$2:$I1000,4,FALSE))</f>
        <v/>
      </c>
      <c r="U775" s="127"/>
      <c r="V775" s="127"/>
      <c r="W775" s="127" t="str">
        <f t="shared" si="3"/>
        <v/>
      </c>
      <c r="X775" s="127" t="str">
        <f t="shared" si="4"/>
        <v/>
      </c>
      <c r="Y775" s="127" t="str">
        <f t="shared" si="5"/>
        <v/>
      </c>
    </row>
    <row r="776">
      <c r="A776" s="127"/>
      <c r="B776" s="127" t="str">
        <f>IF(A776="","",VLOOKUP(A776,'BASE OS'!$A$2:$I1000,2,FALSE))</f>
        <v/>
      </c>
      <c r="C776" s="132"/>
      <c r="D776" s="127"/>
      <c r="E776" s="127"/>
      <c r="F776" s="127"/>
      <c r="G776" s="127"/>
      <c r="H776" s="130"/>
      <c r="I776" s="130"/>
      <c r="J776" s="130">
        <f t="shared" si="1"/>
        <v>0</v>
      </c>
      <c r="K776" s="130"/>
      <c r="L776" s="130"/>
      <c r="M776" s="130">
        <f t="shared" si="2"/>
        <v>0</v>
      </c>
      <c r="N776" s="130"/>
      <c r="O776" s="130"/>
      <c r="P776" s="127"/>
      <c r="Q776" s="127"/>
      <c r="R776" s="127"/>
      <c r="S776" s="127"/>
      <c r="T776" s="127" t="str">
        <f>IF(A776="","",VLOOKUP(A776,'BASE OS'!$A$2:$I1000,4,FALSE))</f>
        <v/>
      </c>
      <c r="U776" s="127"/>
      <c r="V776" s="127"/>
      <c r="W776" s="127" t="str">
        <f t="shared" si="3"/>
        <v/>
      </c>
      <c r="X776" s="127" t="str">
        <f t="shared" si="4"/>
        <v/>
      </c>
      <c r="Y776" s="127" t="str">
        <f t="shared" si="5"/>
        <v/>
      </c>
    </row>
    <row r="777">
      <c r="A777" s="127"/>
      <c r="B777" s="127" t="str">
        <f>IF(A777="","",VLOOKUP(A777,'BASE OS'!$A$2:$I1000,2,FALSE))</f>
        <v/>
      </c>
      <c r="C777" s="132"/>
      <c r="D777" s="127"/>
      <c r="E777" s="127"/>
      <c r="F777" s="127"/>
      <c r="G777" s="127"/>
      <c r="H777" s="130"/>
      <c r="I777" s="130"/>
      <c r="J777" s="130">
        <f t="shared" si="1"/>
        <v>0</v>
      </c>
      <c r="K777" s="130"/>
      <c r="L777" s="130"/>
      <c r="M777" s="130">
        <f t="shared" si="2"/>
        <v>0</v>
      </c>
      <c r="N777" s="130"/>
      <c r="O777" s="130"/>
      <c r="P777" s="127"/>
      <c r="Q777" s="127"/>
      <c r="R777" s="127"/>
      <c r="S777" s="127"/>
      <c r="T777" s="127" t="str">
        <f>IF(A777="","",VLOOKUP(A777,'BASE OS'!$A$2:$I1000,4,FALSE))</f>
        <v/>
      </c>
      <c r="U777" s="127"/>
      <c r="V777" s="127"/>
      <c r="W777" s="127" t="str">
        <f t="shared" si="3"/>
        <v/>
      </c>
      <c r="X777" s="127" t="str">
        <f t="shared" si="4"/>
        <v/>
      </c>
      <c r="Y777" s="127" t="str">
        <f t="shared" si="5"/>
        <v/>
      </c>
    </row>
    <row r="778">
      <c r="A778" s="127"/>
      <c r="B778" s="127" t="str">
        <f>IF(A778="","",VLOOKUP(A778,'BASE OS'!$A$2:$I1000,2,FALSE))</f>
        <v/>
      </c>
      <c r="C778" s="132"/>
      <c r="D778" s="127"/>
      <c r="E778" s="127"/>
      <c r="F778" s="127"/>
      <c r="G778" s="127"/>
      <c r="H778" s="130"/>
      <c r="I778" s="130"/>
      <c r="J778" s="130">
        <f t="shared" si="1"/>
        <v>0</v>
      </c>
      <c r="K778" s="130"/>
      <c r="L778" s="130"/>
      <c r="M778" s="130">
        <f t="shared" si="2"/>
        <v>0</v>
      </c>
      <c r="N778" s="130"/>
      <c r="O778" s="130"/>
      <c r="P778" s="127"/>
      <c r="Q778" s="127"/>
      <c r="R778" s="127"/>
      <c r="S778" s="127"/>
      <c r="T778" s="127" t="str">
        <f>IF(A778="","",VLOOKUP(A778,'BASE OS'!$A$2:$I1000,4,FALSE))</f>
        <v/>
      </c>
      <c r="U778" s="127"/>
      <c r="V778" s="127"/>
      <c r="W778" s="127" t="str">
        <f t="shared" si="3"/>
        <v/>
      </c>
      <c r="X778" s="127" t="str">
        <f t="shared" si="4"/>
        <v/>
      </c>
      <c r="Y778" s="127" t="str">
        <f t="shared" si="5"/>
        <v/>
      </c>
    </row>
    <row r="779">
      <c r="A779" s="127"/>
      <c r="B779" s="127" t="str">
        <f>IF(A779="","",VLOOKUP(A779,'BASE OS'!$A$2:$I1000,2,FALSE))</f>
        <v/>
      </c>
      <c r="C779" s="132"/>
      <c r="D779" s="127"/>
      <c r="E779" s="127"/>
      <c r="F779" s="127"/>
      <c r="G779" s="127"/>
      <c r="H779" s="130"/>
      <c r="I779" s="130"/>
      <c r="J779" s="130">
        <f t="shared" si="1"/>
        <v>0</v>
      </c>
      <c r="K779" s="130"/>
      <c r="L779" s="130"/>
      <c r="M779" s="130">
        <f t="shared" si="2"/>
        <v>0</v>
      </c>
      <c r="N779" s="130"/>
      <c r="O779" s="130"/>
      <c r="P779" s="127"/>
      <c r="Q779" s="127"/>
      <c r="R779" s="127"/>
      <c r="S779" s="127"/>
      <c r="T779" s="127" t="str">
        <f>IF(A779="","",VLOOKUP(A779,'BASE OS'!$A$2:$I1000,4,FALSE))</f>
        <v/>
      </c>
      <c r="U779" s="127"/>
      <c r="V779" s="127"/>
      <c r="W779" s="127" t="str">
        <f t="shared" si="3"/>
        <v/>
      </c>
      <c r="X779" s="127" t="str">
        <f t="shared" si="4"/>
        <v/>
      </c>
      <c r="Y779" s="127" t="str">
        <f t="shared" si="5"/>
        <v/>
      </c>
    </row>
    <row r="780">
      <c r="A780" s="127"/>
      <c r="B780" s="127" t="str">
        <f>IF(A780="","",VLOOKUP(A780,'BASE OS'!$A$2:$I1000,2,FALSE))</f>
        <v/>
      </c>
      <c r="C780" s="132"/>
      <c r="D780" s="127"/>
      <c r="E780" s="127"/>
      <c r="F780" s="127"/>
      <c r="G780" s="127"/>
      <c r="H780" s="130"/>
      <c r="I780" s="130"/>
      <c r="J780" s="130">
        <f t="shared" si="1"/>
        <v>0</v>
      </c>
      <c r="K780" s="130"/>
      <c r="L780" s="130"/>
      <c r="M780" s="130">
        <f t="shared" si="2"/>
        <v>0</v>
      </c>
      <c r="N780" s="130"/>
      <c r="O780" s="130"/>
      <c r="P780" s="127"/>
      <c r="Q780" s="127"/>
      <c r="R780" s="127"/>
      <c r="S780" s="127"/>
      <c r="T780" s="127" t="str">
        <f>IF(A780="","",VLOOKUP(A780,'BASE OS'!$A$2:$I1000,4,FALSE))</f>
        <v/>
      </c>
      <c r="U780" s="127"/>
      <c r="V780" s="127"/>
      <c r="W780" s="127" t="str">
        <f t="shared" si="3"/>
        <v/>
      </c>
      <c r="X780" s="127" t="str">
        <f t="shared" si="4"/>
        <v/>
      </c>
      <c r="Y780" s="127" t="str">
        <f t="shared" si="5"/>
        <v/>
      </c>
    </row>
    <row r="781">
      <c r="A781" s="127"/>
      <c r="B781" s="127" t="str">
        <f>IF(A781="","",VLOOKUP(A781,'BASE OS'!$A$2:$I1000,2,FALSE))</f>
        <v/>
      </c>
      <c r="C781" s="132"/>
      <c r="D781" s="127"/>
      <c r="E781" s="127"/>
      <c r="F781" s="127"/>
      <c r="G781" s="127"/>
      <c r="H781" s="130"/>
      <c r="I781" s="130"/>
      <c r="J781" s="130">
        <f t="shared" si="1"/>
        <v>0</v>
      </c>
      <c r="K781" s="130"/>
      <c r="L781" s="130"/>
      <c r="M781" s="130">
        <f t="shared" si="2"/>
        <v>0</v>
      </c>
      <c r="N781" s="130"/>
      <c r="O781" s="130"/>
      <c r="P781" s="127"/>
      <c r="Q781" s="127"/>
      <c r="R781" s="127"/>
      <c r="S781" s="127"/>
      <c r="T781" s="127" t="str">
        <f>IF(A781="","",VLOOKUP(A781,'BASE OS'!$A$2:$I1000,4,FALSE))</f>
        <v/>
      </c>
      <c r="U781" s="127"/>
      <c r="V781" s="127"/>
      <c r="W781" s="127" t="str">
        <f t="shared" si="3"/>
        <v/>
      </c>
      <c r="X781" s="127" t="str">
        <f t="shared" si="4"/>
        <v/>
      </c>
      <c r="Y781" s="127" t="str">
        <f t="shared" si="5"/>
        <v/>
      </c>
    </row>
    <row r="782">
      <c r="A782" s="127"/>
      <c r="B782" s="127" t="str">
        <f>IF(A782="","",VLOOKUP(A782,'BASE OS'!$A$2:$I1000,2,FALSE))</f>
        <v/>
      </c>
      <c r="C782" s="132"/>
      <c r="D782" s="127"/>
      <c r="E782" s="127"/>
      <c r="F782" s="127"/>
      <c r="G782" s="127"/>
      <c r="H782" s="130"/>
      <c r="I782" s="130"/>
      <c r="J782" s="130">
        <f t="shared" si="1"/>
        <v>0</v>
      </c>
      <c r="K782" s="130"/>
      <c r="L782" s="130"/>
      <c r="M782" s="130">
        <f t="shared" si="2"/>
        <v>0</v>
      </c>
      <c r="N782" s="130"/>
      <c r="O782" s="130"/>
      <c r="P782" s="127"/>
      <c r="Q782" s="127"/>
      <c r="R782" s="127"/>
      <c r="S782" s="127"/>
      <c r="T782" s="127" t="str">
        <f>IF(A782="","",VLOOKUP(A782,'BASE OS'!$A$2:$I1000,4,FALSE))</f>
        <v/>
      </c>
      <c r="U782" s="127"/>
      <c r="V782" s="127"/>
      <c r="W782" s="127" t="str">
        <f t="shared" si="3"/>
        <v/>
      </c>
      <c r="X782" s="127" t="str">
        <f t="shared" si="4"/>
        <v/>
      </c>
      <c r="Y782" s="127" t="str">
        <f t="shared" si="5"/>
        <v/>
      </c>
    </row>
    <row r="783">
      <c r="A783" s="127"/>
      <c r="B783" s="127" t="str">
        <f>IF(A783="","",VLOOKUP(A783,'BASE OS'!$A$2:$I1000,2,FALSE))</f>
        <v/>
      </c>
      <c r="C783" s="132"/>
      <c r="D783" s="127"/>
      <c r="E783" s="127"/>
      <c r="F783" s="127"/>
      <c r="G783" s="127"/>
      <c r="H783" s="130"/>
      <c r="I783" s="130"/>
      <c r="J783" s="130">
        <f t="shared" si="1"/>
        <v>0</v>
      </c>
      <c r="K783" s="130"/>
      <c r="L783" s="130"/>
      <c r="M783" s="130">
        <f t="shared" si="2"/>
        <v>0</v>
      </c>
      <c r="N783" s="130"/>
      <c r="O783" s="130"/>
      <c r="P783" s="127"/>
      <c r="Q783" s="127"/>
      <c r="R783" s="127"/>
      <c r="S783" s="127"/>
      <c r="T783" s="127" t="str">
        <f>IF(A783="","",VLOOKUP(A783,'BASE OS'!$A$2:$I1000,4,FALSE))</f>
        <v/>
      </c>
      <c r="U783" s="127"/>
      <c r="V783" s="127"/>
      <c r="W783" s="127" t="str">
        <f t="shared" si="3"/>
        <v/>
      </c>
      <c r="X783" s="127" t="str">
        <f t="shared" si="4"/>
        <v/>
      </c>
      <c r="Y783" s="127" t="str">
        <f t="shared" si="5"/>
        <v/>
      </c>
    </row>
    <row r="784">
      <c r="A784" s="127"/>
      <c r="B784" s="127" t="str">
        <f>IF(A784="","",VLOOKUP(A784,'BASE OS'!$A$2:$I1000,2,FALSE))</f>
        <v/>
      </c>
      <c r="C784" s="132"/>
      <c r="D784" s="127"/>
      <c r="E784" s="127"/>
      <c r="F784" s="127"/>
      <c r="G784" s="127"/>
      <c r="H784" s="130"/>
      <c r="I784" s="130"/>
      <c r="J784" s="130">
        <f t="shared" si="1"/>
        <v>0</v>
      </c>
      <c r="K784" s="130"/>
      <c r="L784" s="130"/>
      <c r="M784" s="130">
        <f t="shared" si="2"/>
        <v>0</v>
      </c>
      <c r="N784" s="130"/>
      <c r="O784" s="130"/>
      <c r="P784" s="127"/>
      <c r="Q784" s="127"/>
      <c r="R784" s="127"/>
      <c r="S784" s="127"/>
      <c r="T784" s="127" t="str">
        <f>IF(A784="","",VLOOKUP(A784,'BASE OS'!$A$2:$I1000,4,FALSE))</f>
        <v/>
      </c>
      <c r="U784" s="127"/>
      <c r="V784" s="127"/>
      <c r="W784" s="127" t="str">
        <f t="shared" si="3"/>
        <v/>
      </c>
      <c r="X784" s="127" t="str">
        <f t="shared" si="4"/>
        <v/>
      </c>
      <c r="Y784" s="127" t="str">
        <f t="shared" si="5"/>
        <v/>
      </c>
    </row>
    <row r="785">
      <c r="A785" s="127"/>
      <c r="B785" s="127" t="str">
        <f>IF(A785="","",VLOOKUP(A785,'BASE OS'!$A$2:$I1000,2,FALSE))</f>
        <v/>
      </c>
      <c r="C785" s="132"/>
      <c r="D785" s="127"/>
      <c r="E785" s="127"/>
      <c r="F785" s="127"/>
      <c r="G785" s="127"/>
      <c r="H785" s="130"/>
      <c r="I785" s="130"/>
      <c r="J785" s="130">
        <f t="shared" si="1"/>
        <v>0</v>
      </c>
      <c r="K785" s="130"/>
      <c r="L785" s="130"/>
      <c r="M785" s="130">
        <f t="shared" si="2"/>
        <v>0</v>
      </c>
      <c r="N785" s="130"/>
      <c r="O785" s="130"/>
      <c r="P785" s="127"/>
      <c r="Q785" s="127"/>
      <c r="R785" s="127"/>
      <c r="S785" s="127"/>
      <c r="T785" s="127" t="str">
        <f>IF(A785="","",VLOOKUP(A785,'BASE OS'!$A$2:$I1000,4,FALSE))</f>
        <v/>
      </c>
      <c r="U785" s="127"/>
      <c r="V785" s="127"/>
      <c r="W785" s="127" t="str">
        <f t="shared" si="3"/>
        <v/>
      </c>
      <c r="X785" s="127" t="str">
        <f t="shared" si="4"/>
        <v/>
      </c>
      <c r="Y785" s="127" t="str">
        <f t="shared" si="5"/>
        <v/>
      </c>
    </row>
    <row r="786">
      <c r="A786" s="127"/>
      <c r="B786" s="127" t="str">
        <f>IF(A786="","",VLOOKUP(A786,'BASE OS'!$A$2:$I1000,2,FALSE))</f>
        <v/>
      </c>
      <c r="C786" s="132"/>
      <c r="D786" s="127"/>
      <c r="E786" s="127"/>
      <c r="F786" s="127"/>
      <c r="G786" s="127"/>
      <c r="H786" s="130"/>
      <c r="I786" s="130"/>
      <c r="J786" s="130">
        <f t="shared" si="1"/>
        <v>0</v>
      </c>
      <c r="K786" s="130"/>
      <c r="L786" s="130"/>
      <c r="M786" s="130">
        <f t="shared" si="2"/>
        <v>0</v>
      </c>
      <c r="N786" s="130"/>
      <c r="O786" s="130"/>
      <c r="P786" s="127"/>
      <c r="Q786" s="127"/>
      <c r="R786" s="127"/>
      <c r="S786" s="127"/>
      <c r="T786" s="127" t="str">
        <f>IF(A786="","",VLOOKUP(A786,'BASE OS'!$A$2:$I1000,4,FALSE))</f>
        <v/>
      </c>
      <c r="U786" s="127"/>
      <c r="V786" s="127"/>
      <c r="W786" s="127" t="str">
        <f t="shared" si="3"/>
        <v/>
      </c>
      <c r="X786" s="127" t="str">
        <f t="shared" si="4"/>
        <v/>
      </c>
      <c r="Y786" s="127" t="str">
        <f t="shared" si="5"/>
        <v/>
      </c>
    </row>
    <row r="787">
      <c r="A787" s="127"/>
      <c r="B787" s="127" t="str">
        <f>IF(A787="","",VLOOKUP(A787,'BASE OS'!$A$2:$I1000,2,FALSE))</f>
        <v/>
      </c>
      <c r="C787" s="132"/>
      <c r="D787" s="127"/>
      <c r="E787" s="127"/>
      <c r="F787" s="127"/>
      <c r="G787" s="127"/>
      <c r="H787" s="130"/>
      <c r="I787" s="130"/>
      <c r="J787" s="130">
        <f t="shared" si="1"/>
        <v>0</v>
      </c>
      <c r="K787" s="130"/>
      <c r="L787" s="130"/>
      <c r="M787" s="130">
        <f t="shared" si="2"/>
        <v>0</v>
      </c>
      <c r="N787" s="130"/>
      <c r="O787" s="130"/>
      <c r="P787" s="127"/>
      <c r="Q787" s="127"/>
      <c r="R787" s="127"/>
      <c r="S787" s="127"/>
      <c r="T787" s="127" t="str">
        <f>IF(A787="","",VLOOKUP(A787,'BASE OS'!$A$2:$I1000,4,FALSE))</f>
        <v/>
      </c>
      <c r="U787" s="127"/>
      <c r="V787" s="127"/>
      <c r="W787" s="127" t="str">
        <f t="shared" si="3"/>
        <v/>
      </c>
      <c r="X787" s="127" t="str">
        <f t="shared" si="4"/>
        <v/>
      </c>
      <c r="Y787" s="127" t="str">
        <f t="shared" si="5"/>
        <v/>
      </c>
    </row>
    <row r="788">
      <c r="A788" s="127"/>
      <c r="B788" s="127" t="str">
        <f>IF(A788="","",VLOOKUP(A788,'BASE OS'!$A$2:$I1000,2,FALSE))</f>
        <v/>
      </c>
      <c r="C788" s="132"/>
      <c r="D788" s="127"/>
      <c r="E788" s="127"/>
      <c r="F788" s="127"/>
      <c r="G788" s="127"/>
      <c r="H788" s="130"/>
      <c r="I788" s="130"/>
      <c r="J788" s="130">
        <f t="shared" si="1"/>
        <v>0</v>
      </c>
      <c r="K788" s="130"/>
      <c r="L788" s="130"/>
      <c r="M788" s="130">
        <f t="shared" si="2"/>
        <v>0</v>
      </c>
      <c r="N788" s="130"/>
      <c r="O788" s="130"/>
      <c r="P788" s="127"/>
      <c r="Q788" s="127"/>
      <c r="R788" s="127"/>
      <c r="S788" s="127"/>
      <c r="T788" s="127" t="str">
        <f>IF(A788="","",VLOOKUP(A788,'BASE OS'!$A$2:$I1000,4,FALSE))</f>
        <v/>
      </c>
      <c r="U788" s="127"/>
      <c r="V788" s="127"/>
      <c r="W788" s="127" t="str">
        <f t="shared" si="3"/>
        <v/>
      </c>
      <c r="X788" s="127" t="str">
        <f t="shared" si="4"/>
        <v/>
      </c>
      <c r="Y788" s="127" t="str">
        <f t="shared" si="5"/>
        <v/>
      </c>
    </row>
    <row r="789">
      <c r="A789" s="127"/>
      <c r="B789" s="127" t="str">
        <f>IF(A789="","",VLOOKUP(A789,'BASE OS'!$A$2:$I1000,2,FALSE))</f>
        <v/>
      </c>
      <c r="C789" s="132"/>
      <c r="D789" s="127"/>
      <c r="E789" s="127"/>
      <c r="F789" s="127"/>
      <c r="G789" s="127"/>
      <c r="H789" s="130"/>
      <c r="I789" s="130"/>
      <c r="J789" s="130">
        <f t="shared" si="1"/>
        <v>0</v>
      </c>
      <c r="K789" s="130"/>
      <c r="L789" s="130"/>
      <c r="M789" s="130">
        <f t="shared" si="2"/>
        <v>0</v>
      </c>
      <c r="N789" s="130"/>
      <c r="O789" s="130"/>
      <c r="P789" s="127"/>
      <c r="Q789" s="127"/>
      <c r="R789" s="127"/>
      <c r="S789" s="127"/>
      <c r="T789" s="127" t="str">
        <f>IF(A789="","",VLOOKUP(A789,'BASE OS'!$A$2:$I1000,4,FALSE))</f>
        <v/>
      </c>
      <c r="U789" s="127"/>
      <c r="V789" s="127"/>
      <c r="W789" s="127" t="str">
        <f t="shared" si="3"/>
        <v/>
      </c>
      <c r="X789" s="127" t="str">
        <f t="shared" si="4"/>
        <v/>
      </c>
      <c r="Y789" s="127" t="str">
        <f t="shared" si="5"/>
        <v/>
      </c>
    </row>
    <row r="790">
      <c r="A790" s="127"/>
      <c r="B790" s="127" t="str">
        <f>IF(A790="","",VLOOKUP(A790,'BASE OS'!$A$2:$I1000,2,FALSE))</f>
        <v/>
      </c>
      <c r="C790" s="132"/>
      <c r="D790" s="127"/>
      <c r="E790" s="127"/>
      <c r="F790" s="127"/>
      <c r="G790" s="127"/>
      <c r="H790" s="130"/>
      <c r="I790" s="130"/>
      <c r="J790" s="130">
        <f t="shared" si="1"/>
        <v>0</v>
      </c>
      <c r="K790" s="130"/>
      <c r="L790" s="130"/>
      <c r="M790" s="130">
        <f t="shared" si="2"/>
        <v>0</v>
      </c>
      <c r="N790" s="130"/>
      <c r="O790" s="130"/>
      <c r="P790" s="127"/>
      <c r="Q790" s="127"/>
      <c r="R790" s="127"/>
      <c r="S790" s="127"/>
      <c r="T790" s="127" t="str">
        <f>IF(A790="","",VLOOKUP(A790,'BASE OS'!$A$2:$I1000,4,FALSE))</f>
        <v/>
      </c>
      <c r="U790" s="127"/>
      <c r="V790" s="127"/>
      <c r="W790" s="127" t="str">
        <f t="shared" si="3"/>
        <v/>
      </c>
      <c r="X790" s="127" t="str">
        <f t="shared" si="4"/>
        <v/>
      </c>
      <c r="Y790" s="127" t="str">
        <f t="shared" si="5"/>
        <v/>
      </c>
    </row>
    <row r="791">
      <c r="A791" s="127"/>
      <c r="B791" s="127" t="str">
        <f>IF(A791="","",VLOOKUP(A791,'BASE OS'!$A$2:$I1000,2,FALSE))</f>
        <v/>
      </c>
      <c r="C791" s="132"/>
      <c r="D791" s="127"/>
      <c r="E791" s="127"/>
      <c r="F791" s="127"/>
      <c r="G791" s="127"/>
      <c r="H791" s="130"/>
      <c r="I791" s="130"/>
      <c r="J791" s="130">
        <f t="shared" si="1"/>
        <v>0</v>
      </c>
      <c r="K791" s="130"/>
      <c r="L791" s="130"/>
      <c r="M791" s="130">
        <f t="shared" si="2"/>
        <v>0</v>
      </c>
      <c r="N791" s="130"/>
      <c r="O791" s="130"/>
      <c r="P791" s="127"/>
      <c r="Q791" s="127"/>
      <c r="R791" s="127"/>
      <c r="S791" s="127"/>
      <c r="T791" s="127" t="str">
        <f>IF(A791="","",VLOOKUP(A791,'BASE OS'!$A$2:$I1000,4,FALSE))</f>
        <v/>
      </c>
      <c r="U791" s="127"/>
      <c r="V791" s="127"/>
      <c r="W791" s="127" t="str">
        <f t="shared" si="3"/>
        <v/>
      </c>
      <c r="X791" s="127" t="str">
        <f t="shared" si="4"/>
        <v/>
      </c>
      <c r="Y791" s="127" t="str">
        <f t="shared" si="5"/>
        <v/>
      </c>
    </row>
    <row r="792">
      <c r="A792" s="127"/>
      <c r="B792" s="127" t="str">
        <f>IF(A792="","",VLOOKUP(A792,'BASE OS'!$A$2:$I1000,2,FALSE))</f>
        <v/>
      </c>
      <c r="C792" s="132"/>
      <c r="D792" s="127"/>
      <c r="E792" s="127"/>
      <c r="F792" s="127"/>
      <c r="G792" s="127"/>
      <c r="H792" s="130"/>
      <c r="I792" s="130"/>
      <c r="J792" s="130">
        <f t="shared" si="1"/>
        <v>0</v>
      </c>
      <c r="K792" s="130"/>
      <c r="L792" s="130"/>
      <c r="M792" s="130">
        <f t="shared" si="2"/>
        <v>0</v>
      </c>
      <c r="N792" s="130"/>
      <c r="O792" s="130"/>
      <c r="P792" s="127"/>
      <c r="Q792" s="127"/>
      <c r="R792" s="127"/>
      <c r="S792" s="127"/>
      <c r="T792" s="127" t="str">
        <f>IF(A792="","",VLOOKUP(A792,'BASE OS'!$A$2:$I1000,4,FALSE))</f>
        <v/>
      </c>
      <c r="U792" s="127"/>
      <c r="V792" s="127"/>
      <c r="W792" s="127" t="str">
        <f t="shared" si="3"/>
        <v/>
      </c>
      <c r="X792" s="127" t="str">
        <f t="shared" si="4"/>
        <v/>
      </c>
      <c r="Y792" s="127" t="str">
        <f t="shared" si="5"/>
        <v/>
      </c>
    </row>
    <row r="793">
      <c r="A793" s="127"/>
      <c r="B793" s="127" t="str">
        <f>IF(A793="","",VLOOKUP(A793,'BASE OS'!$A$2:$I1000,2,FALSE))</f>
        <v/>
      </c>
      <c r="C793" s="132"/>
      <c r="D793" s="127"/>
      <c r="E793" s="127"/>
      <c r="F793" s="127"/>
      <c r="G793" s="127"/>
      <c r="H793" s="130"/>
      <c r="I793" s="130"/>
      <c r="J793" s="130">
        <f t="shared" si="1"/>
        <v>0</v>
      </c>
      <c r="K793" s="130"/>
      <c r="L793" s="130"/>
      <c r="M793" s="130">
        <f t="shared" si="2"/>
        <v>0</v>
      </c>
      <c r="N793" s="130"/>
      <c r="O793" s="130"/>
      <c r="P793" s="127"/>
      <c r="Q793" s="127"/>
      <c r="R793" s="127"/>
      <c r="S793" s="127"/>
      <c r="T793" s="127" t="str">
        <f>IF(A793="","",VLOOKUP(A793,'BASE OS'!$A$2:$I1000,4,FALSE))</f>
        <v/>
      </c>
      <c r="U793" s="127"/>
      <c r="V793" s="127"/>
      <c r="W793" s="127" t="str">
        <f t="shared" si="3"/>
        <v/>
      </c>
      <c r="X793" s="127" t="str">
        <f t="shared" si="4"/>
        <v/>
      </c>
      <c r="Y793" s="127" t="str">
        <f t="shared" si="5"/>
        <v/>
      </c>
    </row>
    <row r="794">
      <c r="A794" s="127"/>
      <c r="B794" s="127" t="str">
        <f>IF(A794="","",VLOOKUP(A794,'BASE OS'!$A$2:$I1000,2,FALSE))</f>
        <v/>
      </c>
      <c r="C794" s="132"/>
      <c r="D794" s="127"/>
      <c r="E794" s="127"/>
      <c r="F794" s="127"/>
      <c r="G794" s="127"/>
      <c r="H794" s="130"/>
      <c r="I794" s="130"/>
      <c r="J794" s="130">
        <f t="shared" si="1"/>
        <v>0</v>
      </c>
      <c r="K794" s="130"/>
      <c r="L794" s="130"/>
      <c r="M794" s="130">
        <f t="shared" si="2"/>
        <v>0</v>
      </c>
      <c r="N794" s="130"/>
      <c r="O794" s="130"/>
      <c r="P794" s="127"/>
      <c r="Q794" s="127"/>
      <c r="R794" s="127"/>
      <c r="S794" s="127"/>
      <c r="T794" s="127" t="str">
        <f>IF(A794="","",VLOOKUP(A794,'BASE OS'!$A$2:$I1000,4,FALSE))</f>
        <v/>
      </c>
      <c r="U794" s="127"/>
      <c r="V794" s="127"/>
      <c r="W794" s="127" t="str">
        <f t="shared" si="3"/>
        <v/>
      </c>
      <c r="X794" s="127" t="str">
        <f t="shared" si="4"/>
        <v/>
      </c>
      <c r="Y794" s="127" t="str">
        <f t="shared" si="5"/>
        <v/>
      </c>
    </row>
    <row r="795">
      <c r="A795" s="127"/>
      <c r="B795" s="127" t="str">
        <f>IF(A795="","",VLOOKUP(A795,'BASE OS'!$A$2:$I1000,2,FALSE))</f>
        <v/>
      </c>
      <c r="C795" s="132"/>
      <c r="D795" s="127"/>
      <c r="E795" s="127"/>
      <c r="F795" s="127"/>
      <c r="G795" s="127"/>
      <c r="H795" s="130"/>
      <c r="I795" s="130"/>
      <c r="J795" s="130">
        <f t="shared" si="1"/>
        <v>0</v>
      </c>
      <c r="K795" s="130"/>
      <c r="L795" s="130"/>
      <c r="M795" s="130">
        <f t="shared" si="2"/>
        <v>0</v>
      </c>
      <c r="N795" s="130"/>
      <c r="O795" s="130"/>
      <c r="P795" s="127"/>
      <c r="Q795" s="127"/>
      <c r="R795" s="127"/>
      <c r="S795" s="127"/>
      <c r="T795" s="127" t="str">
        <f>IF(A795="","",VLOOKUP(A795,'BASE OS'!$A$2:$I1000,4,FALSE))</f>
        <v/>
      </c>
      <c r="U795" s="127"/>
      <c r="V795" s="127"/>
      <c r="W795" s="127" t="str">
        <f t="shared" si="3"/>
        <v/>
      </c>
      <c r="X795" s="127" t="str">
        <f t="shared" si="4"/>
        <v/>
      </c>
      <c r="Y795" s="127" t="str">
        <f t="shared" si="5"/>
        <v/>
      </c>
    </row>
    <row r="796">
      <c r="A796" s="127"/>
      <c r="B796" s="127" t="str">
        <f>IF(A796="","",VLOOKUP(A796,'BASE OS'!$A$2:$I1000,2,FALSE))</f>
        <v/>
      </c>
      <c r="C796" s="132"/>
      <c r="D796" s="127"/>
      <c r="E796" s="127"/>
      <c r="F796" s="127"/>
      <c r="G796" s="127"/>
      <c r="H796" s="130"/>
      <c r="I796" s="130"/>
      <c r="J796" s="130">
        <f t="shared" si="1"/>
        <v>0</v>
      </c>
      <c r="K796" s="130"/>
      <c r="L796" s="130"/>
      <c r="M796" s="130">
        <f t="shared" si="2"/>
        <v>0</v>
      </c>
      <c r="N796" s="130"/>
      <c r="O796" s="130"/>
      <c r="P796" s="127"/>
      <c r="Q796" s="127"/>
      <c r="R796" s="127"/>
      <c r="S796" s="127"/>
      <c r="T796" s="127" t="str">
        <f>IF(A796="","",VLOOKUP(A796,'BASE OS'!$A$2:$I1000,4,FALSE))</f>
        <v/>
      </c>
      <c r="U796" s="127"/>
      <c r="V796" s="127"/>
      <c r="W796" s="127" t="str">
        <f t="shared" si="3"/>
        <v/>
      </c>
      <c r="X796" s="127" t="str">
        <f t="shared" si="4"/>
        <v/>
      </c>
      <c r="Y796" s="127" t="str">
        <f t="shared" si="5"/>
        <v/>
      </c>
    </row>
    <row r="797">
      <c r="A797" s="127"/>
      <c r="B797" s="127" t="str">
        <f>IF(A797="","",VLOOKUP(A797,'BASE OS'!$A$2:$I1000,2,FALSE))</f>
        <v/>
      </c>
      <c r="C797" s="132"/>
      <c r="D797" s="127"/>
      <c r="E797" s="127"/>
      <c r="F797" s="127"/>
      <c r="G797" s="127"/>
      <c r="H797" s="130"/>
      <c r="I797" s="130"/>
      <c r="J797" s="130">
        <f t="shared" si="1"/>
        <v>0</v>
      </c>
      <c r="K797" s="130"/>
      <c r="L797" s="130"/>
      <c r="M797" s="130">
        <f t="shared" si="2"/>
        <v>0</v>
      </c>
      <c r="N797" s="130"/>
      <c r="O797" s="130"/>
      <c r="P797" s="127"/>
      <c r="Q797" s="127"/>
      <c r="R797" s="127"/>
      <c r="S797" s="127"/>
      <c r="T797" s="127" t="str">
        <f>IF(A797="","",VLOOKUP(A797,'BASE OS'!$A$2:$I1000,4,FALSE))</f>
        <v/>
      </c>
      <c r="U797" s="127"/>
      <c r="V797" s="127"/>
      <c r="W797" s="127" t="str">
        <f t="shared" si="3"/>
        <v/>
      </c>
      <c r="X797" s="127" t="str">
        <f t="shared" si="4"/>
        <v/>
      </c>
      <c r="Y797" s="127" t="str">
        <f t="shared" si="5"/>
        <v/>
      </c>
    </row>
    <row r="798">
      <c r="A798" s="127"/>
      <c r="B798" s="127" t="str">
        <f>IF(A798="","",VLOOKUP(A798,'BASE OS'!$A$2:$I1000,2,FALSE))</f>
        <v/>
      </c>
      <c r="C798" s="132"/>
      <c r="D798" s="127"/>
      <c r="E798" s="127"/>
      <c r="F798" s="127"/>
      <c r="G798" s="127"/>
      <c r="H798" s="130"/>
      <c r="I798" s="130"/>
      <c r="J798" s="130">
        <f t="shared" si="1"/>
        <v>0</v>
      </c>
      <c r="K798" s="130"/>
      <c r="L798" s="130"/>
      <c r="M798" s="130">
        <f t="shared" si="2"/>
        <v>0</v>
      </c>
      <c r="N798" s="130"/>
      <c r="O798" s="130"/>
      <c r="P798" s="127"/>
      <c r="Q798" s="127"/>
      <c r="R798" s="127"/>
      <c r="S798" s="127"/>
      <c r="T798" s="127" t="str">
        <f>IF(A798="","",VLOOKUP(A798,'BASE OS'!$A$2:$I1000,4,FALSE))</f>
        <v/>
      </c>
      <c r="U798" s="127"/>
      <c r="V798" s="127"/>
      <c r="W798" s="127" t="str">
        <f t="shared" si="3"/>
        <v/>
      </c>
      <c r="X798" s="127" t="str">
        <f t="shared" si="4"/>
        <v/>
      </c>
      <c r="Y798" s="127" t="str">
        <f t="shared" si="5"/>
        <v/>
      </c>
    </row>
    <row r="799">
      <c r="A799" s="127"/>
      <c r="B799" s="127" t="str">
        <f>IF(A799="","",VLOOKUP(A799,'BASE OS'!$A$2:$I1000,2,FALSE))</f>
        <v/>
      </c>
      <c r="C799" s="132"/>
      <c r="D799" s="127"/>
      <c r="E799" s="127"/>
      <c r="F799" s="127"/>
      <c r="G799" s="127"/>
      <c r="H799" s="130"/>
      <c r="I799" s="130"/>
      <c r="J799" s="130">
        <f t="shared" si="1"/>
        <v>0</v>
      </c>
      <c r="K799" s="130"/>
      <c r="L799" s="130"/>
      <c r="M799" s="130">
        <f t="shared" si="2"/>
        <v>0</v>
      </c>
      <c r="N799" s="130"/>
      <c r="O799" s="130"/>
      <c r="P799" s="127"/>
      <c r="Q799" s="127"/>
      <c r="R799" s="127"/>
      <c r="S799" s="127"/>
      <c r="T799" s="127" t="str">
        <f>IF(A799="","",VLOOKUP(A799,'BASE OS'!$A$2:$I1000,4,FALSE))</f>
        <v/>
      </c>
      <c r="U799" s="127"/>
      <c r="V799" s="127"/>
      <c r="W799" s="127" t="str">
        <f t="shared" si="3"/>
        <v/>
      </c>
      <c r="X799" s="127" t="str">
        <f t="shared" si="4"/>
        <v/>
      </c>
      <c r="Y799" s="127" t="str">
        <f t="shared" si="5"/>
        <v/>
      </c>
    </row>
    <row r="800">
      <c r="A800" s="127"/>
      <c r="B800" s="127" t="str">
        <f>IF(A800="","",VLOOKUP(A800,'BASE OS'!$A$2:$I1000,2,FALSE))</f>
        <v/>
      </c>
      <c r="C800" s="132"/>
      <c r="D800" s="127"/>
      <c r="E800" s="127"/>
      <c r="F800" s="127"/>
      <c r="G800" s="127"/>
      <c r="H800" s="130"/>
      <c r="I800" s="130"/>
      <c r="J800" s="130">
        <f t="shared" si="1"/>
        <v>0</v>
      </c>
      <c r="K800" s="130"/>
      <c r="L800" s="130"/>
      <c r="M800" s="130">
        <f t="shared" si="2"/>
        <v>0</v>
      </c>
      <c r="N800" s="130"/>
      <c r="O800" s="130"/>
      <c r="P800" s="127"/>
      <c r="Q800" s="127"/>
      <c r="R800" s="127"/>
      <c r="S800" s="127"/>
      <c r="T800" s="127" t="str">
        <f>IF(A800="","",VLOOKUP(A800,'BASE OS'!$A$2:$I1000,4,FALSE))</f>
        <v/>
      </c>
      <c r="U800" s="127"/>
      <c r="V800" s="127"/>
      <c r="W800" s="127" t="str">
        <f t="shared" si="3"/>
        <v/>
      </c>
      <c r="X800" s="127" t="str">
        <f t="shared" si="4"/>
        <v/>
      </c>
      <c r="Y800" s="127" t="str">
        <f t="shared" si="5"/>
        <v/>
      </c>
    </row>
    <row r="801">
      <c r="A801" s="127"/>
      <c r="B801" s="127" t="str">
        <f>IF(A801="","",VLOOKUP(A801,'BASE OS'!$A$2:$I1000,2,FALSE))</f>
        <v/>
      </c>
      <c r="C801" s="132"/>
      <c r="D801" s="127"/>
      <c r="E801" s="127"/>
      <c r="F801" s="127"/>
      <c r="G801" s="127"/>
      <c r="H801" s="130"/>
      <c r="I801" s="130"/>
      <c r="J801" s="130">
        <f t="shared" si="1"/>
        <v>0</v>
      </c>
      <c r="K801" s="130"/>
      <c r="L801" s="130"/>
      <c r="M801" s="130">
        <f t="shared" si="2"/>
        <v>0</v>
      </c>
      <c r="N801" s="130"/>
      <c r="O801" s="130"/>
      <c r="P801" s="127"/>
      <c r="Q801" s="127"/>
      <c r="R801" s="127"/>
      <c r="S801" s="127"/>
      <c r="T801" s="127" t="str">
        <f>IF(A801="","",VLOOKUP(A801,'BASE OS'!$A$2:$I1000,4,FALSE))</f>
        <v/>
      </c>
      <c r="U801" s="127"/>
      <c r="V801" s="127"/>
      <c r="W801" s="127" t="str">
        <f t="shared" si="3"/>
        <v/>
      </c>
      <c r="X801" s="127" t="str">
        <f t="shared" si="4"/>
        <v/>
      </c>
      <c r="Y801" s="127" t="str">
        <f t="shared" si="5"/>
        <v/>
      </c>
    </row>
    <row r="802">
      <c r="A802" s="127"/>
      <c r="B802" s="127" t="str">
        <f>IF(A802="","",VLOOKUP(A802,'BASE OS'!$A$2:$I1000,2,FALSE))</f>
        <v/>
      </c>
      <c r="C802" s="132"/>
      <c r="D802" s="127"/>
      <c r="E802" s="127"/>
      <c r="F802" s="127"/>
      <c r="G802" s="127"/>
      <c r="H802" s="130"/>
      <c r="I802" s="130"/>
      <c r="J802" s="130">
        <f t="shared" si="1"/>
        <v>0</v>
      </c>
      <c r="K802" s="130"/>
      <c r="L802" s="130"/>
      <c r="M802" s="130">
        <f t="shared" si="2"/>
        <v>0</v>
      </c>
      <c r="N802" s="130"/>
      <c r="O802" s="130"/>
      <c r="P802" s="127"/>
      <c r="Q802" s="127"/>
      <c r="R802" s="127"/>
      <c r="S802" s="127"/>
      <c r="T802" s="127" t="str">
        <f>IF(A802="","",VLOOKUP(A802,'BASE OS'!$A$2:$I1000,4,FALSE))</f>
        <v/>
      </c>
      <c r="U802" s="127"/>
      <c r="V802" s="127"/>
      <c r="W802" s="127" t="str">
        <f t="shared" si="3"/>
        <v/>
      </c>
      <c r="X802" s="127" t="str">
        <f t="shared" si="4"/>
        <v/>
      </c>
      <c r="Y802" s="127" t="str">
        <f t="shared" si="5"/>
        <v/>
      </c>
    </row>
    <row r="803">
      <c r="A803" s="127"/>
      <c r="B803" s="127" t="str">
        <f>IF(A803="","",VLOOKUP(A803,'BASE OS'!$A$2:$I1000,2,FALSE))</f>
        <v/>
      </c>
      <c r="C803" s="132"/>
      <c r="D803" s="127"/>
      <c r="E803" s="127"/>
      <c r="F803" s="127"/>
      <c r="G803" s="127"/>
      <c r="H803" s="130"/>
      <c r="I803" s="130"/>
      <c r="J803" s="130">
        <f t="shared" si="1"/>
        <v>0</v>
      </c>
      <c r="K803" s="130"/>
      <c r="L803" s="130"/>
      <c r="M803" s="130">
        <f t="shared" si="2"/>
        <v>0</v>
      </c>
      <c r="N803" s="130"/>
      <c r="O803" s="130"/>
      <c r="P803" s="127"/>
      <c r="Q803" s="127"/>
      <c r="R803" s="127"/>
      <c r="S803" s="127"/>
      <c r="T803" s="127" t="str">
        <f>IF(A803="","",VLOOKUP(A803,'BASE OS'!$A$2:$I1000,4,FALSE))</f>
        <v/>
      </c>
      <c r="U803" s="127"/>
      <c r="V803" s="127"/>
      <c r="W803" s="127" t="str">
        <f t="shared" si="3"/>
        <v/>
      </c>
      <c r="X803" s="127" t="str">
        <f t="shared" si="4"/>
        <v/>
      </c>
      <c r="Y803" s="127" t="str">
        <f t="shared" si="5"/>
        <v/>
      </c>
    </row>
    <row r="804">
      <c r="A804" s="127"/>
      <c r="B804" s="127" t="str">
        <f>IF(A804="","",VLOOKUP(A804,'BASE OS'!$A$2:$I1000,2,FALSE))</f>
        <v/>
      </c>
      <c r="C804" s="132"/>
      <c r="D804" s="127"/>
      <c r="E804" s="127"/>
      <c r="F804" s="127"/>
      <c r="G804" s="127"/>
      <c r="H804" s="130"/>
      <c r="I804" s="130"/>
      <c r="J804" s="130">
        <f t="shared" si="1"/>
        <v>0</v>
      </c>
      <c r="K804" s="130"/>
      <c r="L804" s="130"/>
      <c r="M804" s="130">
        <f t="shared" si="2"/>
        <v>0</v>
      </c>
      <c r="N804" s="130"/>
      <c r="O804" s="130"/>
      <c r="P804" s="127"/>
      <c r="Q804" s="127"/>
      <c r="R804" s="127"/>
      <c r="S804" s="127"/>
      <c r="T804" s="127" t="str">
        <f>IF(A804="","",VLOOKUP(A804,'BASE OS'!$A$2:$I1000,4,FALSE))</f>
        <v/>
      </c>
      <c r="U804" s="127"/>
      <c r="V804" s="127"/>
      <c r="W804" s="127" t="str">
        <f t="shared" si="3"/>
        <v/>
      </c>
      <c r="X804" s="127" t="str">
        <f t="shared" si="4"/>
        <v/>
      </c>
      <c r="Y804" s="127" t="str">
        <f t="shared" si="5"/>
        <v/>
      </c>
    </row>
    <row r="805">
      <c r="A805" s="127"/>
      <c r="B805" s="127" t="str">
        <f>IF(A805="","",VLOOKUP(A805,'BASE OS'!$A$2:$I1000,2,FALSE))</f>
        <v/>
      </c>
      <c r="C805" s="132"/>
      <c r="D805" s="127"/>
      <c r="E805" s="127"/>
      <c r="F805" s="127"/>
      <c r="G805" s="127"/>
      <c r="H805" s="130"/>
      <c r="I805" s="130"/>
      <c r="J805" s="130">
        <f t="shared" si="1"/>
        <v>0</v>
      </c>
      <c r="K805" s="130"/>
      <c r="L805" s="130"/>
      <c r="M805" s="130">
        <f t="shared" si="2"/>
        <v>0</v>
      </c>
      <c r="N805" s="130"/>
      <c r="O805" s="130"/>
      <c r="P805" s="127"/>
      <c r="Q805" s="127"/>
      <c r="R805" s="127"/>
      <c r="S805" s="127"/>
      <c r="T805" s="127" t="str">
        <f>IF(A805="","",VLOOKUP(A805,'BASE OS'!$A$2:$I1000,4,FALSE))</f>
        <v/>
      </c>
      <c r="U805" s="127"/>
      <c r="V805" s="127"/>
      <c r="W805" s="127" t="str">
        <f t="shared" si="3"/>
        <v/>
      </c>
      <c r="X805" s="127" t="str">
        <f t="shared" si="4"/>
        <v/>
      </c>
      <c r="Y805" s="127" t="str">
        <f t="shared" si="5"/>
        <v/>
      </c>
    </row>
    <row r="806">
      <c r="A806" s="127"/>
      <c r="B806" s="127" t="str">
        <f>IF(A806="","",VLOOKUP(A806,'BASE OS'!$A$2:$I1000,2,FALSE))</f>
        <v/>
      </c>
      <c r="C806" s="132"/>
      <c r="D806" s="127"/>
      <c r="E806" s="127"/>
      <c r="F806" s="127"/>
      <c r="G806" s="127"/>
      <c r="H806" s="130"/>
      <c r="I806" s="130"/>
      <c r="J806" s="130">
        <f t="shared" si="1"/>
        <v>0</v>
      </c>
      <c r="K806" s="130"/>
      <c r="L806" s="130"/>
      <c r="M806" s="130">
        <f t="shared" si="2"/>
        <v>0</v>
      </c>
      <c r="N806" s="130"/>
      <c r="O806" s="130"/>
      <c r="P806" s="127"/>
      <c r="Q806" s="127"/>
      <c r="R806" s="127"/>
      <c r="S806" s="127"/>
      <c r="T806" s="127" t="str">
        <f>IF(A806="","",VLOOKUP(A806,'BASE OS'!$A$2:$I1000,4,FALSE))</f>
        <v/>
      </c>
      <c r="U806" s="127"/>
      <c r="V806" s="127"/>
      <c r="W806" s="127" t="str">
        <f t="shared" si="3"/>
        <v/>
      </c>
      <c r="X806" s="127" t="str">
        <f t="shared" si="4"/>
        <v/>
      </c>
      <c r="Y806" s="127" t="str">
        <f t="shared" si="5"/>
        <v/>
      </c>
    </row>
    <row r="807">
      <c r="A807" s="127"/>
      <c r="B807" s="127" t="str">
        <f>IF(A807="","",VLOOKUP(A807,'BASE OS'!$A$2:$I1000,2,FALSE))</f>
        <v/>
      </c>
      <c r="C807" s="132"/>
      <c r="D807" s="127"/>
      <c r="E807" s="127"/>
      <c r="F807" s="127"/>
      <c r="G807" s="127"/>
      <c r="H807" s="130"/>
      <c r="I807" s="130"/>
      <c r="J807" s="130">
        <f t="shared" si="1"/>
        <v>0</v>
      </c>
      <c r="K807" s="130"/>
      <c r="L807" s="130"/>
      <c r="M807" s="130">
        <f t="shared" si="2"/>
        <v>0</v>
      </c>
      <c r="N807" s="130"/>
      <c r="O807" s="130"/>
      <c r="P807" s="127"/>
      <c r="Q807" s="127"/>
      <c r="R807" s="127"/>
      <c r="S807" s="127"/>
      <c r="T807" s="127" t="str">
        <f>IF(A807="","",VLOOKUP(A807,'BASE OS'!$A$2:$I1000,4,FALSE))</f>
        <v/>
      </c>
      <c r="U807" s="127"/>
      <c r="V807" s="127"/>
      <c r="W807" s="127" t="str">
        <f t="shared" si="3"/>
        <v/>
      </c>
      <c r="X807" s="127" t="str">
        <f t="shared" si="4"/>
        <v/>
      </c>
      <c r="Y807" s="127" t="str">
        <f t="shared" si="5"/>
        <v/>
      </c>
    </row>
    <row r="808">
      <c r="A808" s="127"/>
      <c r="B808" s="127" t="str">
        <f>IF(A808="","",VLOOKUP(A808,'BASE OS'!$A$2:$I1000,2,FALSE))</f>
        <v/>
      </c>
      <c r="C808" s="132"/>
      <c r="D808" s="127"/>
      <c r="E808" s="127"/>
      <c r="F808" s="127"/>
      <c r="G808" s="127"/>
      <c r="H808" s="130"/>
      <c r="I808" s="130"/>
      <c r="J808" s="130">
        <f t="shared" si="1"/>
        <v>0</v>
      </c>
      <c r="K808" s="130"/>
      <c r="L808" s="130"/>
      <c r="M808" s="130">
        <f t="shared" si="2"/>
        <v>0</v>
      </c>
      <c r="N808" s="130"/>
      <c r="O808" s="130"/>
      <c r="P808" s="127"/>
      <c r="Q808" s="127"/>
      <c r="R808" s="127"/>
      <c r="S808" s="127"/>
      <c r="T808" s="127" t="str">
        <f>IF(A808="","",VLOOKUP(A808,'BASE OS'!$A$2:$I1000,4,FALSE))</f>
        <v/>
      </c>
      <c r="U808" s="127"/>
      <c r="V808" s="127"/>
      <c r="W808" s="127" t="str">
        <f t="shared" si="3"/>
        <v/>
      </c>
      <c r="X808" s="127" t="str">
        <f t="shared" si="4"/>
        <v/>
      </c>
      <c r="Y808" s="127" t="str">
        <f t="shared" si="5"/>
        <v/>
      </c>
    </row>
    <row r="809">
      <c r="A809" s="127"/>
      <c r="B809" s="127" t="str">
        <f>IF(A809="","",VLOOKUP(A809,'BASE OS'!$A$2:$I1000,2,FALSE))</f>
        <v/>
      </c>
      <c r="C809" s="132"/>
      <c r="D809" s="127"/>
      <c r="E809" s="127"/>
      <c r="F809" s="127"/>
      <c r="G809" s="127"/>
      <c r="H809" s="130"/>
      <c r="I809" s="130"/>
      <c r="J809" s="130">
        <f t="shared" si="1"/>
        <v>0</v>
      </c>
      <c r="K809" s="130"/>
      <c r="L809" s="130"/>
      <c r="M809" s="130">
        <f t="shared" si="2"/>
        <v>0</v>
      </c>
      <c r="N809" s="130"/>
      <c r="O809" s="130"/>
      <c r="P809" s="127"/>
      <c r="Q809" s="127"/>
      <c r="R809" s="127"/>
      <c r="S809" s="127"/>
      <c r="T809" s="127" t="str">
        <f>IF(A809="","",VLOOKUP(A809,'BASE OS'!$A$2:$I1000,4,FALSE))</f>
        <v/>
      </c>
      <c r="U809" s="127"/>
      <c r="V809" s="127"/>
      <c r="W809" s="127" t="str">
        <f t="shared" si="3"/>
        <v/>
      </c>
      <c r="X809" s="127" t="str">
        <f t="shared" si="4"/>
        <v/>
      </c>
      <c r="Y809" s="127" t="str">
        <f t="shared" si="5"/>
        <v/>
      </c>
    </row>
    <row r="810">
      <c r="A810" s="127"/>
      <c r="B810" s="127" t="str">
        <f>IF(A810="","",VLOOKUP(A810,'BASE OS'!$A$2:$I1000,2,FALSE))</f>
        <v/>
      </c>
      <c r="C810" s="132"/>
      <c r="D810" s="127"/>
      <c r="E810" s="127"/>
      <c r="F810" s="127"/>
      <c r="G810" s="127"/>
      <c r="H810" s="130"/>
      <c r="I810" s="130"/>
      <c r="J810" s="130">
        <f t="shared" si="1"/>
        <v>0</v>
      </c>
      <c r="K810" s="130"/>
      <c r="L810" s="130"/>
      <c r="M810" s="130">
        <f t="shared" si="2"/>
        <v>0</v>
      </c>
      <c r="N810" s="130"/>
      <c r="O810" s="130"/>
      <c r="P810" s="127"/>
      <c r="Q810" s="127"/>
      <c r="R810" s="127"/>
      <c r="S810" s="127"/>
      <c r="T810" s="127" t="str">
        <f>IF(A810="","",VLOOKUP(A810,'BASE OS'!$A$2:$I1000,4,FALSE))</f>
        <v/>
      </c>
      <c r="U810" s="127"/>
      <c r="V810" s="127"/>
      <c r="W810" s="127" t="str">
        <f t="shared" si="3"/>
        <v/>
      </c>
      <c r="X810" s="127" t="str">
        <f t="shared" si="4"/>
        <v/>
      </c>
      <c r="Y810" s="127" t="str">
        <f t="shared" si="5"/>
        <v/>
      </c>
    </row>
    <row r="811">
      <c r="A811" s="127"/>
      <c r="B811" s="127" t="str">
        <f>IF(A811="","",VLOOKUP(A811,'BASE OS'!$A$2:$I1000,2,FALSE))</f>
        <v/>
      </c>
      <c r="C811" s="132"/>
      <c r="D811" s="127"/>
      <c r="E811" s="127"/>
      <c r="F811" s="127"/>
      <c r="G811" s="127"/>
      <c r="H811" s="130"/>
      <c r="I811" s="130"/>
      <c r="J811" s="130">
        <f t="shared" si="1"/>
        <v>0</v>
      </c>
      <c r="K811" s="130"/>
      <c r="L811" s="130"/>
      <c r="M811" s="130">
        <f t="shared" si="2"/>
        <v>0</v>
      </c>
      <c r="N811" s="130"/>
      <c r="O811" s="130"/>
      <c r="P811" s="127"/>
      <c r="Q811" s="127"/>
      <c r="R811" s="127"/>
      <c r="S811" s="127"/>
      <c r="T811" s="127" t="str">
        <f>IF(A811="","",VLOOKUP(A811,'BASE OS'!$A$2:$I1000,4,FALSE))</f>
        <v/>
      </c>
      <c r="U811" s="127"/>
      <c r="V811" s="127"/>
      <c r="W811" s="127" t="str">
        <f t="shared" si="3"/>
        <v/>
      </c>
      <c r="X811" s="127" t="str">
        <f t="shared" si="4"/>
        <v/>
      </c>
      <c r="Y811" s="127" t="str">
        <f t="shared" si="5"/>
        <v/>
      </c>
    </row>
    <row r="812">
      <c r="A812" s="127"/>
      <c r="B812" s="127" t="str">
        <f>IF(A812="","",VLOOKUP(A812,'BASE OS'!$A$2:$I1000,2,FALSE))</f>
        <v/>
      </c>
      <c r="C812" s="132"/>
      <c r="D812" s="127"/>
      <c r="E812" s="127"/>
      <c r="F812" s="127"/>
      <c r="G812" s="127"/>
      <c r="H812" s="130"/>
      <c r="I812" s="130"/>
      <c r="J812" s="130">
        <f t="shared" si="1"/>
        <v>0</v>
      </c>
      <c r="K812" s="130"/>
      <c r="L812" s="130"/>
      <c r="M812" s="130">
        <f t="shared" si="2"/>
        <v>0</v>
      </c>
      <c r="N812" s="130"/>
      <c r="O812" s="130"/>
      <c r="P812" s="127"/>
      <c r="Q812" s="127"/>
      <c r="R812" s="127"/>
      <c r="S812" s="127"/>
      <c r="T812" s="127" t="str">
        <f>IF(A812="","",VLOOKUP(A812,'BASE OS'!$A$2:$I1000,4,FALSE))</f>
        <v/>
      </c>
      <c r="U812" s="127"/>
      <c r="V812" s="127"/>
      <c r="W812" s="127" t="str">
        <f t="shared" si="3"/>
        <v/>
      </c>
      <c r="X812" s="127" t="str">
        <f t="shared" si="4"/>
        <v/>
      </c>
      <c r="Y812" s="127" t="str">
        <f t="shared" si="5"/>
        <v/>
      </c>
    </row>
    <row r="813">
      <c r="A813" s="127"/>
      <c r="B813" s="127" t="str">
        <f>IF(A813="","",VLOOKUP(A813,'BASE OS'!$A$2:$I1000,2,FALSE))</f>
        <v/>
      </c>
      <c r="C813" s="132"/>
      <c r="D813" s="127"/>
      <c r="E813" s="127"/>
      <c r="F813" s="127"/>
      <c r="G813" s="127"/>
      <c r="H813" s="130"/>
      <c r="I813" s="130"/>
      <c r="J813" s="130">
        <f t="shared" si="1"/>
        <v>0</v>
      </c>
      <c r="K813" s="130"/>
      <c r="L813" s="130"/>
      <c r="M813" s="130">
        <f t="shared" si="2"/>
        <v>0</v>
      </c>
      <c r="N813" s="130"/>
      <c r="O813" s="130"/>
      <c r="P813" s="127"/>
      <c r="Q813" s="127"/>
      <c r="R813" s="127"/>
      <c r="S813" s="127"/>
      <c r="T813" s="127" t="str">
        <f>IF(A813="","",VLOOKUP(A813,'BASE OS'!$A$2:$I1000,4,FALSE))</f>
        <v/>
      </c>
      <c r="U813" s="127"/>
      <c r="V813" s="127"/>
      <c r="W813" s="127" t="str">
        <f t="shared" si="3"/>
        <v/>
      </c>
      <c r="X813" s="127" t="str">
        <f t="shared" si="4"/>
        <v/>
      </c>
      <c r="Y813" s="127" t="str">
        <f t="shared" si="5"/>
        <v/>
      </c>
    </row>
    <row r="814">
      <c r="A814" s="127"/>
      <c r="B814" s="127" t="str">
        <f>IF(A814="","",VLOOKUP(A814,'BASE OS'!$A$2:$I1000,2,FALSE))</f>
        <v/>
      </c>
      <c r="C814" s="132"/>
      <c r="D814" s="127"/>
      <c r="E814" s="127"/>
      <c r="F814" s="127"/>
      <c r="G814" s="127"/>
      <c r="H814" s="130"/>
      <c r="I814" s="130"/>
      <c r="J814" s="130">
        <f t="shared" si="1"/>
        <v>0</v>
      </c>
      <c r="K814" s="130"/>
      <c r="L814" s="130"/>
      <c r="M814" s="130">
        <f t="shared" si="2"/>
        <v>0</v>
      </c>
      <c r="N814" s="130"/>
      <c r="O814" s="130"/>
      <c r="P814" s="127"/>
      <c r="Q814" s="127"/>
      <c r="R814" s="127"/>
      <c r="S814" s="127"/>
      <c r="T814" s="127" t="str">
        <f>IF(A814="","",VLOOKUP(A814,'BASE OS'!$A$2:$I1000,4,FALSE))</f>
        <v/>
      </c>
      <c r="U814" s="127"/>
      <c r="V814" s="127"/>
      <c r="W814" s="127" t="str">
        <f t="shared" si="3"/>
        <v/>
      </c>
      <c r="X814" s="127" t="str">
        <f t="shared" si="4"/>
        <v/>
      </c>
      <c r="Y814" s="127" t="str">
        <f t="shared" si="5"/>
        <v/>
      </c>
    </row>
    <row r="815">
      <c r="A815" s="127"/>
      <c r="B815" s="127" t="str">
        <f>IF(A815="","",VLOOKUP(A815,'BASE OS'!$A$2:$I1000,2,FALSE))</f>
        <v/>
      </c>
      <c r="C815" s="132"/>
      <c r="D815" s="127"/>
      <c r="E815" s="127"/>
      <c r="F815" s="127"/>
      <c r="G815" s="127"/>
      <c r="H815" s="130"/>
      <c r="I815" s="130"/>
      <c r="J815" s="130">
        <f t="shared" si="1"/>
        <v>0</v>
      </c>
      <c r="K815" s="130"/>
      <c r="L815" s="130"/>
      <c r="M815" s="130">
        <f t="shared" si="2"/>
        <v>0</v>
      </c>
      <c r="N815" s="130"/>
      <c r="O815" s="130"/>
      <c r="P815" s="127"/>
      <c r="Q815" s="127"/>
      <c r="R815" s="127"/>
      <c r="S815" s="127"/>
      <c r="T815" s="127" t="str">
        <f>IF(A815="","",VLOOKUP(A815,'BASE OS'!$A$2:$I1000,4,FALSE))</f>
        <v/>
      </c>
      <c r="U815" s="127"/>
      <c r="V815" s="127"/>
      <c r="W815" s="127" t="str">
        <f t="shared" si="3"/>
        <v/>
      </c>
      <c r="X815" s="127" t="str">
        <f t="shared" si="4"/>
        <v/>
      </c>
      <c r="Y815" s="127" t="str">
        <f t="shared" si="5"/>
        <v/>
      </c>
    </row>
    <row r="816">
      <c r="A816" s="127"/>
      <c r="B816" s="127" t="str">
        <f>IF(A816="","",VLOOKUP(A816,'BASE OS'!$A$2:$I1000,2,FALSE))</f>
        <v/>
      </c>
      <c r="C816" s="132"/>
      <c r="D816" s="127"/>
      <c r="E816" s="127"/>
      <c r="F816" s="127"/>
      <c r="G816" s="127"/>
      <c r="H816" s="130"/>
      <c r="I816" s="130"/>
      <c r="J816" s="130">
        <f t="shared" si="1"/>
        <v>0</v>
      </c>
      <c r="K816" s="130"/>
      <c r="L816" s="130"/>
      <c r="M816" s="130">
        <f t="shared" si="2"/>
        <v>0</v>
      </c>
      <c r="N816" s="130"/>
      <c r="O816" s="130"/>
      <c r="P816" s="127"/>
      <c r="Q816" s="127"/>
      <c r="R816" s="127"/>
      <c r="S816" s="127"/>
      <c r="T816" s="127" t="str">
        <f>IF(A816="","",VLOOKUP(A816,'BASE OS'!$A$2:$I1000,4,FALSE))</f>
        <v/>
      </c>
      <c r="U816" s="127"/>
      <c r="V816" s="127"/>
      <c r="W816" s="127" t="str">
        <f t="shared" si="3"/>
        <v/>
      </c>
      <c r="X816" s="127" t="str">
        <f t="shared" si="4"/>
        <v/>
      </c>
      <c r="Y816" s="127" t="str">
        <f t="shared" si="5"/>
        <v/>
      </c>
    </row>
    <row r="817">
      <c r="A817" s="127"/>
      <c r="B817" s="127" t="str">
        <f>IF(A817="","",VLOOKUP(A817,'BASE OS'!$A$2:$I1000,2,FALSE))</f>
        <v/>
      </c>
      <c r="C817" s="132"/>
      <c r="D817" s="127"/>
      <c r="E817" s="127"/>
      <c r="F817" s="127"/>
      <c r="G817" s="127"/>
      <c r="H817" s="130"/>
      <c r="I817" s="130"/>
      <c r="J817" s="130">
        <f t="shared" si="1"/>
        <v>0</v>
      </c>
      <c r="K817" s="130"/>
      <c r="L817" s="130"/>
      <c r="M817" s="130">
        <f t="shared" si="2"/>
        <v>0</v>
      </c>
      <c r="N817" s="130"/>
      <c r="O817" s="130"/>
      <c r="P817" s="127"/>
      <c r="Q817" s="127"/>
      <c r="R817" s="127"/>
      <c r="S817" s="127"/>
      <c r="T817" s="127" t="str">
        <f>IF(A817="","",VLOOKUP(A817,'BASE OS'!$A$2:$I1000,4,FALSE))</f>
        <v/>
      </c>
      <c r="U817" s="127"/>
      <c r="V817" s="127"/>
      <c r="W817" s="127" t="str">
        <f t="shared" si="3"/>
        <v/>
      </c>
      <c r="X817" s="127" t="str">
        <f t="shared" si="4"/>
        <v/>
      </c>
      <c r="Y817" s="127" t="str">
        <f t="shared" si="5"/>
        <v/>
      </c>
    </row>
    <row r="818">
      <c r="A818" s="127"/>
      <c r="B818" s="127" t="str">
        <f>IF(A818="","",VLOOKUP(A818,'BASE OS'!$A$2:$I1000,2,FALSE))</f>
        <v/>
      </c>
      <c r="C818" s="132"/>
      <c r="D818" s="127"/>
      <c r="E818" s="127"/>
      <c r="F818" s="127"/>
      <c r="G818" s="127"/>
      <c r="H818" s="130"/>
      <c r="I818" s="130"/>
      <c r="J818" s="130">
        <f t="shared" si="1"/>
        <v>0</v>
      </c>
      <c r="K818" s="130"/>
      <c r="L818" s="130"/>
      <c r="M818" s="130">
        <f t="shared" si="2"/>
        <v>0</v>
      </c>
      <c r="N818" s="130"/>
      <c r="O818" s="130"/>
      <c r="P818" s="127"/>
      <c r="Q818" s="127"/>
      <c r="R818" s="127"/>
      <c r="S818" s="127"/>
      <c r="T818" s="127" t="str">
        <f>IF(A818="","",VLOOKUP(A818,'BASE OS'!$A$2:$I1000,4,FALSE))</f>
        <v/>
      </c>
      <c r="U818" s="127"/>
      <c r="V818" s="127"/>
      <c r="W818" s="127" t="str">
        <f t="shared" si="3"/>
        <v/>
      </c>
      <c r="X818" s="127" t="str">
        <f t="shared" si="4"/>
        <v/>
      </c>
      <c r="Y818" s="127" t="str">
        <f t="shared" si="5"/>
        <v/>
      </c>
    </row>
    <row r="819">
      <c r="A819" s="127"/>
      <c r="B819" s="127" t="str">
        <f>IF(A819="","",VLOOKUP(A819,'BASE OS'!$A$2:$I1000,2,FALSE))</f>
        <v/>
      </c>
      <c r="C819" s="132"/>
      <c r="D819" s="127"/>
      <c r="E819" s="127"/>
      <c r="F819" s="127"/>
      <c r="G819" s="127"/>
      <c r="H819" s="130"/>
      <c r="I819" s="130"/>
      <c r="J819" s="130">
        <f t="shared" si="1"/>
        <v>0</v>
      </c>
      <c r="K819" s="130"/>
      <c r="L819" s="130"/>
      <c r="M819" s="130">
        <f t="shared" si="2"/>
        <v>0</v>
      </c>
      <c r="N819" s="130"/>
      <c r="O819" s="130"/>
      <c r="P819" s="127"/>
      <c r="Q819" s="127"/>
      <c r="R819" s="127"/>
      <c r="S819" s="127"/>
      <c r="T819" s="127" t="str">
        <f>IF(A819="","",VLOOKUP(A819,'BASE OS'!$A$2:$I1000,4,FALSE))</f>
        <v/>
      </c>
      <c r="U819" s="127"/>
      <c r="V819" s="127"/>
      <c r="W819" s="127" t="str">
        <f t="shared" si="3"/>
        <v/>
      </c>
      <c r="X819" s="127" t="str">
        <f t="shared" si="4"/>
        <v/>
      </c>
      <c r="Y819" s="127" t="str">
        <f t="shared" si="5"/>
        <v/>
      </c>
    </row>
    <row r="820">
      <c r="A820" s="127"/>
      <c r="B820" s="127" t="str">
        <f>IF(A820="","",VLOOKUP(A820,'BASE OS'!$A$2:$I1000,2,FALSE))</f>
        <v/>
      </c>
      <c r="C820" s="132"/>
      <c r="D820" s="127"/>
      <c r="E820" s="127"/>
      <c r="F820" s="127"/>
      <c r="G820" s="127"/>
      <c r="H820" s="130"/>
      <c r="I820" s="130"/>
      <c r="J820" s="130">
        <f t="shared" si="1"/>
        <v>0</v>
      </c>
      <c r="K820" s="130"/>
      <c r="L820" s="130"/>
      <c r="M820" s="130">
        <f t="shared" si="2"/>
        <v>0</v>
      </c>
      <c r="N820" s="130"/>
      <c r="O820" s="130"/>
      <c r="P820" s="127"/>
      <c r="Q820" s="127"/>
      <c r="R820" s="127"/>
      <c r="S820" s="127"/>
      <c r="T820" s="127" t="str">
        <f>IF(A820="","",VLOOKUP(A820,'BASE OS'!$A$2:$I1000,4,FALSE))</f>
        <v/>
      </c>
      <c r="U820" s="127"/>
      <c r="V820" s="127"/>
      <c r="W820" s="127" t="str">
        <f t="shared" si="3"/>
        <v/>
      </c>
      <c r="X820" s="127" t="str">
        <f t="shared" si="4"/>
        <v/>
      </c>
      <c r="Y820" s="127" t="str">
        <f t="shared" si="5"/>
        <v/>
      </c>
    </row>
    <row r="821">
      <c r="A821" s="127"/>
      <c r="B821" s="127" t="str">
        <f>IF(A821="","",VLOOKUP(A821,'BASE OS'!$A$2:$I1000,2,FALSE))</f>
        <v/>
      </c>
      <c r="C821" s="132"/>
      <c r="D821" s="127"/>
      <c r="E821" s="127"/>
      <c r="F821" s="127"/>
      <c r="G821" s="127"/>
      <c r="H821" s="130"/>
      <c r="I821" s="130"/>
      <c r="J821" s="130">
        <f t="shared" si="1"/>
        <v>0</v>
      </c>
      <c r="K821" s="130"/>
      <c r="L821" s="130"/>
      <c r="M821" s="130">
        <f t="shared" si="2"/>
        <v>0</v>
      </c>
      <c r="N821" s="130"/>
      <c r="O821" s="130"/>
      <c r="P821" s="127"/>
      <c r="Q821" s="127"/>
      <c r="R821" s="127"/>
      <c r="S821" s="127"/>
      <c r="T821" s="127" t="str">
        <f>IF(A821="","",VLOOKUP(A821,'BASE OS'!$A$2:$I1000,4,FALSE))</f>
        <v/>
      </c>
      <c r="U821" s="127"/>
      <c r="V821" s="127"/>
      <c r="W821" s="127" t="str">
        <f t="shared" si="3"/>
        <v/>
      </c>
      <c r="X821" s="127" t="str">
        <f t="shared" si="4"/>
        <v/>
      </c>
      <c r="Y821" s="127" t="str">
        <f t="shared" si="5"/>
        <v/>
      </c>
    </row>
    <row r="822">
      <c r="A822" s="127"/>
      <c r="B822" s="127" t="str">
        <f>IF(A822="","",VLOOKUP(A822,'BASE OS'!$A$2:$I1000,2,FALSE))</f>
        <v/>
      </c>
      <c r="C822" s="132"/>
      <c r="D822" s="127"/>
      <c r="E822" s="127"/>
      <c r="F822" s="127"/>
      <c r="G822" s="127"/>
      <c r="H822" s="130"/>
      <c r="I822" s="130"/>
      <c r="J822" s="130">
        <f t="shared" si="1"/>
        <v>0</v>
      </c>
      <c r="K822" s="130"/>
      <c r="L822" s="130"/>
      <c r="M822" s="130">
        <f t="shared" si="2"/>
        <v>0</v>
      </c>
      <c r="N822" s="130"/>
      <c r="O822" s="130"/>
      <c r="P822" s="127"/>
      <c r="Q822" s="127"/>
      <c r="R822" s="127"/>
      <c r="S822" s="127"/>
      <c r="T822" s="127" t="str">
        <f>IF(A822="","",VLOOKUP(A822,'BASE OS'!$A$2:$I1000,4,FALSE))</f>
        <v/>
      </c>
      <c r="U822" s="127"/>
      <c r="V822" s="127"/>
      <c r="W822" s="127" t="str">
        <f t="shared" si="3"/>
        <v/>
      </c>
      <c r="X822" s="127" t="str">
        <f t="shared" si="4"/>
        <v/>
      </c>
      <c r="Y822" s="127" t="str">
        <f t="shared" si="5"/>
        <v/>
      </c>
    </row>
    <row r="823">
      <c r="A823" s="127"/>
      <c r="B823" s="127" t="str">
        <f>IF(A823="","",VLOOKUP(A823,'BASE OS'!$A$2:$I1000,2,FALSE))</f>
        <v/>
      </c>
      <c r="C823" s="132"/>
      <c r="D823" s="127"/>
      <c r="E823" s="127"/>
      <c r="F823" s="127"/>
      <c r="G823" s="127"/>
      <c r="H823" s="130"/>
      <c r="I823" s="130"/>
      <c r="J823" s="130">
        <f t="shared" si="1"/>
        <v>0</v>
      </c>
      <c r="K823" s="130"/>
      <c r="L823" s="130"/>
      <c r="M823" s="130">
        <f t="shared" si="2"/>
        <v>0</v>
      </c>
      <c r="N823" s="130"/>
      <c r="O823" s="130"/>
      <c r="P823" s="127"/>
      <c r="Q823" s="127"/>
      <c r="R823" s="127"/>
      <c r="S823" s="127"/>
      <c r="T823" s="127" t="str">
        <f>IF(A823="","",VLOOKUP(A823,'BASE OS'!$A$2:$I1000,4,FALSE))</f>
        <v/>
      </c>
      <c r="U823" s="127"/>
      <c r="V823" s="127"/>
      <c r="W823" s="127" t="str">
        <f t="shared" si="3"/>
        <v/>
      </c>
      <c r="X823" s="127" t="str">
        <f t="shared" si="4"/>
        <v/>
      </c>
      <c r="Y823" s="127" t="str">
        <f t="shared" si="5"/>
        <v/>
      </c>
    </row>
    <row r="824">
      <c r="A824" s="127"/>
      <c r="B824" s="127" t="str">
        <f>IF(A824="","",VLOOKUP(A824,'BASE OS'!$A$2:$I1000,2,FALSE))</f>
        <v/>
      </c>
      <c r="C824" s="132"/>
      <c r="D824" s="127"/>
      <c r="E824" s="127"/>
      <c r="F824" s="127"/>
      <c r="G824" s="127"/>
      <c r="H824" s="130"/>
      <c r="I824" s="130"/>
      <c r="J824" s="130">
        <f t="shared" si="1"/>
        <v>0</v>
      </c>
      <c r="K824" s="130"/>
      <c r="L824" s="130"/>
      <c r="M824" s="130">
        <f t="shared" si="2"/>
        <v>0</v>
      </c>
      <c r="N824" s="130"/>
      <c r="O824" s="130"/>
      <c r="P824" s="127"/>
      <c r="Q824" s="127"/>
      <c r="R824" s="127"/>
      <c r="S824" s="127"/>
      <c r="T824" s="127" t="str">
        <f>IF(A824="","",VLOOKUP(A824,'BASE OS'!$A$2:$I1000,4,FALSE))</f>
        <v/>
      </c>
      <c r="U824" s="127"/>
      <c r="V824" s="127"/>
      <c r="W824" s="127" t="str">
        <f t="shared" si="3"/>
        <v/>
      </c>
      <c r="X824" s="127" t="str">
        <f t="shared" si="4"/>
        <v/>
      </c>
      <c r="Y824" s="127" t="str">
        <f t="shared" si="5"/>
        <v/>
      </c>
    </row>
    <row r="825">
      <c r="A825" s="127"/>
      <c r="B825" s="127" t="str">
        <f>IF(A825="","",VLOOKUP(A825,'BASE OS'!$A$2:$I1000,2,FALSE))</f>
        <v/>
      </c>
      <c r="C825" s="132"/>
      <c r="D825" s="127"/>
      <c r="E825" s="127"/>
      <c r="F825" s="127"/>
      <c r="G825" s="127"/>
      <c r="H825" s="130"/>
      <c r="I825" s="130"/>
      <c r="J825" s="130">
        <f t="shared" si="1"/>
        <v>0</v>
      </c>
      <c r="K825" s="130"/>
      <c r="L825" s="130"/>
      <c r="M825" s="130">
        <f t="shared" si="2"/>
        <v>0</v>
      </c>
      <c r="N825" s="130"/>
      <c r="O825" s="130"/>
      <c r="P825" s="127"/>
      <c r="Q825" s="127"/>
      <c r="R825" s="127"/>
      <c r="S825" s="127"/>
      <c r="T825" s="127" t="str">
        <f>IF(A825="","",VLOOKUP(A825,'BASE OS'!$A$2:$I1000,4,FALSE))</f>
        <v/>
      </c>
      <c r="U825" s="127"/>
      <c r="V825" s="127"/>
      <c r="W825" s="127" t="str">
        <f t="shared" si="3"/>
        <v/>
      </c>
      <c r="X825" s="127" t="str">
        <f t="shared" si="4"/>
        <v/>
      </c>
      <c r="Y825" s="127" t="str">
        <f t="shared" si="5"/>
        <v/>
      </c>
    </row>
    <row r="826">
      <c r="A826" s="127"/>
      <c r="B826" s="127" t="str">
        <f>IF(A826="","",VLOOKUP(A826,'BASE OS'!$A$2:$I1000,2,FALSE))</f>
        <v/>
      </c>
      <c r="C826" s="132"/>
      <c r="D826" s="127"/>
      <c r="E826" s="127"/>
      <c r="F826" s="127"/>
      <c r="G826" s="127"/>
      <c r="H826" s="130"/>
      <c r="I826" s="130"/>
      <c r="J826" s="130">
        <f t="shared" si="1"/>
        <v>0</v>
      </c>
      <c r="K826" s="130"/>
      <c r="L826" s="130"/>
      <c r="M826" s="130">
        <f t="shared" si="2"/>
        <v>0</v>
      </c>
      <c r="N826" s="130"/>
      <c r="O826" s="130"/>
      <c r="P826" s="127"/>
      <c r="Q826" s="127"/>
      <c r="R826" s="127"/>
      <c r="S826" s="127"/>
      <c r="T826" s="127" t="str">
        <f>IF(A826="","",VLOOKUP(A826,'BASE OS'!$A$2:$I1000,4,FALSE))</f>
        <v/>
      </c>
      <c r="U826" s="127"/>
      <c r="V826" s="127"/>
      <c r="W826" s="127" t="str">
        <f t="shared" si="3"/>
        <v/>
      </c>
      <c r="X826" s="127" t="str">
        <f t="shared" si="4"/>
        <v/>
      </c>
      <c r="Y826" s="127" t="str">
        <f t="shared" si="5"/>
        <v/>
      </c>
    </row>
    <row r="827">
      <c r="A827" s="127"/>
      <c r="B827" s="127" t="str">
        <f>IF(A827="","",VLOOKUP(A827,'BASE OS'!$A$2:$I1000,2,FALSE))</f>
        <v/>
      </c>
      <c r="C827" s="132"/>
      <c r="D827" s="127"/>
      <c r="E827" s="127"/>
      <c r="F827" s="127"/>
      <c r="G827" s="127"/>
      <c r="H827" s="130"/>
      <c r="I827" s="130"/>
      <c r="J827" s="130">
        <f t="shared" si="1"/>
        <v>0</v>
      </c>
      <c r="K827" s="130"/>
      <c r="L827" s="130"/>
      <c r="M827" s="130">
        <f t="shared" si="2"/>
        <v>0</v>
      </c>
      <c r="N827" s="130"/>
      <c r="O827" s="130"/>
      <c r="P827" s="127"/>
      <c r="Q827" s="127"/>
      <c r="R827" s="127"/>
      <c r="S827" s="127"/>
      <c r="T827" s="127" t="str">
        <f>IF(A827="","",VLOOKUP(A827,'BASE OS'!$A$2:$I1000,4,FALSE))</f>
        <v/>
      </c>
      <c r="U827" s="127"/>
      <c r="V827" s="127"/>
      <c r="W827" s="127" t="str">
        <f t="shared" si="3"/>
        <v/>
      </c>
      <c r="X827" s="127" t="str">
        <f t="shared" si="4"/>
        <v/>
      </c>
      <c r="Y827" s="127" t="str">
        <f t="shared" si="5"/>
        <v/>
      </c>
    </row>
    <row r="828">
      <c r="A828" s="127"/>
      <c r="B828" s="127" t="str">
        <f>IF(A828="","",VLOOKUP(A828,'BASE OS'!$A$2:$I1000,2,FALSE))</f>
        <v/>
      </c>
      <c r="C828" s="132"/>
      <c r="D828" s="127"/>
      <c r="E828" s="127"/>
      <c r="F828" s="127"/>
      <c r="G828" s="127"/>
      <c r="H828" s="130"/>
      <c r="I828" s="130"/>
      <c r="J828" s="130">
        <f t="shared" si="1"/>
        <v>0</v>
      </c>
      <c r="K828" s="130"/>
      <c r="L828" s="130"/>
      <c r="M828" s="130">
        <f t="shared" si="2"/>
        <v>0</v>
      </c>
      <c r="N828" s="130"/>
      <c r="O828" s="130"/>
      <c r="P828" s="127"/>
      <c r="Q828" s="127"/>
      <c r="R828" s="127"/>
      <c r="S828" s="127"/>
      <c r="T828" s="127" t="str">
        <f>IF(A828="","",VLOOKUP(A828,'BASE OS'!$A$2:$I1000,4,FALSE))</f>
        <v/>
      </c>
      <c r="U828" s="127"/>
      <c r="V828" s="127"/>
      <c r="W828" s="127" t="str">
        <f t="shared" si="3"/>
        <v/>
      </c>
      <c r="X828" s="127" t="str">
        <f t="shared" si="4"/>
        <v/>
      </c>
      <c r="Y828" s="127" t="str">
        <f t="shared" si="5"/>
        <v/>
      </c>
    </row>
    <row r="829">
      <c r="A829" s="127"/>
      <c r="B829" s="127" t="str">
        <f>IF(A829="","",VLOOKUP(A829,'BASE OS'!$A$2:$I1000,2,FALSE))</f>
        <v/>
      </c>
      <c r="C829" s="132"/>
      <c r="D829" s="127"/>
      <c r="E829" s="127"/>
      <c r="F829" s="127"/>
      <c r="G829" s="127"/>
      <c r="H829" s="130"/>
      <c r="I829" s="130"/>
      <c r="J829" s="130">
        <f t="shared" si="1"/>
        <v>0</v>
      </c>
      <c r="K829" s="130"/>
      <c r="L829" s="130"/>
      <c r="M829" s="130">
        <f t="shared" si="2"/>
        <v>0</v>
      </c>
      <c r="N829" s="130"/>
      <c r="O829" s="130"/>
      <c r="P829" s="127"/>
      <c r="Q829" s="127"/>
      <c r="R829" s="127"/>
      <c r="S829" s="127"/>
      <c r="T829" s="127" t="str">
        <f>IF(A829="","",VLOOKUP(A829,'BASE OS'!$A$2:$I1000,4,FALSE))</f>
        <v/>
      </c>
      <c r="U829" s="127"/>
      <c r="V829" s="127"/>
      <c r="W829" s="127" t="str">
        <f t="shared" si="3"/>
        <v/>
      </c>
      <c r="X829" s="127" t="str">
        <f t="shared" si="4"/>
        <v/>
      </c>
      <c r="Y829" s="127" t="str">
        <f t="shared" si="5"/>
        <v/>
      </c>
    </row>
    <row r="830">
      <c r="A830" s="127"/>
      <c r="B830" s="127" t="str">
        <f>IF(A830="","",VLOOKUP(A830,'BASE OS'!$A$2:$I1000,2,FALSE))</f>
        <v/>
      </c>
      <c r="C830" s="132"/>
      <c r="D830" s="127"/>
      <c r="E830" s="127"/>
      <c r="F830" s="127"/>
      <c r="G830" s="127"/>
      <c r="H830" s="130"/>
      <c r="I830" s="130"/>
      <c r="J830" s="130">
        <f t="shared" si="1"/>
        <v>0</v>
      </c>
      <c r="K830" s="130"/>
      <c r="L830" s="130"/>
      <c r="M830" s="130">
        <f t="shared" si="2"/>
        <v>0</v>
      </c>
      <c r="N830" s="130"/>
      <c r="O830" s="130"/>
      <c r="P830" s="127"/>
      <c r="Q830" s="127"/>
      <c r="R830" s="127"/>
      <c r="S830" s="127"/>
      <c r="T830" s="127" t="str">
        <f>IF(A830="","",VLOOKUP(A830,'BASE OS'!$A$2:$I1000,4,FALSE))</f>
        <v/>
      </c>
      <c r="U830" s="127"/>
      <c r="V830" s="127"/>
      <c r="W830" s="127" t="str">
        <f t="shared" si="3"/>
        <v/>
      </c>
      <c r="X830" s="127" t="str">
        <f t="shared" si="4"/>
        <v/>
      </c>
      <c r="Y830" s="127" t="str">
        <f t="shared" si="5"/>
        <v/>
      </c>
    </row>
    <row r="831">
      <c r="A831" s="127"/>
      <c r="B831" s="127" t="str">
        <f>IF(A831="","",VLOOKUP(A831,'BASE OS'!$A$2:$I1000,2,FALSE))</f>
        <v/>
      </c>
      <c r="C831" s="132"/>
      <c r="D831" s="127"/>
      <c r="E831" s="127"/>
      <c r="F831" s="127"/>
      <c r="G831" s="127"/>
      <c r="H831" s="130"/>
      <c r="I831" s="130"/>
      <c r="J831" s="130">
        <f t="shared" si="1"/>
        <v>0</v>
      </c>
      <c r="K831" s="130"/>
      <c r="L831" s="130"/>
      <c r="M831" s="130">
        <f t="shared" si="2"/>
        <v>0</v>
      </c>
      <c r="N831" s="130"/>
      <c r="O831" s="130"/>
      <c r="P831" s="127"/>
      <c r="Q831" s="127"/>
      <c r="R831" s="127"/>
      <c r="S831" s="127"/>
      <c r="T831" s="127" t="str">
        <f>IF(A831="","",VLOOKUP(A831,'BASE OS'!$A$2:$I1000,4,FALSE))</f>
        <v/>
      </c>
      <c r="U831" s="127"/>
      <c r="V831" s="127"/>
      <c r="W831" s="127" t="str">
        <f t="shared" si="3"/>
        <v/>
      </c>
      <c r="X831" s="127" t="str">
        <f t="shared" si="4"/>
        <v/>
      </c>
      <c r="Y831" s="127" t="str">
        <f t="shared" si="5"/>
        <v/>
      </c>
    </row>
    <row r="832">
      <c r="A832" s="127"/>
      <c r="B832" s="127" t="str">
        <f>IF(A832="","",VLOOKUP(A832,'BASE OS'!$A$2:$I1000,2,FALSE))</f>
        <v/>
      </c>
      <c r="C832" s="132"/>
      <c r="D832" s="127"/>
      <c r="E832" s="127"/>
      <c r="F832" s="127"/>
      <c r="G832" s="127"/>
      <c r="H832" s="130"/>
      <c r="I832" s="130"/>
      <c r="J832" s="130">
        <f t="shared" si="1"/>
        <v>0</v>
      </c>
      <c r="K832" s="130"/>
      <c r="L832" s="130"/>
      <c r="M832" s="130">
        <f t="shared" si="2"/>
        <v>0</v>
      </c>
      <c r="N832" s="130"/>
      <c r="O832" s="130"/>
      <c r="P832" s="127"/>
      <c r="Q832" s="127"/>
      <c r="R832" s="127"/>
      <c r="S832" s="127"/>
      <c r="T832" s="127" t="str">
        <f>IF(A832="","",VLOOKUP(A832,'BASE OS'!$A$2:$I1000,4,FALSE))</f>
        <v/>
      </c>
      <c r="U832" s="127"/>
      <c r="V832" s="127"/>
      <c r="W832" s="127" t="str">
        <f t="shared" si="3"/>
        <v/>
      </c>
      <c r="X832" s="127" t="str">
        <f t="shared" si="4"/>
        <v/>
      </c>
      <c r="Y832" s="127" t="str">
        <f t="shared" si="5"/>
        <v/>
      </c>
    </row>
    <row r="833">
      <c r="A833" s="127"/>
      <c r="B833" s="127" t="str">
        <f>IF(A833="","",VLOOKUP(A833,'BASE OS'!$A$2:$I1000,2,FALSE))</f>
        <v/>
      </c>
      <c r="C833" s="132"/>
      <c r="D833" s="127"/>
      <c r="E833" s="127"/>
      <c r="F833" s="127"/>
      <c r="G833" s="127"/>
      <c r="H833" s="130"/>
      <c r="I833" s="130"/>
      <c r="J833" s="130">
        <f t="shared" si="1"/>
        <v>0</v>
      </c>
      <c r="K833" s="130"/>
      <c r="L833" s="130"/>
      <c r="M833" s="130">
        <f t="shared" si="2"/>
        <v>0</v>
      </c>
      <c r="N833" s="130"/>
      <c r="O833" s="130"/>
      <c r="P833" s="127"/>
      <c r="Q833" s="127"/>
      <c r="R833" s="127"/>
      <c r="S833" s="127"/>
      <c r="T833" s="127" t="str">
        <f>IF(A833="","",VLOOKUP(A833,'BASE OS'!$A$2:$I1000,4,FALSE))</f>
        <v/>
      </c>
      <c r="U833" s="127"/>
      <c r="V833" s="127"/>
      <c r="W833" s="127" t="str">
        <f t="shared" si="3"/>
        <v/>
      </c>
      <c r="X833" s="127" t="str">
        <f t="shared" si="4"/>
        <v/>
      </c>
      <c r="Y833" s="127" t="str">
        <f t="shared" si="5"/>
        <v/>
      </c>
    </row>
    <row r="834">
      <c r="A834" s="127"/>
      <c r="B834" s="127" t="str">
        <f>IF(A834="","",VLOOKUP(A834,'BASE OS'!$A$2:$I1000,2,FALSE))</f>
        <v/>
      </c>
      <c r="C834" s="132"/>
      <c r="D834" s="127"/>
      <c r="E834" s="127"/>
      <c r="F834" s="127"/>
      <c r="G834" s="127"/>
      <c r="H834" s="130"/>
      <c r="I834" s="130"/>
      <c r="J834" s="130">
        <f t="shared" si="1"/>
        <v>0</v>
      </c>
      <c r="K834" s="130"/>
      <c r="L834" s="130"/>
      <c r="M834" s="130">
        <f t="shared" si="2"/>
        <v>0</v>
      </c>
      <c r="N834" s="130"/>
      <c r="O834" s="130"/>
      <c r="P834" s="127"/>
      <c r="Q834" s="127"/>
      <c r="R834" s="127"/>
      <c r="S834" s="127"/>
      <c r="T834" s="127" t="str">
        <f>IF(A834="","",VLOOKUP(A834,'BASE OS'!$A$2:$I1000,4,FALSE))</f>
        <v/>
      </c>
      <c r="U834" s="127"/>
      <c r="V834" s="127"/>
      <c r="W834" s="127" t="str">
        <f t="shared" si="3"/>
        <v/>
      </c>
      <c r="X834" s="127" t="str">
        <f t="shared" si="4"/>
        <v/>
      </c>
      <c r="Y834" s="127" t="str">
        <f t="shared" si="5"/>
        <v/>
      </c>
    </row>
    <row r="835">
      <c r="A835" s="127"/>
      <c r="B835" s="127" t="str">
        <f>IF(A835="","",VLOOKUP(A835,'BASE OS'!$A$2:$I1000,2,FALSE))</f>
        <v/>
      </c>
      <c r="C835" s="132"/>
      <c r="D835" s="127"/>
      <c r="E835" s="127"/>
      <c r="F835" s="127"/>
      <c r="G835" s="127"/>
      <c r="H835" s="130"/>
      <c r="I835" s="130"/>
      <c r="J835" s="130">
        <f t="shared" si="1"/>
        <v>0</v>
      </c>
      <c r="K835" s="130"/>
      <c r="L835" s="130"/>
      <c r="M835" s="130">
        <f t="shared" si="2"/>
        <v>0</v>
      </c>
      <c r="N835" s="130"/>
      <c r="O835" s="130"/>
      <c r="P835" s="127"/>
      <c r="Q835" s="127"/>
      <c r="R835" s="127"/>
      <c r="S835" s="127"/>
      <c r="T835" s="127" t="str">
        <f>IF(A835="","",VLOOKUP(A835,'BASE OS'!$A$2:$I1000,4,FALSE))</f>
        <v/>
      </c>
      <c r="U835" s="127"/>
      <c r="V835" s="127"/>
      <c r="W835" s="127" t="str">
        <f t="shared" si="3"/>
        <v/>
      </c>
      <c r="X835" s="127" t="str">
        <f t="shared" si="4"/>
        <v/>
      </c>
      <c r="Y835" s="127" t="str">
        <f t="shared" si="5"/>
        <v/>
      </c>
    </row>
    <row r="836">
      <c r="A836" s="127"/>
      <c r="B836" s="127" t="str">
        <f>IF(A836="","",VLOOKUP(A836,'BASE OS'!$A$2:$I1000,2,FALSE))</f>
        <v/>
      </c>
      <c r="C836" s="132"/>
      <c r="D836" s="127"/>
      <c r="E836" s="127"/>
      <c r="F836" s="127"/>
      <c r="G836" s="127"/>
      <c r="H836" s="130"/>
      <c r="I836" s="130"/>
      <c r="J836" s="130">
        <f t="shared" si="1"/>
        <v>0</v>
      </c>
      <c r="K836" s="130"/>
      <c r="L836" s="130"/>
      <c r="M836" s="130">
        <f t="shared" si="2"/>
        <v>0</v>
      </c>
      <c r="N836" s="130"/>
      <c r="O836" s="130"/>
      <c r="P836" s="127"/>
      <c r="Q836" s="127"/>
      <c r="R836" s="127"/>
      <c r="S836" s="127"/>
      <c r="T836" s="127" t="str">
        <f>IF(A836="","",VLOOKUP(A836,'BASE OS'!$A$2:$I1000,4,FALSE))</f>
        <v/>
      </c>
      <c r="U836" s="127"/>
      <c r="V836" s="127"/>
      <c r="W836" s="127" t="str">
        <f t="shared" si="3"/>
        <v/>
      </c>
      <c r="X836" s="127" t="str">
        <f t="shared" si="4"/>
        <v/>
      </c>
      <c r="Y836" s="127" t="str">
        <f t="shared" si="5"/>
        <v/>
      </c>
    </row>
    <row r="837">
      <c r="A837" s="127"/>
      <c r="B837" s="127" t="str">
        <f>IF(A837="","",VLOOKUP(A837,'BASE OS'!$A$2:$I1000,2,FALSE))</f>
        <v/>
      </c>
      <c r="C837" s="132"/>
      <c r="D837" s="127"/>
      <c r="E837" s="127"/>
      <c r="F837" s="127"/>
      <c r="G837" s="127"/>
      <c r="H837" s="130"/>
      <c r="I837" s="130"/>
      <c r="J837" s="130">
        <f t="shared" si="1"/>
        <v>0</v>
      </c>
      <c r="K837" s="130"/>
      <c r="L837" s="130"/>
      <c r="M837" s="130">
        <f t="shared" si="2"/>
        <v>0</v>
      </c>
      <c r="N837" s="130"/>
      <c r="O837" s="130"/>
      <c r="P837" s="127"/>
      <c r="Q837" s="127"/>
      <c r="R837" s="127"/>
      <c r="S837" s="127"/>
      <c r="T837" s="127" t="str">
        <f>IF(A837="","",VLOOKUP(A837,'BASE OS'!$A$2:$I1000,4,FALSE))</f>
        <v/>
      </c>
      <c r="U837" s="127"/>
      <c r="V837" s="127"/>
      <c r="W837" s="127" t="str">
        <f t="shared" si="3"/>
        <v/>
      </c>
      <c r="X837" s="127" t="str">
        <f t="shared" si="4"/>
        <v/>
      </c>
      <c r="Y837" s="127" t="str">
        <f t="shared" si="5"/>
        <v/>
      </c>
    </row>
    <row r="838">
      <c r="A838" s="127"/>
      <c r="B838" s="127" t="str">
        <f>IF(A838="","",VLOOKUP(A838,'BASE OS'!$A$2:$I1000,2,FALSE))</f>
        <v/>
      </c>
      <c r="C838" s="132"/>
      <c r="D838" s="127"/>
      <c r="E838" s="127"/>
      <c r="F838" s="127"/>
      <c r="G838" s="127"/>
      <c r="H838" s="130"/>
      <c r="I838" s="130"/>
      <c r="J838" s="130">
        <f t="shared" si="1"/>
        <v>0</v>
      </c>
      <c r="K838" s="130"/>
      <c r="L838" s="130"/>
      <c r="M838" s="130">
        <f t="shared" si="2"/>
        <v>0</v>
      </c>
      <c r="N838" s="130"/>
      <c r="O838" s="130"/>
      <c r="P838" s="127"/>
      <c r="Q838" s="127"/>
      <c r="R838" s="127"/>
      <c r="S838" s="127"/>
      <c r="T838" s="127" t="str">
        <f>IF(A838="","",VLOOKUP(A838,'BASE OS'!$A$2:$I1000,4,FALSE))</f>
        <v/>
      </c>
      <c r="U838" s="127"/>
      <c r="V838" s="127"/>
      <c r="W838" s="127" t="str">
        <f t="shared" si="3"/>
        <v/>
      </c>
      <c r="X838" s="127" t="str">
        <f t="shared" si="4"/>
        <v/>
      </c>
      <c r="Y838" s="127" t="str">
        <f t="shared" si="5"/>
        <v/>
      </c>
    </row>
    <row r="839">
      <c r="A839" s="127"/>
      <c r="B839" s="127" t="str">
        <f>IF(A839="","",VLOOKUP(A839,'BASE OS'!$A$2:$I1000,2,FALSE))</f>
        <v/>
      </c>
      <c r="C839" s="132"/>
      <c r="D839" s="127"/>
      <c r="E839" s="127"/>
      <c r="F839" s="127"/>
      <c r="G839" s="127"/>
      <c r="H839" s="130"/>
      <c r="I839" s="130"/>
      <c r="J839" s="130">
        <f t="shared" si="1"/>
        <v>0</v>
      </c>
      <c r="K839" s="130"/>
      <c r="L839" s="130"/>
      <c r="M839" s="130">
        <f t="shared" si="2"/>
        <v>0</v>
      </c>
      <c r="N839" s="130"/>
      <c r="O839" s="130"/>
      <c r="P839" s="127"/>
      <c r="Q839" s="127"/>
      <c r="R839" s="127"/>
      <c r="S839" s="127"/>
      <c r="T839" s="127" t="str">
        <f>IF(A839="","",VLOOKUP(A839,'BASE OS'!$A$2:$I1000,4,FALSE))</f>
        <v/>
      </c>
      <c r="U839" s="127"/>
      <c r="V839" s="127"/>
      <c r="W839" s="127" t="str">
        <f t="shared" si="3"/>
        <v/>
      </c>
      <c r="X839" s="127" t="str">
        <f t="shared" si="4"/>
        <v/>
      </c>
      <c r="Y839" s="127" t="str">
        <f t="shared" si="5"/>
        <v/>
      </c>
    </row>
    <row r="840">
      <c r="A840" s="127"/>
      <c r="B840" s="127" t="str">
        <f>IF(A840="","",VLOOKUP(A840,'BASE OS'!$A$2:$I1000,2,FALSE))</f>
        <v/>
      </c>
      <c r="C840" s="132"/>
      <c r="D840" s="127"/>
      <c r="E840" s="127"/>
      <c r="F840" s="127"/>
      <c r="G840" s="127"/>
      <c r="H840" s="130"/>
      <c r="I840" s="130"/>
      <c r="J840" s="130">
        <f t="shared" si="1"/>
        <v>0</v>
      </c>
      <c r="K840" s="130"/>
      <c r="L840" s="130"/>
      <c r="M840" s="130">
        <f t="shared" si="2"/>
        <v>0</v>
      </c>
      <c r="N840" s="130"/>
      <c r="O840" s="130"/>
      <c r="P840" s="127"/>
      <c r="Q840" s="127"/>
      <c r="R840" s="127"/>
      <c r="S840" s="127"/>
      <c r="T840" s="127" t="str">
        <f>IF(A840="","",VLOOKUP(A840,'BASE OS'!$A$2:$I1000,4,FALSE))</f>
        <v/>
      </c>
      <c r="U840" s="127"/>
      <c r="V840" s="127"/>
      <c r="W840" s="127" t="str">
        <f t="shared" si="3"/>
        <v/>
      </c>
      <c r="X840" s="127" t="str">
        <f t="shared" si="4"/>
        <v/>
      </c>
      <c r="Y840" s="127" t="str">
        <f t="shared" si="5"/>
        <v/>
      </c>
    </row>
    <row r="841">
      <c r="A841" s="127"/>
      <c r="B841" s="127" t="str">
        <f>IF(A841="","",VLOOKUP(A841,'BASE OS'!$A$2:$I1000,2,FALSE))</f>
        <v/>
      </c>
      <c r="C841" s="132"/>
      <c r="D841" s="127"/>
      <c r="E841" s="127"/>
      <c r="F841" s="127"/>
      <c r="G841" s="127"/>
      <c r="H841" s="130"/>
      <c r="I841" s="130"/>
      <c r="J841" s="130">
        <f t="shared" si="1"/>
        <v>0</v>
      </c>
      <c r="K841" s="130"/>
      <c r="L841" s="130"/>
      <c r="M841" s="130">
        <f t="shared" si="2"/>
        <v>0</v>
      </c>
      <c r="N841" s="130"/>
      <c r="O841" s="130"/>
      <c r="P841" s="127"/>
      <c r="Q841" s="127"/>
      <c r="R841" s="127"/>
      <c r="S841" s="127"/>
      <c r="T841" s="127" t="str">
        <f>IF(A841="","",VLOOKUP(A841,'BASE OS'!$A$2:$I1000,4,FALSE))</f>
        <v/>
      </c>
      <c r="U841" s="127"/>
      <c r="V841" s="127"/>
      <c r="W841" s="127" t="str">
        <f t="shared" si="3"/>
        <v/>
      </c>
      <c r="X841" s="127" t="str">
        <f t="shared" si="4"/>
        <v/>
      </c>
      <c r="Y841" s="127" t="str">
        <f t="shared" si="5"/>
        <v/>
      </c>
    </row>
    <row r="842">
      <c r="A842" s="127"/>
      <c r="B842" s="127" t="str">
        <f>IF(A842="","",VLOOKUP(A842,'BASE OS'!$A$2:$I1000,2,FALSE))</f>
        <v/>
      </c>
      <c r="C842" s="132"/>
      <c r="D842" s="127"/>
      <c r="E842" s="127"/>
      <c r="F842" s="127"/>
      <c r="G842" s="127"/>
      <c r="H842" s="130"/>
      <c r="I842" s="130"/>
      <c r="J842" s="130">
        <f t="shared" si="1"/>
        <v>0</v>
      </c>
      <c r="K842" s="130"/>
      <c r="L842" s="130"/>
      <c r="M842" s="130">
        <f t="shared" si="2"/>
        <v>0</v>
      </c>
      <c r="N842" s="130"/>
      <c r="O842" s="130"/>
      <c r="P842" s="127"/>
      <c r="Q842" s="127"/>
      <c r="R842" s="127"/>
      <c r="S842" s="127"/>
      <c r="T842" s="127" t="str">
        <f>IF(A842="","",VLOOKUP(A842,'BASE OS'!$A$2:$I1000,4,FALSE))</f>
        <v/>
      </c>
      <c r="U842" s="127"/>
      <c r="V842" s="127"/>
      <c r="W842" s="127" t="str">
        <f t="shared" si="3"/>
        <v/>
      </c>
      <c r="X842" s="127" t="str">
        <f t="shared" si="4"/>
        <v/>
      </c>
      <c r="Y842" s="127" t="str">
        <f t="shared" si="5"/>
        <v/>
      </c>
    </row>
    <row r="843">
      <c r="A843" s="127"/>
      <c r="B843" s="127" t="str">
        <f>IF(A843="","",VLOOKUP(A843,'BASE OS'!$A$2:$I1000,2,FALSE))</f>
        <v/>
      </c>
      <c r="C843" s="132"/>
      <c r="D843" s="127"/>
      <c r="E843" s="127"/>
      <c r="F843" s="127"/>
      <c r="G843" s="127"/>
      <c r="H843" s="130"/>
      <c r="I843" s="130"/>
      <c r="J843" s="130">
        <f t="shared" si="1"/>
        <v>0</v>
      </c>
      <c r="K843" s="130"/>
      <c r="L843" s="130"/>
      <c r="M843" s="130">
        <f t="shared" si="2"/>
        <v>0</v>
      </c>
      <c r="N843" s="130"/>
      <c r="O843" s="130"/>
      <c r="P843" s="127"/>
      <c r="Q843" s="127"/>
      <c r="R843" s="127"/>
      <c r="S843" s="127"/>
      <c r="T843" s="127" t="str">
        <f>IF(A843="","",VLOOKUP(A843,'BASE OS'!$A$2:$I1000,4,FALSE))</f>
        <v/>
      </c>
      <c r="U843" s="127"/>
      <c r="V843" s="127"/>
      <c r="W843" s="127" t="str">
        <f t="shared" si="3"/>
        <v/>
      </c>
      <c r="X843" s="127" t="str">
        <f t="shared" si="4"/>
        <v/>
      </c>
      <c r="Y843" s="127" t="str">
        <f t="shared" si="5"/>
        <v/>
      </c>
    </row>
    <row r="844">
      <c r="A844" s="127"/>
      <c r="B844" s="127" t="str">
        <f>IF(A844="","",VLOOKUP(A844,'BASE OS'!$A$2:$I1000,2,FALSE))</f>
        <v/>
      </c>
      <c r="C844" s="132"/>
      <c r="D844" s="127"/>
      <c r="E844" s="127"/>
      <c r="F844" s="127"/>
      <c r="G844" s="127"/>
      <c r="H844" s="130"/>
      <c r="I844" s="130"/>
      <c r="J844" s="130">
        <f t="shared" si="1"/>
        <v>0</v>
      </c>
      <c r="K844" s="130"/>
      <c r="L844" s="130"/>
      <c r="M844" s="130">
        <f t="shared" si="2"/>
        <v>0</v>
      </c>
      <c r="N844" s="130"/>
      <c r="O844" s="130"/>
      <c r="P844" s="127"/>
      <c r="Q844" s="127"/>
      <c r="R844" s="127"/>
      <c r="S844" s="127"/>
      <c r="T844" s="127" t="str">
        <f>IF(A844="","",VLOOKUP(A844,'BASE OS'!$A$2:$I1000,4,FALSE))</f>
        <v/>
      </c>
      <c r="U844" s="127"/>
      <c r="V844" s="127"/>
      <c r="W844" s="127" t="str">
        <f t="shared" si="3"/>
        <v/>
      </c>
      <c r="X844" s="127" t="str">
        <f t="shared" si="4"/>
        <v/>
      </c>
      <c r="Y844" s="127" t="str">
        <f t="shared" si="5"/>
        <v/>
      </c>
    </row>
    <row r="845">
      <c r="A845" s="127"/>
      <c r="B845" s="127" t="str">
        <f>IF(A845="","",VLOOKUP(A845,'BASE OS'!$A$2:$I1000,2,FALSE))</f>
        <v/>
      </c>
      <c r="C845" s="132"/>
      <c r="D845" s="127"/>
      <c r="E845" s="127"/>
      <c r="F845" s="127"/>
      <c r="G845" s="127"/>
      <c r="H845" s="130"/>
      <c r="I845" s="130"/>
      <c r="J845" s="130">
        <f t="shared" si="1"/>
        <v>0</v>
      </c>
      <c r="K845" s="130"/>
      <c r="L845" s="130"/>
      <c r="M845" s="130">
        <f t="shared" si="2"/>
        <v>0</v>
      </c>
      <c r="N845" s="130"/>
      <c r="O845" s="130"/>
      <c r="P845" s="127"/>
      <c r="Q845" s="127"/>
      <c r="R845" s="127"/>
      <c r="S845" s="127"/>
      <c r="T845" s="127" t="str">
        <f>IF(A845="","",VLOOKUP(A845,'BASE OS'!$A$2:$I1000,4,FALSE))</f>
        <v/>
      </c>
      <c r="U845" s="127"/>
      <c r="V845" s="127"/>
      <c r="W845" s="127" t="str">
        <f t="shared" si="3"/>
        <v/>
      </c>
      <c r="X845" s="127" t="str">
        <f t="shared" si="4"/>
        <v/>
      </c>
      <c r="Y845" s="127" t="str">
        <f t="shared" si="5"/>
        <v/>
      </c>
    </row>
    <row r="846">
      <c r="A846" s="127"/>
      <c r="B846" s="127" t="str">
        <f>IF(A846="","",VLOOKUP(A846,'BASE OS'!$A$2:$I1000,2,FALSE))</f>
        <v/>
      </c>
      <c r="C846" s="132"/>
      <c r="D846" s="127"/>
      <c r="E846" s="127"/>
      <c r="F846" s="127"/>
      <c r="G846" s="127"/>
      <c r="H846" s="130"/>
      <c r="I846" s="130"/>
      <c r="J846" s="130">
        <f t="shared" si="1"/>
        <v>0</v>
      </c>
      <c r="K846" s="130"/>
      <c r="L846" s="130"/>
      <c r="M846" s="130">
        <f t="shared" si="2"/>
        <v>0</v>
      </c>
      <c r="N846" s="130"/>
      <c r="O846" s="130"/>
      <c r="P846" s="127"/>
      <c r="Q846" s="127"/>
      <c r="R846" s="127"/>
      <c r="S846" s="127"/>
      <c r="T846" s="127" t="str">
        <f>IF(A846="","",VLOOKUP(A846,'BASE OS'!$A$2:$I1000,4,FALSE))</f>
        <v/>
      </c>
      <c r="U846" s="127"/>
      <c r="V846" s="127"/>
      <c r="W846" s="127" t="str">
        <f t="shared" si="3"/>
        <v/>
      </c>
      <c r="X846" s="127" t="str">
        <f t="shared" si="4"/>
        <v/>
      </c>
      <c r="Y846" s="127" t="str">
        <f t="shared" si="5"/>
        <v/>
      </c>
    </row>
    <row r="847">
      <c r="A847" s="127"/>
      <c r="B847" s="127" t="str">
        <f>IF(A847="","",VLOOKUP(A847,'BASE OS'!$A$2:$I1000,2,FALSE))</f>
        <v/>
      </c>
      <c r="C847" s="132"/>
      <c r="D847" s="127"/>
      <c r="E847" s="127"/>
      <c r="F847" s="127"/>
      <c r="G847" s="127"/>
      <c r="H847" s="130"/>
      <c r="I847" s="130"/>
      <c r="J847" s="130">
        <f t="shared" si="1"/>
        <v>0</v>
      </c>
      <c r="K847" s="130"/>
      <c r="L847" s="130"/>
      <c r="M847" s="130">
        <f t="shared" si="2"/>
        <v>0</v>
      </c>
      <c r="N847" s="130"/>
      <c r="O847" s="130"/>
      <c r="P847" s="127"/>
      <c r="Q847" s="127"/>
      <c r="R847" s="127"/>
      <c r="S847" s="127"/>
      <c r="T847" s="127" t="str">
        <f>IF(A847="","",VLOOKUP(A847,'BASE OS'!$A$2:$I1000,4,FALSE))</f>
        <v/>
      </c>
      <c r="U847" s="127"/>
      <c r="V847" s="127"/>
      <c r="W847" s="127" t="str">
        <f t="shared" si="3"/>
        <v/>
      </c>
      <c r="X847" s="127" t="str">
        <f t="shared" si="4"/>
        <v/>
      </c>
      <c r="Y847" s="127" t="str">
        <f t="shared" si="5"/>
        <v/>
      </c>
    </row>
    <row r="848">
      <c r="A848" s="127"/>
      <c r="B848" s="127" t="str">
        <f>IF(A848="","",VLOOKUP(A848,'BASE OS'!$A$2:$I1000,2,FALSE))</f>
        <v/>
      </c>
      <c r="C848" s="132"/>
      <c r="D848" s="127"/>
      <c r="E848" s="127"/>
      <c r="F848" s="127"/>
      <c r="G848" s="127"/>
      <c r="H848" s="130"/>
      <c r="I848" s="130"/>
      <c r="J848" s="130">
        <f t="shared" si="1"/>
        <v>0</v>
      </c>
      <c r="K848" s="130"/>
      <c r="L848" s="130"/>
      <c r="M848" s="130">
        <f t="shared" si="2"/>
        <v>0</v>
      </c>
      <c r="N848" s="130"/>
      <c r="O848" s="130"/>
      <c r="P848" s="127"/>
      <c r="Q848" s="127"/>
      <c r="R848" s="127"/>
      <c r="S848" s="127"/>
      <c r="T848" s="127" t="str">
        <f>IF(A848="","",VLOOKUP(A848,'BASE OS'!$A$2:$I1000,4,FALSE))</f>
        <v/>
      </c>
      <c r="U848" s="127"/>
      <c r="V848" s="127"/>
      <c r="W848" s="127" t="str">
        <f t="shared" si="3"/>
        <v/>
      </c>
      <c r="X848" s="127" t="str">
        <f t="shared" si="4"/>
        <v/>
      </c>
      <c r="Y848" s="127" t="str">
        <f t="shared" si="5"/>
        <v/>
      </c>
    </row>
    <row r="849">
      <c r="A849" s="127"/>
      <c r="B849" s="127" t="str">
        <f>IF(A849="","",VLOOKUP(A849,'BASE OS'!$A$2:$I1000,2,FALSE))</f>
        <v/>
      </c>
      <c r="C849" s="132"/>
      <c r="D849" s="127"/>
      <c r="E849" s="127"/>
      <c r="F849" s="127"/>
      <c r="G849" s="127"/>
      <c r="H849" s="130"/>
      <c r="I849" s="130"/>
      <c r="J849" s="130">
        <f t="shared" si="1"/>
        <v>0</v>
      </c>
      <c r="K849" s="130"/>
      <c r="L849" s="130"/>
      <c r="M849" s="130">
        <f t="shared" si="2"/>
        <v>0</v>
      </c>
      <c r="N849" s="130"/>
      <c r="O849" s="130"/>
      <c r="P849" s="127"/>
      <c r="Q849" s="127"/>
      <c r="R849" s="127"/>
      <c r="S849" s="127"/>
      <c r="T849" s="127" t="str">
        <f>IF(A849="","",VLOOKUP(A849,'BASE OS'!$A$2:$I1000,4,FALSE))</f>
        <v/>
      </c>
      <c r="U849" s="127"/>
      <c r="V849" s="127"/>
      <c r="W849" s="127" t="str">
        <f t="shared" si="3"/>
        <v/>
      </c>
      <c r="X849" s="127" t="str">
        <f t="shared" si="4"/>
        <v/>
      </c>
      <c r="Y849" s="127" t="str">
        <f t="shared" si="5"/>
        <v/>
      </c>
    </row>
    <row r="850">
      <c r="A850" s="127"/>
      <c r="B850" s="127" t="str">
        <f>IF(A850="","",VLOOKUP(A850,'BASE OS'!$A$2:$I1000,2,FALSE))</f>
        <v/>
      </c>
      <c r="C850" s="132"/>
      <c r="D850" s="127"/>
      <c r="E850" s="127"/>
      <c r="F850" s="127"/>
      <c r="G850" s="127"/>
      <c r="H850" s="130"/>
      <c r="I850" s="130"/>
      <c r="J850" s="130">
        <f t="shared" si="1"/>
        <v>0</v>
      </c>
      <c r="K850" s="130"/>
      <c r="L850" s="130"/>
      <c r="M850" s="130">
        <f t="shared" si="2"/>
        <v>0</v>
      </c>
      <c r="N850" s="130"/>
      <c r="O850" s="130"/>
      <c r="P850" s="127"/>
      <c r="Q850" s="127"/>
      <c r="R850" s="127"/>
      <c r="S850" s="127"/>
      <c r="T850" s="127" t="str">
        <f>IF(A850="","",VLOOKUP(A850,'BASE OS'!$A$2:$I1000,4,FALSE))</f>
        <v/>
      </c>
      <c r="U850" s="127"/>
      <c r="V850" s="127"/>
      <c r="W850" s="127" t="str">
        <f t="shared" si="3"/>
        <v/>
      </c>
      <c r="X850" s="127" t="str">
        <f t="shared" si="4"/>
        <v/>
      </c>
      <c r="Y850" s="127" t="str">
        <f t="shared" si="5"/>
        <v/>
      </c>
    </row>
    <row r="851">
      <c r="A851" s="127"/>
      <c r="B851" s="127" t="str">
        <f>IF(A851="","",VLOOKUP(A851,'BASE OS'!$A$2:$I1000,2,FALSE))</f>
        <v/>
      </c>
      <c r="C851" s="132"/>
      <c r="D851" s="127"/>
      <c r="E851" s="127"/>
      <c r="F851" s="127"/>
      <c r="G851" s="127"/>
      <c r="H851" s="130"/>
      <c r="I851" s="130"/>
      <c r="J851" s="130">
        <f t="shared" si="1"/>
        <v>0</v>
      </c>
      <c r="K851" s="130"/>
      <c r="L851" s="130"/>
      <c r="M851" s="130">
        <f t="shared" si="2"/>
        <v>0</v>
      </c>
      <c r="N851" s="130"/>
      <c r="O851" s="130"/>
      <c r="P851" s="127"/>
      <c r="Q851" s="127"/>
      <c r="R851" s="127"/>
      <c r="S851" s="127"/>
      <c r="T851" s="127" t="str">
        <f>IF(A851="","",VLOOKUP(A851,'BASE OS'!$A$2:$I1000,4,FALSE))</f>
        <v/>
      </c>
      <c r="U851" s="127"/>
      <c r="V851" s="127"/>
      <c r="W851" s="127" t="str">
        <f t="shared" si="3"/>
        <v/>
      </c>
      <c r="X851" s="127" t="str">
        <f t="shared" si="4"/>
        <v/>
      </c>
      <c r="Y851" s="127" t="str">
        <f t="shared" si="5"/>
        <v/>
      </c>
    </row>
    <row r="852">
      <c r="A852" s="127"/>
      <c r="B852" s="127" t="str">
        <f>IF(A852="","",VLOOKUP(A852,'BASE OS'!$A$2:$I1000,2,FALSE))</f>
        <v/>
      </c>
      <c r="C852" s="132"/>
      <c r="D852" s="127"/>
      <c r="E852" s="127"/>
      <c r="F852" s="127"/>
      <c r="G852" s="127"/>
      <c r="H852" s="130"/>
      <c r="I852" s="130"/>
      <c r="J852" s="130">
        <f t="shared" si="1"/>
        <v>0</v>
      </c>
      <c r="K852" s="130"/>
      <c r="L852" s="130"/>
      <c r="M852" s="130">
        <f t="shared" si="2"/>
        <v>0</v>
      </c>
      <c r="N852" s="130"/>
      <c r="O852" s="130"/>
      <c r="P852" s="127"/>
      <c r="Q852" s="127"/>
      <c r="R852" s="127"/>
      <c r="S852" s="127"/>
      <c r="T852" s="127" t="str">
        <f>IF(A852="","",VLOOKUP(A852,'BASE OS'!$A$2:$I1000,4,FALSE))</f>
        <v/>
      </c>
      <c r="U852" s="127"/>
      <c r="V852" s="127"/>
      <c r="W852" s="127" t="str">
        <f t="shared" si="3"/>
        <v/>
      </c>
      <c r="X852" s="127" t="str">
        <f t="shared" si="4"/>
        <v/>
      </c>
      <c r="Y852" s="127" t="str">
        <f t="shared" si="5"/>
        <v/>
      </c>
    </row>
    <row r="853">
      <c r="A853" s="127"/>
      <c r="B853" s="127" t="str">
        <f>IF(A853="","",VLOOKUP(A853,'BASE OS'!$A$2:$I1000,2,FALSE))</f>
        <v/>
      </c>
      <c r="C853" s="132"/>
      <c r="D853" s="127"/>
      <c r="E853" s="127"/>
      <c r="F853" s="127"/>
      <c r="G853" s="127"/>
      <c r="H853" s="130"/>
      <c r="I853" s="130"/>
      <c r="J853" s="130">
        <f t="shared" si="1"/>
        <v>0</v>
      </c>
      <c r="K853" s="130"/>
      <c r="L853" s="130"/>
      <c r="M853" s="130">
        <f t="shared" si="2"/>
        <v>0</v>
      </c>
      <c r="N853" s="130"/>
      <c r="O853" s="130"/>
      <c r="P853" s="127"/>
      <c r="Q853" s="127"/>
      <c r="R853" s="127"/>
      <c r="S853" s="127"/>
      <c r="T853" s="127" t="str">
        <f>IF(A853="","",VLOOKUP(A853,'BASE OS'!$A$2:$I1000,4,FALSE))</f>
        <v/>
      </c>
      <c r="U853" s="127"/>
      <c r="V853" s="127"/>
      <c r="W853" s="127" t="str">
        <f t="shared" si="3"/>
        <v/>
      </c>
      <c r="X853" s="127" t="str">
        <f t="shared" si="4"/>
        <v/>
      </c>
      <c r="Y853" s="127" t="str">
        <f t="shared" si="5"/>
        <v/>
      </c>
    </row>
    <row r="854">
      <c r="A854" s="127"/>
      <c r="B854" s="127" t="str">
        <f>IF(A854="","",VLOOKUP(A854,'BASE OS'!$A$2:$I1000,2,FALSE))</f>
        <v/>
      </c>
      <c r="C854" s="132"/>
      <c r="D854" s="127"/>
      <c r="E854" s="127"/>
      <c r="F854" s="127"/>
      <c r="G854" s="127"/>
      <c r="H854" s="130"/>
      <c r="I854" s="130"/>
      <c r="J854" s="130">
        <f t="shared" si="1"/>
        <v>0</v>
      </c>
      <c r="K854" s="130"/>
      <c r="L854" s="130"/>
      <c r="M854" s="130">
        <f t="shared" si="2"/>
        <v>0</v>
      </c>
      <c r="N854" s="130"/>
      <c r="O854" s="130"/>
      <c r="P854" s="127"/>
      <c r="Q854" s="127"/>
      <c r="R854" s="127"/>
      <c r="S854" s="127"/>
      <c r="T854" s="127" t="str">
        <f>IF(A854="","",VLOOKUP(A854,'BASE OS'!$A$2:$I1000,4,FALSE))</f>
        <v/>
      </c>
      <c r="U854" s="127"/>
      <c r="V854" s="127"/>
      <c r="W854" s="127" t="str">
        <f t="shared" si="3"/>
        <v/>
      </c>
      <c r="X854" s="127" t="str">
        <f t="shared" si="4"/>
        <v/>
      </c>
      <c r="Y854" s="127" t="str">
        <f t="shared" si="5"/>
        <v/>
      </c>
    </row>
    <row r="855">
      <c r="A855" s="127"/>
      <c r="B855" s="127" t="str">
        <f>IF(A855="","",VLOOKUP(A855,'BASE OS'!$A$2:$I1000,2,FALSE))</f>
        <v/>
      </c>
      <c r="C855" s="132"/>
      <c r="D855" s="127"/>
      <c r="E855" s="127"/>
      <c r="F855" s="127"/>
      <c r="G855" s="127"/>
      <c r="H855" s="130"/>
      <c r="I855" s="130"/>
      <c r="J855" s="130">
        <f t="shared" si="1"/>
        <v>0</v>
      </c>
      <c r="K855" s="130"/>
      <c r="L855" s="130"/>
      <c r="M855" s="130">
        <f t="shared" si="2"/>
        <v>0</v>
      </c>
      <c r="N855" s="130"/>
      <c r="O855" s="130"/>
      <c r="P855" s="127"/>
      <c r="Q855" s="127"/>
      <c r="R855" s="127"/>
      <c r="S855" s="127"/>
      <c r="T855" s="127" t="str">
        <f>IF(A855="","",VLOOKUP(A855,'BASE OS'!$A$2:$I1000,4,FALSE))</f>
        <v/>
      </c>
      <c r="U855" s="127"/>
      <c r="V855" s="127"/>
      <c r="W855" s="127" t="str">
        <f t="shared" si="3"/>
        <v/>
      </c>
      <c r="X855" s="127" t="str">
        <f t="shared" si="4"/>
        <v/>
      </c>
      <c r="Y855" s="127" t="str">
        <f t="shared" si="5"/>
        <v/>
      </c>
    </row>
    <row r="856">
      <c r="A856" s="127"/>
      <c r="B856" s="127" t="str">
        <f>IF(A856="","",VLOOKUP(A856,'BASE OS'!$A$2:$I1000,2,FALSE))</f>
        <v/>
      </c>
      <c r="C856" s="132"/>
      <c r="D856" s="127"/>
      <c r="E856" s="127"/>
      <c r="F856" s="127"/>
      <c r="G856" s="127"/>
      <c r="H856" s="130"/>
      <c r="I856" s="130"/>
      <c r="J856" s="130">
        <f t="shared" si="1"/>
        <v>0</v>
      </c>
      <c r="K856" s="130"/>
      <c r="L856" s="130"/>
      <c r="M856" s="130">
        <f t="shared" si="2"/>
        <v>0</v>
      </c>
      <c r="N856" s="130"/>
      <c r="O856" s="130"/>
      <c r="P856" s="127"/>
      <c r="Q856" s="127"/>
      <c r="R856" s="127"/>
      <c r="S856" s="127"/>
      <c r="T856" s="127" t="str">
        <f>IF(A856="","",VLOOKUP(A856,'BASE OS'!$A$2:$I1000,4,FALSE))</f>
        <v/>
      </c>
      <c r="U856" s="127"/>
      <c r="V856" s="127"/>
      <c r="W856" s="127" t="str">
        <f t="shared" si="3"/>
        <v/>
      </c>
      <c r="X856" s="127" t="str">
        <f t="shared" si="4"/>
        <v/>
      </c>
      <c r="Y856" s="127" t="str">
        <f t="shared" si="5"/>
        <v/>
      </c>
    </row>
    <row r="857">
      <c r="A857" s="127"/>
      <c r="B857" s="127" t="str">
        <f>IF(A857="","",VLOOKUP(A857,'BASE OS'!$A$2:$I1000,2,FALSE))</f>
        <v/>
      </c>
      <c r="C857" s="132"/>
      <c r="D857" s="127"/>
      <c r="E857" s="127"/>
      <c r="F857" s="127"/>
      <c r="G857" s="127"/>
      <c r="H857" s="130"/>
      <c r="I857" s="130"/>
      <c r="J857" s="130">
        <f t="shared" si="1"/>
        <v>0</v>
      </c>
      <c r="K857" s="130"/>
      <c r="L857" s="130"/>
      <c r="M857" s="130">
        <f t="shared" si="2"/>
        <v>0</v>
      </c>
      <c r="N857" s="130"/>
      <c r="O857" s="130"/>
      <c r="P857" s="127"/>
      <c r="Q857" s="127"/>
      <c r="R857" s="127"/>
      <c r="S857" s="127"/>
      <c r="T857" s="127" t="str">
        <f>IF(A857="","",VLOOKUP(A857,'BASE OS'!$A$2:$I1000,4,FALSE))</f>
        <v/>
      </c>
      <c r="U857" s="127"/>
      <c r="V857" s="127"/>
      <c r="W857" s="127" t="str">
        <f t="shared" si="3"/>
        <v/>
      </c>
      <c r="X857" s="127" t="str">
        <f t="shared" si="4"/>
        <v/>
      </c>
      <c r="Y857" s="127" t="str">
        <f t="shared" si="5"/>
        <v/>
      </c>
    </row>
    <row r="858">
      <c r="A858" s="127"/>
      <c r="B858" s="127" t="str">
        <f>IF(A858="","",VLOOKUP(A858,'BASE OS'!$A$2:$I1000,2,FALSE))</f>
        <v/>
      </c>
      <c r="C858" s="132"/>
      <c r="D858" s="127"/>
      <c r="E858" s="127"/>
      <c r="F858" s="127"/>
      <c r="G858" s="127"/>
      <c r="H858" s="130"/>
      <c r="I858" s="130"/>
      <c r="J858" s="130">
        <f t="shared" si="1"/>
        <v>0</v>
      </c>
      <c r="K858" s="130"/>
      <c r="L858" s="130"/>
      <c r="M858" s="130">
        <f t="shared" si="2"/>
        <v>0</v>
      </c>
      <c r="N858" s="130"/>
      <c r="O858" s="130"/>
      <c r="P858" s="127"/>
      <c r="Q858" s="127"/>
      <c r="R858" s="127"/>
      <c r="S858" s="127"/>
      <c r="T858" s="127" t="str">
        <f>IF(A858="","",VLOOKUP(A858,'BASE OS'!$A$2:$I1000,4,FALSE))</f>
        <v/>
      </c>
      <c r="U858" s="127"/>
      <c r="V858" s="127"/>
      <c r="W858" s="127" t="str">
        <f t="shared" si="3"/>
        <v/>
      </c>
      <c r="X858" s="127" t="str">
        <f t="shared" si="4"/>
        <v/>
      </c>
      <c r="Y858" s="127" t="str">
        <f t="shared" si="5"/>
        <v/>
      </c>
    </row>
    <row r="859">
      <c r="A859" s="127"/>
      <c r="B859" s="127" t="str">
        <f>IF(A859="","",VLOOKUP(A859,'BASE OS'!$A$2:$I1000,2,FALSE))</f>
        <v/>
      </c>
      <c r="C859" s="132"/>
      <c r="D859" s="127"/>
      <c r="E859" s="127"/>
      <c r="F859" s="127"/>
      <c r="G859" s="127"/>
      <c r="H859" s="130"/>
      <c r="I859" s="130"/>
      <c r="J859" s="130">
        <f t="shared" si="1"/>
        <v>0</v>
      </c>
      <c r="K859" s="130"/>
      <c r="L859" s="130"/>
      <c r="M859" s="130">
        <f t="shared" si="2"/>
        <v>0</v>
      </c>
      <c r="N859" s="130"/>
      <c r="O859" s="130"/>
      <c r="P859" s="127"/>
      <c r="Q859" s="127"/>
      <c r="R859" s="127"/>
      <c r="S859" s="127"/>
      <c r="T859" s="127" t="str">
        <f>IF(A859="","",VLOOKUP(A859,'BASE OS'!$A$2:$I1000,4,FALSE))</f>
        <v/>
      </c>
      <c r="U859" s="127"/>
      <c r="V859" s="127"/>
      <c r="W859" s="127" t="str">
        <f t="shared" si="3"/>
        <v/>
      </c>
      <c r="X859" s="127" t="str">
        <f t="shared" si="4"/>
        <v/>
      </c>
      <c r="Y859" s="127" t="str">
        <f t="shared" si="5"/>
        <v/>
      </c>
    </row>
    <row r="860">
      <c r="A860" s="127"/>
      <c r="B860" s="127" t="str">
        <f>IF(A860="","",VLOOKUP(A860,'BASE OS'!$A$2:$I1000,2,FALSE))</f>
        <v/>
      </c>
      <c r="C860" s="132"/>
      <c r="D860" s="127"/>
      <c r="E860" s="127"/>
      <c r="F860" s="127"/>
      <c r="G860" s="127"/>
      <c r="H860" s="130"/>
      <c r="I860" s="130"/>
      <c r="J860" s="130">
        <f t="shared" si="1"/>
        <v>0</v>
      </c>
      <c r="K860" s="130"/>
      <c r="L860" s="130"/>
      <c r="M860" s="130">
        <f t="shared" si="2"/>
        <v>0</v>
      </c>
      <c r="N860" s="130"/>
      <c r="O860" s="130"/>
      <c r="P860" s="127"/>
      <c r="Q860" s="127"/>
      <c r="R860" s="127"/>
      <c r="S860" s="127"/>
      <c r="T860" s="127" t="str">
        <f>IF(A860="","",VLOOKUP(A860,'BASE OS'!$A$2:$I1000,4,FALSE))</f>
        <v/>
      </c>
      <c r="U860" s="127"/>
      <c r="V860" s="127"/>
      <c r="W860" s="127" t="str">
        <f t="shared" si="3"/>
        <v/>
      </c>
      <c r="X860" s="127" t="str">
        <f t="shared" si="4"/>
        <v/>
      </c>
      <c r="Y860" s="127" t="str">
        <f t="shared" si="5"/>
        <v/>
      </c>
    </row>
    <row r="861">
      <c r="A861" s="127"/>
      <c r="B861" s="127" t="str">
        <f>IF(A861="","",VLOOKUP(A861,'BASE OS'!$A$2:$I1000,2,FALSE))</f>
        <v/>
      </c>
      <c r="C861" s="132"/>
      <c r="D861" s="127"/>
      <c r="E861" s="127"/>
      <c r="F861" s="127"/>
      <c r="G861" s="127"/>
      <c r="H861" s="130"/>
      <c r="I861" s="130"/>
      <c r="J861" s="130">
        <f t="shared" si="1"/>
        <v>0</v>
      </c>
      <c r="K861" s="130"/>
      <c r="L861" s="130"/>
      <c r="M861" s="130">
        <f t="shared" si="2"/>
        <v>0</v>
      </c>
      <c r="N861" s="130"/>
      <c r="O861" s="130"/>
      <c r="P861" s="127"/>
      <c r="Q861" s="127"/>
      <c r="R861" s="127"/>
      <c r="S861" s="127"/>
      <c r="T861" s="127" t="str">
        <f>IF(A861="","",VLOOKUP(A861,'BASE OS'!$A$2:$I1000,4,FALSE))</f>
        <v/>
      </c>
      <c r="U861" s="127"/>
      <c r="V861" s="127"/>
      <c r="W861" s="127" t="str">
        <f t="shared" si="3"/>
        <v/>
      </c>
      <c r="X861" s="127" t="str">
        <f t="shared" si="4"/>
        <v/>
      </c>
      <c r="Y861" s="127" t="str">
        <f t="shared" si="5"/>
        <v/>
      </c>
    </row>
    <row r="862">
      <c r="A862" s="127"/>
      <c r="B862" s="127" t="str">
        <f>IF(A862="","",VLOOKUP(A862,'BASE OS'!$A$2:$I1000,2,FALSE))</f>
        <v/>
      </c>
      <c r="C862" s="132"/>
      <c r="D862" s="127"/>
      <c r="E862" s="127"/>
      <c r="F862" s="127"/>
      <c r="G862" s="127"/>
      <c r="H862" s="130"/>
      <c r="I862" s="130"/>
      <c r="J862" s="130">
        <f t="shared" si="1"/>
        <v>0</v>
      </c>
      <c r="K862" s="130"/>
      <c r="L862" s="130"/>
      <c r="M862" s="130">
        <f t="shared" si="2"/>
        <v>0</v>
      </c>
      <c r="N862" s="130"/>
      <c r="O862" s="130"/>
      <c r="P862" s="127"/>
      <c r="Q862" s="127"/>
      <c r="R862" s="127"/>
      <c r="S862" s="127"/>
      <c r="T862" s="127" t="str">
        <f>IF(A862="","",VLOOKUP(A862,'BASE OS'!$A$2:$I1000,4,FALSE))</f>
        <v/>
      </c>
      <c r="U862" s="127"/>
      <c r="V862" s="127"/>
      <c r="W862" s="127" t="str">
        <f t="shared" si="3"/>
        <v/>
      </c>
      <c r="X862" s="127" t="str">
        <f t="shared" si="4"/>
        <v/>
      </c>
      <c r="Y862" s="127" t="str">
        <f t="shared" si="5"/>
        <v/>
      </c>
    </row>
    <row r="863">
      <c r="A863" s="127"/>
      <c r="B863" s="127" t="str">
        <f>IF(A863="","",VLOOKUP(A863,'BASE OS'!$A$2:$I1000,2,FALSE))</f>
        <v/>
      </c>
      <c r="C863" s="132"/>
      <c r="D863" s="127"/>
      <c r="E863" s="127"/>
      <c r="F863" s="127"/>
      <c r="G863" s="127"/>
      <c r="H863" s="130"/>
      <c r="I863" s="130"/>
      <c r="J863" s="130">
        <f t="shared" si="1"/>
        <v>0</v>
      </c>
      <c r="K863" s="130"/>
      <c r="L863" s="130"/>
      <c r="M863" s="130">
        <f t="shared" si="2"/>
        <v>0</v>
      </c>
      <c r="N863" s="130"/>
      <c r="O863" s="130"/>
      <c r="P863" s="127"/>
      <c r="Q863" s="127"/>
      <c r="R863" s="127"/>
      <c r="S863" s="127"/>
      <c r="T863" s="127" t="str">
        <f>IF(A863="","",VLOOKUP(A863,'BASE OS'!$A$2:$I1000,4,FALSE))</f>
        <v/>
      </c>
      <c r="U863" s="127"/>
      <c r="V863" s="127"/>
      <c r="W863" s="127" t="str">
        <f t="shared" si="3"/>
        <v/>
      </c>
      <c r="X863" s="127" t="str">
        <f t="shared" si="4"/>
        <v/>
      </c>
      <c r="Y863" s="127" t="str">
        <f t="shared" si="5"/>
        <v/>
      </c>
    </row>
    <row r="864">
      <c r="A864" s="127"/>
      <c r="B864" s="127" t="str">
        <f>IF(A864="","",VLOOKUP(A864,'BASE OS'!$A$2:$I1000,2,FALSE))</f>
        <v/>
      </c>
      <c r="C864" s="132"/>
      <c r="D864" s="127"/>
      <c r="E864" s="127"/>
      <c r="F864" s="127"/>
      <c r="G864" s="127"/>
      <c r="H864" s="130"/>
      <c r="I864" s="130"/>
      <c r="J864" s="130">
        <f t="shared" si="1"/>
        <v>0</v>
      </c>
      <c r="K864" s="130"/>
      <c r="L864" s="130"/>
      <c r="M864" s="130">
        <f t="shared" si="2"/>
        <v>0</v>
      </c>
      <c r="N864" s="130"/>
      <c r="O864" s="130"/>
      <c r="P864" s="127"/>
      <c r="Q864" s="127"/>
      <c r="R864" s="127"/>
      <c r="S864" s="127"/>
      <c r="T864" s="127" t="str">
        <f>IF(A864="","",VLOOKUP(A864,'BASE OS'!$A$2:$I1000,4,FALSE))</f>
        <v/>
      </c>
      <c r="U864" s="127"/>
      <c r="V864" s="127"/>
      <c r="W864" s="127" t="str">
        <f t="shared" si="3"/>
        <v/>
      </c>
      <c r="X864" s="127" t="str">
        <f t="shared" si="4"/>
        <v/>
      </c>
      <c r="Y864" s="127" t="str">
        <f t="shared" si="5"/>
        <v/>
      </c>
    </row>
    <row r="865">
      <c r="A865" s="127"/>
      <c r="B865" s="127" t="str">
        <f>IF(A865="","",VLOOKUP(A865,'BASE OS'!$A$2:$I1000,2,FALSE))</f>
        <v/>
      </c>
      <c r="C865" s="132"/>
      <c r="D865" s="127"/>
      <c r="E865" s="127"/>
      <c r="F865" s="127"/>
      <c r="G865" s="127"/>
      <c r="H865" s="130"/>
      <c r="I865" s="130"/>
      <c r="J865" s="130">
        <f t="shared" si="1"/>
        <v>0</v>
      </c>
      <c r="K865" s="130"/>
      <c r="L865" s="130"/>
      <c r="M865" s="130">
        <f t="shared" si="2"/>
        <v>0</v>
      </c>
      <c r="N865" s="130"/>
      <c r="O865" s="130"/>
      <c r="P865" s="127"/>
      <c r="Q865" s="127"/>
      <c r="R865" s="127"/>
      <c r="S865" s="127"/>
      <c r="T865" s="127" t="str">
        <f>IF(A865="","",VLOOKUP(A865,'BASE OS'!$A$2:$I1000,4,FALSE))</f>
        <v/>
      </c>
      <c r="U865" s="127"/>
      <c r="V865" s="127"/>
      <c r="W865" s="127" t="str">
        <f t="shared" si="3"/>
        <v/>
      </c>
      <c r="X865" s="127" t="str">
        <f t="shared" si="4"/>
        <v/>
      </c>
      <c r="Y865" s="127" t="str">
        <f t="shared" si="5"/>
        <v/>
      </c>
    </row>
    <row r="866">
      <c r="A866" s="127"/>
      <c r="B866" s="127" t="str">
        <f>IF(A866="","",VLOOKUP(A866,'BASE OS'!$A$2:$I1000,2,FALSE))</f>
        <v/>
      </c>
      <c r="C866" s="132"/>
      <c r="D866" s="127"/>
      <c r="E866" s="127"/>
      <c r="F866" s="127"/>
      <c r="G866" s="127"/>
      <c r="H866" s="130"/>
      <c r="I866" s="130"/>
      <c r="J866" s="130">
        <f t="shared" si="1"/>
        <v>0</v>
      </c>
      <c r="K866" s="130"/>
      <c r="L866" s="130"/>
      <c r="M866" s="130">
        <f t="shared" si="2"/>
        <v>0</v>
      </c>
      <c r="N866" s="130"/>
      <c r="O866" s="130"/>
      <c r="P866" s="127"/>
      <c r="Q866" s="127"/>
      <c r="R866" s="127"/>
      <c r="S866" s="127"/>
      <c r="T866" s="127" t="str">
        <f>IF(A866="","",VLOOKUP(A866,'BASE OS'!$A$2:$I1000,4,FALSE))</f>
        <v/>
      </c>
      <c r="U866" s="127"/>
      <c r="V866" s="127"/>
      <c r="W866" s="127" t="str">
        <f t="shared" si="3"/>
        <v/>
      </c>
      <c r="X866" s="127" t="str">
        <f t="shared" si="4"/>
        <v/>
      </c>
      <c r="Y866" s="127" t="str">
        <f t="shared" si="5"/>
        <v/>
      </c>
    </row>
    <row r="867">
      <c r="A867" s="127"/>
      <c r="B867" s="127" t="str">
        <f>IF(A867="","",VLOOKUP(A867,'BASE OS'!$A$2:$I1000,2,FALSE))</f>
        <v/>
      </c>
      <c r="C867" s="132"/>
      <c r="D867" s="127"/>
      <c r="E867" s="127"/>
      <c r="F867" s="127"/>
      <c r="G867" s="127"/>
      <c r="H867" s="130"/>
      <c r="I867" s="130"/>
      <c r="J867" s="130">
        <f t="shared" si="1"/>
        <v>0</v>
      </c>
      <c r="K867" s="130"/>
      <c r="L867" s="130"/>
      <c r="M867" s="130">
        <f t="shared" si="2"/>
        <v>0</v>
      </c>
      <c r="N867" s="130"/>
      <c r="O867" s="130"/>
      <c r="P867" s="127"/>
      <c r="Q867" s="127"/>
      <c r="R867" s="127"/>
      <c r="S867" s="127"/>
      <c r="T867" s="127" t="str">
        <f>IF(A867="","",VLOOKUP(A867,'BASE OS'!$A$2:$I1000,4,FALSE))</f>
        <v/>
      </c>
      <c r="U867" s="127"/>
      <c r="V867" s="127"/>
      <c r="W867" s="127" t="str">
        <f t="shared" si="3"/>
        <v/>
      </c>
      <c r="X867" s="127" t="str">
        <f t="shared" si="4"/>
        <v/>
      </c>
      <c r="Y867" s="127" t="str">
        <f t="shared" si="5"/>
        <v/>
      </c>
    </row>
    <row r="868">
      <c r="A868" s="127"/>
      <c r="B868" s="127" t="str">
        <f>IF(A868="","",VLOOKUP(A868,'BASE OS'!$A$2:$I1000,2,FALSE))</f>
        <v/>
      </c>
      <c r="C868" s="132"/>
      <c r="D868" s="127"/>
      <c r="E868" s="127"/>
      <c r="F868" s="127"/>
      <c r="G868" s="127"/>
      <c r="H868" s="130"/>
      <c r="I868" s="130"/>
      <c r="J868" s="130">
        <f t="shared" si="1"/>
        <v>0</v>
      </c>
      <c r="K868" s="130"/>
      <c r="L868" s="130"/>
      <c r="M868" s="130">
        <f t="shared" si="2"/>
        <v>0</v>
      </c>
      <c r="N868" s="130"/>
      <c r="O868" s="130"/>
      <c r="P868" s="127"/>
      <c r="Q868" s="127"/>
      <c r="R868" s="127"/>
      <c r="S868" s="127"/>
      <c r="T868" s="127" t="str">
        <f>IF(A868="","",VLOOKUP(A868,'BASE OS'!$A$2:$I1000,4,FALSE))</f>
        <v/>
      </c>
      <c r="U868" s="127"/>
      <c r="V868" s="127"/>
      <c r="W868" s="127" t="str">
        <f t="shared" si="3"/>
        <v/>
      </c>
      <c r="X868" s="127" t="str">
        <f t="shared" si="4"/>
        <v/>
      </c>
      <c r="Y868" s="127" t="str">
        <f t="shared" si="5"/>
        <v/>
      </c>
    </row>
    <row r="869">
      <c r="A869" s="127"/>
      <c r="B869" s="127" t="str">
        <f>IF(A869="","",VLOOKUP(A869,'BASE OS'!$A$2:$I1000,2,FALSE))</f>
        <v/>
      </c>
      <c r="C869" s="132"/>
      <c r="D869" s="127"/>
      <c r="E869" s="127"/>
      <c r="F869" s="127"/>
      <c r="G869" s="127"/>
      <c r="H869" s="130"/>
      <c r="I869" s="130"/>
      <c r="J869" s="130">
        <f t="shared" si="1"/>
        <v>0</v>
      </c>
      <c r="K869" s="130"/>
      <c r="L869" s="130"/>
      <c r="M869" s="130">
        <f t="shared" si="2"/>
        <v>0</v>
      </c>
      <c r="N869" s="130"/>
      <c r="O869" s="130"/>
      <c r="P869" s="127"/>
      <c r="Q869" s="127"/>
      <c r="R869" s="127"/>
      <c r="S869" s="127"/>
      <c r="T869" s="127" t="str">
        <f>IF(A869="","",VLOOKUP(A869,'BASE OS'!$A$2:$I1000,4,FALSE))</f>
        <v/>
      </c>
      <c r="U869" s="127"/>
      <c r="V869" s="127"/>
      <c r="W869" s="127" t="str">
        <f t="shared" si="3"/>
        <v/>
      </c>
      <c r="X869" s="127" t="str">
        <f t="shared" si="4"/>
        <v/>
      </c>
      <c r="Y869" s="127" t="str">
        <f t="shared" si="5"/>
        <v/>
      </c>
    </row>
    <row r="870">
      <c r="A870" s="127"/>
      <c r="B870" s="127" t="str">
        <f>IF(A870="","",VLOOKUP(A870,'BASE OS'!$A$2:$I1000,2,FALSE))</f>
        <v/>
      </c>
      <c r="C870" s="132"/>
      <c r="D870" s="127"/>
      <c r="E870" s="127"/>
      <c r="F870" s="127"/>
      <c r="G870" s="127"/>
      <c r="H870" s="130"/>
      <c r="I870" s="130"/>
      <c r="J870" s="130">
        <f t="shared" si="1"/>
        <v>0</v>
      </c>
      <c r="K870" s="130"/>
      <c r="L870" s="130"/>
      <c r="M870" s="130">
        <f t="shared" si="2"/>
        <v>0</v>
      </c>
      <c r="N870" s="130"/>
      <c r="O870" s="130"/>
      <c r="P870" s="127"/>
      <c r="Q870" s="127"/>
      <c r="R870" s="127"/>
      <c r="S870" s="127"/>
      <c r="T870" s="127" t="str">
        <f>IF(A870="","",VLOOKUP(A870,'BASE OS'!$A$2:$I1000,4,FALSE))</f>
        <v/>
      </c>
      <c r="U870" s="127"/>
      <c r="V870" s="127"/>
      <c r="W870" s="127" t="str">
        <f t="shared" si="3"/>
        <v/>
      </c>
      <c r="X870" s="127" t="str">
        <f t="shared" si="4"/>
        <v/>
      </c>
      <c r="Y870" s="127" t="str">
        <f t="shared" si="5"/>
        <v/>
      </c>
    </row>
    <row r="871">
      <c r="A871" s="127"/>
      <c r="B871" s="127" t="str">
        <f>IF(A871="","",VLOOKUP(A871,'BASE OS'!$A$2:$I1000,2,FALSE))</f>
        <v/>
      </c>
      <c r="C871" s="132"/>
      <c r="D871" s="127"/>
      <c r="E871" s="127"/>
      <c r="F871" s="127"/>
      <c r="G871" s="127"/>
      <c r="H871" s="130"/>
      <c r="I871" s="130"/>
      <c r="J871" s="130">
        <f t="shared" si="1"/>
        <v>0</v>
      </c>
      <c r="K871" s="130"/>
      <c r="L871" s="130"/>
      <c r="M871" s="130">
        <f t="shared" si="2"/>
        <v>0</v>
      </c>
      <c r="N871" s="130"/>
      <c r="O871" s="130"/>
      <c r="P871" s="127"/>
      <c r="Q871" s="127"/>
      <c r="R871" s="127"/>
      <c r="S871" s="127"/>
      <c r="T871" s="127" t="str">
        <f>IF(A871="","",VLOOKUP(A871,'BASE OS'!$A$2:$I1000,4,FALSE))</f>
        <v/>
      </c>
      <c r="U871" s="127"/>
      <c r="V871" s="127"/>
      <c r="W871" s="127" t="str">
        <f t="shared" si="3"/>
        <v/>
      </c>
      <c r="X871" s="127" t="str">
        <f t="shared" si="4"/>
        <v/>
      </c>
      <c r="Y871" s="127" t="str">
        <f t="shared" si="5"/>
        <v/>
      </c>
    </row>
    <row r="872">
      <c r="A872" s="127"/>
      <c r="B872" s="127" t="str">
        <f>IF(A872="","",VLOOKUP(A872,'BASE OS'!$A$2:$I1000,2,FALSE))</f>
        <v/>
      </c>
      <c r="C872" s="132"/>
      <c r="D872" s="127"/>
      <c r="E872" s="127"/>
      <c r="F872" s="127"/>
      <c r="G872" s="127"/>
      <c r="H872" s="130"/>
      <c r="I872" s="130"/>
      <c r="J872" s="130">
        <f t="shared" si="1"/>
        <v>0</v>
      </c>
      <c r="K872" s="130"/>
      <c r="L872" s="130"/>
      <c r="M872" s="130">
        <f t="shared" si="2"/>
        <v>0</v>
      </c>
      <c r="N872" s="130"/>
      <c r="O872" s="130"/>
      <c r="P872" s="127"/>
      <c r="Q872" s="127"/>
      <c r="R872" s="127"/>
      <c r="S872" s="127"/>
      <c r="T872" s="127" t="str">
        <f>IF(A872="","",VLOOKUP(A872,'BASE OS'!$A$2:$I1000,4,FALSE))</f>
        <v/>
      </c>
      <c r="U872" s="127"/>
      <c r="V872" s="127"/>
      <c r="W872" s="127" t="str">
        <f t="shared" si="3"/>
        <v/>
      </c>
      <c r="X872" s="127" t="str">
        <f t="shared" si="4"/>
        <v/>
      </c>
      <c r="Y872" s="127" t="str">
        <f t="shared" si="5"/>
        <v/>
      </c>
    </row>
    <row r="873">
      <c r="A873" s="127"/>
      <c r="B873" s="127" t="str">
        <f>IF(A873="","",VLOOKUP(A873,'BASE OS'!$A$2:$I1000,2,FALSE))</f>
        <v/>
      </c>
      <c r="C873" s="132"/>
      <c r="D873" s="127"/>
      <c r="E873" s="127"/>
      <c r="F873" s="127"/>
      <c r="G873" s="127"/>
      <c r="H873" s="130"/>
      <c r="I873" s="130"/>
      <c r="J873" s="130">
        <f t="shared" si="1"/>
        <v>0</v>
      </c>
      <c r="K873" s="130"/>
      <c r="L873" s="130"/>
      <c r="M873" s="130">
        <f t="shared" si="2"/>
        <v>0</v>
      </c>
      <c r="N873" s="130"/>
      <c r="O873" s="130"/>
      <c r="P873" s="127"/>
      <c r="Q873" s="127"/>
      <c r="R873" s="127"/>
      <c r="S873" s="127"/>
      <c r="T873" s="127" t="str">
        <f>IF(A873="","",VLOOKUP(A873,'BASE OS'!$A$2:$I1000,4,FALSE))</f>
        <v/>
      </c>
      <c r="U873" s="127"/>
      <c r="V873" s="127"/>
      <c r="W873" s="127" t="str">
        <f t="shared" si="3"/>
        <v/>
      </c>
      <c r="X873" s="127" t="str">
        <f t="shared" si="4"/>
        <v/>
      </c>
      <c r="Y873" s="127" t="str">
        <f t="shared" si="5"/>
        <v/>
      </c>
    </row>
    <row r="874">
      <c r="A874" s="127"/>
      <c r="B874" s="127" t="str">
        <f>IF(A874="","",VLOOKUP(A874,'BASE OS'!$A$2:$I1000,2,FALSE))</f>
        <v/>
      </c>
      <c r="C874" s="132"/>
      <c r="D874" s="127"/>
      <c r="E874" s="127"/>
      <c r="F874" s="127"/>
      <c r="G874" s="127"/>
      <c r="H874" s="130"/>
      <c r="I874" s="130"/>
      <c r="J874" s="130">
        <f t="shared" si="1"/>
        <v>0</v>
      </c>
      <c r="K874" s="130"/>
      <c r="L874" s="130"/>
      <c r="M874" s="130">
        <f t="shared" si="2"/>
        <v>0</v>
      </c>
      <c r="N874" s="130"/>
      <c r="O874" s="130"/>
      <c r="P874" s="127"/>
      <c r="Q874" s="127"/>
      <c r="R874" s="127"/>
      <c r="S874" s="127"/>
      <c r="T874" s="127" t="str">
        <f>IF(A874="","",VLOOKUP(A874,'BASE OS'!$A$2:$I1000,4,FALSE))</f>
        <v/>
      </c>
      <c r="U874" s="127"/>
      <c r="V874" s="127"/>
      <c r="W874" s="127" t="str">
        <f t="shared" si="3"/>
        <v/>
      </c>
      <c r="X874" s="127" t="str">
        <f t="shared" si="4"/>
        <v/>
      </c>
      <c r="Y874" s="127" t="str">
        <f t="shared" si="5"/>
        <v/>
      </c>
    </row>
    <row r="875">
      <c r="A875" s="127"/>
      <c r="B875" s="127" t="str">
        <f>IF(A875="","",VLOOKUP(A875,'BASE OS'!$A$2:$I1000,2,FALSE))</f>
        <v/>
      </c>
      <c r="C875" s="132"/>
      <c r="D875" s="127"/>
      <c r="E875" s="127"/>
      <c r="F875" s="127"/>
      <c r="G875" s="127"/>
      <c r="H875" s="130"/>
      <c r="I875" s="130"/>
      <c r="J875" s="130">
        <f t="shared" si="1"/>
        <v>0</v>
      </c>
      <c r="K875" s="130"/>
      <c r="L875" s="130"/>
      <c r="M875" s="130">
        <f t="shared" si="2"/>
        <v>0</v>
      </c>
      <c r="N875" s="130"/>
      <c r="O875" s="130"/>
      <c r="P875" s="127"/>
      <c r="Q875" s="127"/>
      <c r="R875" s="127"/>
      <c r="S875" s="127"/>
      <c r="T875" s="127" t="str">
        <f>IF(A875="","",VLOOKUP(A875,'BASE OS'!$A$2:$I1000,4,FALSE))</f>
        <v/>
      </c>
      <c r="U875" s="127"/>
      <c r="V875" s="127"/>
      <c r="W875" s="127" t="str">
        <f t="shared" si="3"/>
        <v/>
      </c>
      <c r="X875" s="127" t="str">
        <f t="shared" si="4"/>
        <v/>
      </c>
      <c r="Y875" s="127" t="str">
        <f t="shared" si="5"/>
        <v/>
      </c>
    </row>
    <row r="876">
      <c r="A876" s="127"/>
      <c r="B876" s="127" t="str">
        <f>IF(A876="","",VLOOKUP(A876,'BASE OS'!$A$2:$I1000,2,FALSE))</f>
        <v/>
      </c>
      <c r="C876" s="132"/>
      <c r="D876" s="127"/>
      <c r="E876" s="127"/>
      <c r="F876" s="127"/>
      <c r="G876" s="127"/>
      <c r="H876" s="130"/>
      <c r="I876" s="130"/>
      <c r="J876" s="130">
        <f t="shared" si="1"/>
        <v>0</v>
      </c>
      <c r="K876" s="130"/>
      <c r="L876" s="130"/>
      <c r="M876" s="130">
        <f t="shared" si="2"/>
        <v>0</v>
      </c>
      <c r="N876" s="130"/>
      <c r="O876" s="130"/>
      <c r="P876" s="127"/>
      <c r="Q876" s="127"/>
      <c r="R876" s="127"/>
      <c r="S876" s="127"/>
      <c r="T876" s="127" t="str">
        <f>IF(A876="","",VLOOKUP(A876,'BASE OS'!$A$2:$I1000,4,FALSE))</f>
        <v/>
      </c>
      <c r="U876" s="127"/>
      <c r="V876" s="127"/>
      <c r="W876" s="127" t="str">
        <f t="shared" si="3"/>
        <v/>
      </c>
      <c r="X876" s="127" t="str">
        <f t="shared" si="4"/>
        <v/>
      </c>
      <c r="Y876" s="127" t="str">
        <f t="shared" si="5"/>
        <v/>
      </c>
    </row>
    <row r="877">
      <c r="A877" s="127"/>
      <c r="B877" s="127" t="str">
        <f>IF(A877="","",VLOOKUP(A877,'BASE OS'!$A$2:$I1000,2,FALSE))</f>
        <v/>
      </c>
      <c r="C877" s="132"/>
      <c r="D877" s="127"/>
      <c r="E877" s="127"/>
      <c r="F877" s="127"/>
      <c r="G877" s="127"/>
      <c r="H877" s="130"/>
      <c r="I877" s="130"/>
      <c r="J877" s="130">
        <f t="shared" si="1"/>
        <v>0</v>
      </c>
      <c r="K877" s="130"/>
      <c r="L877" s="130"/>
      <c r="M877" s="130">
        <f t="shared" si="2"/>
        <v>0</v>
      </c>
      <c r="N877" s="130"/>
      <c r="O877" s="130"/>
      <c r="P877" s="127"/>
      <c r="Q877" s="127"/>
      <c r="R877" s="127"/>
      <c r="S877" s="127"/>
      <c r="T877" s="127" t="str">
        <f>IF(A877="","",VLOOKUP(A877,'BASE OS'!$A$2:$I1000,4,FALSE))</f>
        <v/>
      </c>
      <c r="U877" s="127"/>
      <c r="V877" s="127"/>
      <c r="W877" s="127" t="str">
        <f t="shared" si="3"/>
        <v/>
      </c>
      <c r="X877" s="127" t="str">
        <f t="shared" si="4"/>
        <v/>
      </c>
      <c r="Y877" s="127" t="str">
        <f t="shared" si="5"/>
        <v/>
      </c>
    </row>
    <row r="878">
      <c r="A878" s="127"/>
      <c r="B878" s="127" t="str">
        <f>IF(A878="","",VLOOKUP(A878,'BASE OS'!$A$2:$I1000,2,FALSE))</f>
        <v/>
      </c>
      <c r="C878" s="132"/>
      <c r="D878" s="127"/>
      <c r="E878" s="127"/>
      <c r="F878" s="127"/>
      <c r="G878" s="127"/>
      <c r="H878" s="130"/>
      <c r="I878" s="130"/>
      <c r="J878" s="130">
        <f t="shared" si="1"/>
        <v>0</v>
      </c>
      <c r="K878" s="130"/>
      <c r="L878" s="130"/>
      <c r="M878" s="130">
        <f t="shared" si="2"/>
        <v>0</v>
      </c>
      <c r="N878" s="130"/>
      <c r="O878" s="130"/>
      <c r="P878" s="127"/>
      <c r="Q878" s="127"/>
      <c r="R878" s="127"/>
      <c r="S878" s="127"/>
      <c r="T878" s="127" t="str">
        <f>IF(A878="","",VLOOKUP(A878,'BASE OS'!$A$2:$I1000,4,FALSE))</f>
        <v/>
      </c>
      <c r="U878" s="127"/>
      <c r="V878" s="127"/>
      <c r="W878" s="127" t="str">
        <f t="shared" si="3"/>
        <v/>
      </c>
      <c r="X878" s="127" t="str">
        <f t="shared" si="4"/>
        <v/>
      </c>
      <c r="Y878" s="127" t="str">
        <f t="shared" si="5"/>
        <v/>
      </c>
    </row>
    <row r="879">
      <c r="A879" s="127"/>
      <c r="B879" s="127" t="str">
        <f>IF(A879="","",VLOOKUP(A879,'BASE OS'!$A$2:$I1000,2,FALSE))</f>
        <v/>
      </c>
      <c r="C879" s="132"/>
      <c r="D879" s="127"/>
      <c r="E879" s="127"/>
      <c r="F879" s="127"/>
      <c r="G879" s="127"/>
      <c r="H879" s="130"/>
      <c r="I879" s="130"/>
      <c r="J879" s="130">
        <f t="shared" si="1"/>
        <v>0</v>
      </c>
      <c r="K879" s="130"/>
      <c r="L879" s="130"/>
      <c r="M879" s="130">
        <f t="shared" si="2"/>
        <v>0</v>
      </c>
      <c r="N879" s="130"/>
      <c r="O879" s="130"/>
      <c r="P879" s="127"/>
      <c r="Q879" s="127"/>
      <c r="R879" s="127"/>
      <c r="S879" s="127"/>
      <c r="T879" s="127" t="str">
        <f>IF(A879="","",VLOOKUP(A879,'BASE OS'!$A$2:$I1000,4,FALSE))</f>
        <v/>
      </c>
      <c r="U879" s="127"/>
      <c r="V879" s="127"/>
      <c r="W879" s="127" t="str">
        <f t="shared" si="3"/>
        <v/>
      </c>
      <c r="X879" s="127" t="str">
        <f t="shared" si="4"/>
        <v/>
      </c>
      <c r="Y879" s="127" t="str">
        <f t="shared" si="5"/>
        <v/>
      </c>
    </row>
    <row r="880">
      <c r="A880" s="127"/>
      <c r="B880" s="127" t="str">
        <f>IF(A880="","",VLOOKUP(A880,'BASE OS'!$A$2:$I1000,2,FALSE))</f>
        <v/>
      </c>
      <c r="C880" s="132"/>
      <c r="D880" s="127"/>
      <c r="E880" s="127"/>
      <c r="F880" s="127"/>
      <c r="G880" s="127"/>
      <c r="H880" s="130"/>
      <c r="I880" s="130"/>
      <c r="J880" s="130">
        <f t="shared" si="1"/>
        <v>0</v>
      </c>
      <c r="K880" s="130"/>
      <c r="L880" s="130"/>
      <c r="M880" s="130">
        <f t="shared" si="2"/>
        <v>0</v>
      </c>
      <c r="N880" s="130"/>
      <c r="O880" s="130"/>
      <c r="P880" s="127"/>
      <c r="Q880" s="127"/>
      <c r="R880" s="127"/>
      <c r="S880" s="127"/>
      <c r="T880" s="127" t="str">
        <f>IF(A880="","",VLOOKUP(A880,'BASE OS'!$A$2:$I1000,4,FALSE))</f>
        <v/>
      </c>
      <c r="U880" s="127"/>
      <c r="V880" s="127"/>
      <c r="W880" s="127" t="str">
        <f t="shared" si="3"/>
        <v/>
      </c>
      <c r="X880" s="127" t="str">
        <f t="shared" si="4"/>
        <v/>
      </c>
      <c r="Y880" s="127" t="str">
        <f t="shared" si="5"/>
        <v/>
      </c>
    </row>
    <row r="881">
      <c r="A881" s="127"/>
      <c r="B881" s="127" t="str">
        <f>IF(A881="","",VLOOKUP(A881,'BASE OS'!$A$2:$I1000,2,FALSE))</f>
        <v/>
      </c>
      <c r="C881" s="132"/>
      <c r="D881" s="127"/>
      <c r="E881" s="127"/>
      <c r="F881" s="127"/>
      <c r="G881" s="127"/>
      <c r="H881" s="130"/>
      <c r="I881" s="130"/>
      <c r="J881" s="130">
        <f t="shared" si="1"/>
        <v>0</v>
      </c>
      <c r="K881" s="130"/>
      <c r="L881" s="130"/>
      <c r="M881" s="130">
        <f t="shared" si="2"/>
        <v>0</v>
      </c>
      <c r="N881" s="130"/>
      <c r="O881" s="130"/>
      <c r="P881" s="127"/>
      <c r="Q881" s="127"/>
      <c r="R881" s="127"/>
      <c r="S881" s="127"/>
      <c r="T881" s="127" t="str">
        <f>IF(A881="","",VLOOKUP(A881,'BASE OS'!$A$2:$I1000,4,FALSE))</f>
        <v/>
      </c>
      <c r="U881" s="127"/>
      <c r="V881" s="127"/>
      <c r="W881" s="127" t="str">
        <f t="shared" si="3"/>
        <v/>
      </c>
      <c r="X881" s="127" t="str">
        <f t="shared" si="4"/>
        <v/>
      </c>
      <c r="Y881" s="127" t="str">
        <f t="shared" si="5"/>
        <v/>
      </c>
    </row>
    <row r="882">
      <c r="A882" s="127"/>
      <c r="B882" s="127" t="str">
        <f>IF(A882="","",VLOOKUP(A882,'BASE OS'!$A$2:$I1000,2,FALSE))</f>
        <v/>
      </c>
      <c r="C882" s="132"/>
      <c r="D882" s="127"/>
      <c r="E882" s="127"/>
      <c r="F882" s="127"/>
      <c r="G882" s="127"/>
      <c r="H882" s="130"/>
      <c r="I882" s="130"/>
      <c r="J882" s="130">
        <f t="shared" si="1"/>
        <v>0</v>
      </c>
      <c r="K882" s="130"/>
      <c r="L882" s="130"/>
      <c r="M882" s="130">
        <f t="shared" si="2"/>
        <v>0</v>
      </c>
      <c r="N882" s="130"/>
      <c r="O882" s="130"/>
      <c r="P882" s="127"/>
      <c r="Q882" s="127"/>
      <c r="R882" s="127"/>
      <c r="S882" s="127"/>
      <c r="T882" s="127" t="str">
        <f>IF(A882="","",VLOOKUP(A882,'BASE OS'!$A$2:$I1000,4,FALSE))</f>
        <v/>
      </c>
      <c r="U882" s="127"/>
      <c r="V882" s="127"/>
      <c r="W882" s="127" t="str">
        <f t="shared" si="3"/>
        <v/>
      </c>
      <c r="X882" s="127" t="str">
        <f t="shared" si="4"/>
        <v/>
      </c>
      <c r="Y882" s="127" t="str">
        <f t="shared" si="5"/>
        <v/>
      </c>
    </row>
    <row r="883">
      <c r="A883" s="127"/>
      <c r="B883" s="127" t="str">
        <f>IF(A883="","",VLOOKUP(A883,'BASE OS'!$A$2:$I1000,2,FALSE))</f>
        <v/>
      </c>
      <c r="C883" s="132"/>
      <c r="D883" s="127"/>
      <c r="E883" s="127"/>
      <c r="F883" s="127"/>
      <c r="G883" s="127"/>
      <c r="H883" s="130"/>
      <c r="I883" s="130"/>
      <c r="J883" s="130">
        <f t="shared" si="1"/>
        <v>0</v>
      </c>
      <c r="K883" s="130"/>
      <c r="L883" s="130"/>
      <c r="M883" s="130">
        <f t="shared" si="2"/>
        <v>0</v>
      </c>
      <c r="N883" s="130"/>
      <c r="O883" s="130"/>
      <c r="P883" s="127"/>
      <c r="Q883" s="127"/>
      <c r="R883" s="127"/>
      <c r="S883" s="127"/>
      <c r="T883" s="127" t="str">
        <f>IF(A883="","",VLOOKUP(A883,'BASE OS'!$A$2:$I1000,4,FALSE))</f>
        <v/>
      </c>
      <c r="U883" s="127"/>
      <c r="V883" s="127"/>
      <c r="W883" s="127" t="str">
        <f t="shared" si="3"/>
        <v/>
      </c>
      <c r="X883" s="127" t="str">
        <f t="shared" si="4"/>
        <v/>
      </c>
      <c r="Y883" s="127" t="str">
        <f t="shared" si="5"/>
        <v/>
      </c>
    </row>
    <row r="884">
      <c r="A884" s="127"/>
      <c r="B884" s="127" t="str">
        <f>IF(A884="","",VLOOKUP(A884,'BASE OS'!$A$2:$I1000,2,FALSE))</f>
        <v/>
      </c>
      <c r="C884" s="132"/>
      <c r="D884" s="127"/>
      <c r="E884" s="127"/>
      <c r="F884" s="127"/>
      <c r="G884" s="127"/>
      <c r="H884" s="130"/>
      <c r="I884" s="130"/>
      <c r="J884" s="130">
        <f t="shared" si="1"/>
        <v>0</v>
      </c>
      <c r="K884" s="130"/>
      <c r="L884" s="130"/>
      <c r="M884" s="130">
        <f t="shared" si="2"/>
        <v>0</v>
      </c>
      <c r="N884" s="130"/>
      <c r="O884" s="130"/>
      <c r="P884" s="127"/>
      <c r="Q884" s="127"/>
      <c r="R884" s="127"/>
      <c r="S884" s="127"/>
      <c r="T884" s="127" t="str">
        <f>IF(A884="","",VLOOKUP(A884,'BASE OS'!$A$2:$I1000,4,FALSE))</f>
        <v/>
      </c>
      <c r="U884" s="127"/>
      <c r="V884" s="127"/>
      <c r="W884" s="127" t="str">
        <f t="shared" si="3"/>
        <v/>
      </c>
      <c r="X884" s="127" t="str">
        <f t="shared" si="4"/>
        <v/>
      </c>
      <c r="Y884" s="127" t="str">
        <f t="shared" si="5"/>
        <v/>
      </c>
    </row>
    <row r="885">
      <c r="A885" s="127"/>
      <c r="B885" s="127" t="str">
        <f>IF(A885="","",VLOOKUP(A885,'BASE OS'!$A$2:$I1000,2,FALSE))</f>
        <v/>
      </c>
      <c r="C885" s="132"/>
      <c r="D885" s="127"/>
      <c r="E885" s="127"/>
      <c r="F885" s="127"/>
      <c r="G885" s="127"/>
      <c r="H885" s="130"/>
      <c r="I885" s="130"/>
      <c r="J885" s="130">
        <f t="shared" si="1"/>
        <v>0</v>
      </c>
      <c r="K885" s="130"/>
      <c r="L885" s="130"/>
      <c r="M885" s="130">
        <f t="shared" si="2"/>
        <v>0</v>
      </c>
      <c r="N885" s="130"/>
      <c r="O885" s="130"/>
      <c r="P885" s="127"/>
      <c r="Q885" s="127"/>
      <c r="R885" s="127"/>
      <c r="S885" s="127"/>
      <c r="T885" s="127" t="str">
        <f>IF(A885="","",VLOOKUP(A885,'BASE OS'!$A$2:$I1000,4,FALSE))</f>
        <v/>
      </c>
      <c r="U885" s="127"/>
      <c r="V885" s="127"/>
      <c r="W885" s="127" t="str">
        <f t="shared" si="3"/>
        <v/>
      </c>
      <c r="X885" s="127" t="str">
        <f t="shared" si="4"/>
        <v/>
      </c>
      <c r="Y885" s="127" t="str">
        <f t="shared" si="5"/>
        <v/>
      </c>
    </row>
    <row r="886">
      <c r="A886" s="127"/>
      <c r="B886" s="127" t="str">
        <f>IF(A886="","",VLOOKUP(A886,'BASE OS'!$A$2:$I1000,2,FALSE))</f>
        <v/>
      </c>
      <c r="C886" s="132"/>
      <c r="D886" s="127"/>
      <c r="E886" s="127"/>
      <c r="F886" s="127"/>
      <c r="G886" s="127"/>
      <c r="H886" s="130"/>
      <c r="I886" s="130"/>
      <c r="J886" s="130">
        <f t="shared" si="1"/>
        <v>0</v>
      </c>
      <c r="K886" s="130"/>
      <c r="L886" s="130"/>
      <c r="M886" s="130">
        <f t="shared" si="2"/>
        <v>0</v>
      </c>
      <c r="N886" s="130"/>
      <c r="O886" s="130"/>
      <c r="P886" s="127"/>
      <c r="Q886" s="127"/>
      <c r="R886" s="127"/>
      <c r="S886" s="127"/>
      <c r="T886" s="127" t="str">
        <f>IF(A886="","",VLOOKUP(A886,'BASE OS'!$A$2:$I1000,4,FALSE))</f>
        <v/>
      </c>
      <c r="U886" s="127"/>
      <c r="V886" s="127"/>
      <c r="W886" s="127" t="str">
        <f t="shared" si="3"/>
        <v/>
      </c>
      <c r="X886" s="127" t="str">
        <f t="shared" si="4"/>
        <v/>
      </c>
      <c r="Y886" s="127" t="str">
        <f t="shared" si="5"/>
        <v/>
      </c>
    </row>
    <row r="887">
      <c r="A887" s="127"/>
      <c r="B887" s="127" t="str">
        <f>IF(A887="","",VLOOKUP(A887,'BASE OS'!$A$2:$I1000,2,FALSE))</f>
        <v/>
      </c>
      <c r="C887" s="132"/>
      <c r="D887" s="127"/>
      <c r="E887" s="127"/>
      <c r="F887" s="127"/>
      <c r="G887" s="127"/>
      <c r="H887" s="130"/>
      <c r="I887" s="130"/>
      <c r="J887" s="130">
        <f t="shared" si="1"/>
        <v>0</v>
      </c>
      <c r="K887" s="130"/>
      <c r="L887" s="130"/>
      <c r="M887" s="130">
        <f t="shared" si="2"/>
        <v>0</v>
      </c>
      <c r="N887" s="130"/>
      <c r="O887" s="130"/>
      <c r="P887" s="127"/>
      <c r="Q887" s="127"/>
      <c r="R887" s="127"/>
      <c r="S887" s="127"/>
      <c r="T887" s="127" t="str">
        <f>IF(A887="","",VLOOKUP(A887,'BASE OS'!$A$2:$I1000,4,FALSE))</f>
        <v/>
      </c>
      <c r="U887" s="127"/>
      <c r="V887" s="127"/>
      <c r="W887" s="127" t="str">
        <f t="shared" si="3"/>
        <v/>
      </c>
      <c r="X887" s="127" t="str">
        <f t="shared" si="4"/>
        <v/>
      </c>
      <c r="Y887" s="127" t="str">
        <f t="shared" si="5"/>
        <v/>
      </c>
    </row>
    <row r="888">
      <c r="A888" s="127"/>
      <c r="B888" s="127" t="str">
        <f>IF(A888="","",VLOOKUP(A888,'BASE OS'!$A$2:$I1000,2,FALSE))</f>
        <v/>
      </c>
      <c r="C888" s="132"/>
      <c r="D888" s="127"/>
      <c r="E888" s="127"/>
      <c r="F888" s="127"/>
      <c r="G888" s="127"/>
      <c r="H888" s="130"/>
      <c r="I888" s="130"/>
      <c r="J888" s="130">
        <f t="shared" si="1"/>
        <v>0</v>
      </c>
      <c r="K888" s="130"/>
      <c r="L888" s="130"/>
      <c r="M888" s="130">
        <f t="shared" si="2"/>
        <v>0</v>
      </c>
      <c r="N888" s="130"/>
      <c r="O888" s="130"/>
      <c r="P888" s="127"/>
      <c r="Q888" s="127"/>
      <c r="R888" s="127"/>
      <c r="S888" s="127"/>
      <c r="T888" s="127" t="str">
        <f>IF(A888="","",VLOOKUP(A888,'BASE OS'!$A$2:$I1000,4,FALSE))</f>
        <v/>
      </c>
      <c r="U888" s="127"/>
      <c r="V888" s="127"/>
      <c r="W888" s="127" t="str">
        <f t="shared" si="3"/>
        <v/>
      </c>
      <c r="X888" s="127" t="str">
        <f t="shared" si="4"/>
        <v/>
      </c>
      <c r="Y888" s="127" t="str">
        <f t="shared" si="5"/>
        <v/>
      </c>
    </row>
    <row r="889">
      <c r="A889" s="127"/>
      <c r="B889" s="127" t="str">
        <f>IF(A889="","",VLOOKUP(A889,'BASE OS'!$A$2:$I1000,2,FALSE))</f>
        <v/>
      </c>
      <c r="C889" s="132"/>
      <c r="D889" s="127"/>
      <c r="E889" s="127"/>
      <c r="F889" s="127"/>
      <c r="G889" s="127"/>
      <c r="H889" s="130"/>
      <c r="I889" s="130"/>
      <c r="J889" s="130">
        <f t="shared" si="1"/>
        <v>0</v>
      </c>
      <c r="K889" s="130"/>
      <c r="L889" s="130"/>
      <c r="M889" s="130">
        <f t="shared" si="2"/>
        <v>0</v>
      </c>
      <c r="N889" s="130"/>
      <c r="O889" s="130"/>
      <c r="P889" s="127"/>
      <c r="Q889" s="127"/>
      <c r="R889" s="127"/>
      <c r="S889" s="127"/>
      <c r="T889" s="127" t="str">
        <f>IF(A889="","",VLOOKUP(A889,'BASE OS'!$A$2:$I1000,4,FALSE))</f>
        <v/>
      </c>
      <c r="U889" s="127"/>
      <c r="V889" s="127"/>
      <c r="W889" s="127" t="str">
        <f t="shared" si="3"/>
        <v/>
      </c>
      <c r="X889" s="127" t="str">
        <f t="shared" si="4"/>
        <v/>
      </c>
      <c r="Y889" s="127" t="str">
        <f t="shared" si="5"/>
        <v/>
      </c>
    </row>
    <row r="890">
      <c r="A890" s="127"/>
      <c r="B890" s="127" t="str">
        <f>IF(A890="","",VLOOKUP(A890,'BASE OS'!$A$2:$I1000,2,FALSE))</f>
        <v/>
      </c>
      <c r="C890" s="132"/>
      <c r="D890" s="127"/>
      <c r="E890" s="127"/>
      <c r="F890" s="127"/>
      <c r="G890" s="127"/>
      <c r="H890" s="130"/>
      <c r="I890" s="130"/>
      <c r="J890" s="130">
        <f t="shared" si="1"/>
        <v>0</v>
      </c>
      <c r="K890" s="130"/>
      <c r="L890" s="130"/>
      <c r="M890" s="130">
        <f t="shared" si="2"/>
        <v>0</v>
      </c>
      <c r="N890" s="130"/>
      <c r="O890" s="130"/>
      <c r="P890" s="127"/>
      <c r="Q890" s="127"/>
      <c r="R890" s="127"/>
      <c r="S890" s="127"/>
      <c r="T890" s="127" t="str">
        <f>IF(A890="","",VLOOKUP(A890,'BASE OS'!$A$2:$I1000,4,FALSE))</f>
        <v/>
      </c>
      <c r="U890" s="127"/>
      <c r="V890" s="127"/>
      <c r="W890" s="127" t="str">
        <f t="shared" si="3"/>
        <v/>
      </c>
      <c r="X890" s="127" t="str">
        <f t="shared" si="4"/>
        <v/>
      </c>
      <c r="Y890" s="127" t="str">
        <f t="shared" si="5"/>
        <v/>
      </c>
    </row>
    <row r="891">
      <c r="A891" s="127"/>
      <c r="B891" s="127" t="str">
        <f>IF(A891="","",VLOOKUP(A891,'BASE OS'!$A$2:$I1000,2,FALSE))</f>
        <v/>
      </c>
      <c r="C891" s="132"/>
      <c r="D891" s="127"/>
      <c r="E891" s="127"/>
      <c r="F891" s="127"/>
      <c r="G891" s="127"/>
      <c r="H891" s="130"/>
      <c r="I891" s="130"/>
      <c r="J891" s="130">
        <f t="shared" si="1"/>
        <v>0</v>
      </c>
      <c r="K891" s="130"/>
      <c r="L891" s="130"/>
      <c r="M891" s="130">
        <f t="shared" si="2"/>
        <v>0</v>
      </c>
      <c r="N891" s="130"/>
      <c r="O891" s="130"/>
      <c r="P891" s="127"/>
      <c r="Q891" s="127"/>
      <c r="R891" s="127"/>
      <c r="S891" s="127"/>
      <c r="T891" s="127" t="str">
        <f>IF(A891="","",VLOOKUP(A891,'BASE OS'!$A$2:$I1000,4,FALSE))</f>
        <v/>
      </c>
      <c r="U891" s="127"/>
      <c r="V891" s="127"/>
      <c r="W891" s="127" t="str">
        <f t="shared" si="3"/>
        <v/>
      </c>
      <c r="X891" s="127" t="str">
        <f t="shared" si="4"/>
        <v/>
      </c>
      <c r="Y891" s="127" t="str">
        <f t="shared" si="5"/>
        <v/>
      </c>
    </row>
    <row r="892">
      <c r="A892" s="127"/>
      <c r="B892" s="127" t="str">
        <f>IF(A892="","",VLOOKUP(A892,'BASE OS'!$A$2:$I1000,2,FALSE))</f>
        <v/>
      </c>
      <c r="C892" s="132"/>
      <c r="D892" s="127"/>
      <c r="E892" s="127"/>
      <c r="F892" s="127"/>
      <c r="G892" s="127"/>
      <c r="H892" s="130"/>
      <c r="I892" s="130"/>
      <c r="J892" s="130">
        <f t="shared" si="1"/>
        <v>0</v>
      </c>
      <c r="K892" s="130"/>
      <c r="L892" s="130"/>
      <c r="M892" s="130">
        <f t="shared" si="2"/>
        <v>0</v>
      </c>
      <c r="N892" s="130"/>
      <c r="O892" s="130"/>
      <c r="P892" s="127"/>
      <c r="Q892" s="127"/>
      <c r="R892" s="127"/>
      <c r="S892" s="127"/>
      <c r="T892" s="127" t="str">
        <f>IF(A892="","",VLOOKUP(A892,'BASE OS'!$A$2:$I1000,4,FALSE))</f>
        <v/>
      </c>
      <c r="U892" s="127"/>
      <c r="V892" s="127"/>
      <c r="W892" s="127" t="str">
        <f t="shared" si="3"/>
        <v/>
      </c>
      <c r="X892" s="127" t="str">
        <f t="shared" si="4"/>
        <v/>
      </c>
      <c r="Y892" s="127" t="str">
        <f t="shared" si="5"/>
        <v/>
      </c>
    </row>
    <row r="893">
      <c r="A893" s="127"/>
      <c r="B893" s="127" t="str">
        <f>IF(A893="","",VLOOKUP(A893,'BASE OS'!$A$2:$I1000,2,FALSE))</f>
        <v/>
      </c>
      <c r="C893" s="132"/>
      <c r="D893" s="127"/>
      <c r="E893" s="127"/>
      <c r="F893" s="127"/>
      <c r="G893" s="127"/>
      <c r="H893" s="130"/>
      <c r="I893" s="130"/>
      <c r="J893" s="130">
        <f t="shared" si="1"/>
        <v>0</v>
      </c>
      <c r="K893" s="130"/>
      <c r="L893" s="130"/>
      <c r="M893" s="130">
        <f t="shared" si="2"/>
        <v>0</v>
      </c>
      <c r="N893" s="130"/>
      <c r="O893" s="130"/>
      <c r="P893" s="127"/>
      <c r="Q893" s="127"/>
      <c r="R893" s="127"/>
      <c r="S893" s="127"/>
      <c r="T893" s="127" t="str">
        <f>IF(A893="","",VLOOKUP(A893,'BASE OS'!$A$2:$I1000,4,FALSE))</f>
        <v/>
      </c>
      <c r="U893" s="127"/>
      <c r="V893" s="127"/>
      <c r="W893" s="127" t="str">
        <f t="shared" si="3"/>
        <v/>
      </c>
      <c r="X893" s="127" t="str">
        <f t="shared" si="4"/>
        <v/>
      </c>
      <c r="Y893" s="127" t="str">
        <f t="shared" si="5"/>
        <v/>
      </c>
    </row>
    <row r="894">
      <c r="A894" s="127"/>
      <c r="B894" s="127" t="str">
        <f>IF(A894="","",VLOOKUP(A894,'BASE OS'!$A$2:$I1000,2,FALSE))</f>
        <v/>
      </c>
      <c r="C894" s="132"/>
      <c r="D894" s="127"/>
      <c r="E894" s="127"/>
      <c r="F894" s="127"/>
      <c r="G894" s="127"/>
      <c r="H894" s="130"/>
      <c r="I894" s="130"/>
      <c r="J894" s="130">
        <f t="shared" si="1"/>
        <v>0</v>
      </c>
      <c r="K894" s="130"/>
      <c r="L894" s="130"/>
      <c r="M894" s="130">
        <f t="shared" si="2"/>
        <v>0</v>
      </c>
      <c r="N894" s="130"/>
      <c r="O894" s="130"/>
      <c r="P894" s="127"/>
      <c r="Q894" s="127"/>
      <c r="R894" s="127"/>
      <c r="S894" s="127"/>
      <c r="T894" s="127" t="str">
        <f>IF(A894="","",VLOOKUP(A894,'BASE OS'!$A$2:$I1000,4,FALSE))</f>
        <v/>
      </c>
      <c r="U894" s="127"/>
      <c r="V894" s="127"/>
      <c r="W894" s="127" t="str">
        <f t="shared" si="3"/>
        <v/>
      </c>
      <c r="X894" s="127" t="str">
        <f t="shared" si="4"/>
        <v/>
      </c>
      <c r="Y894" s="127" t="str">
        <f t="shared" si="5"/>
        <v/>
      </c>
    </row>
    <row r="895">
      <c r="A895" s="127"/>
      <c r="B895" s="127" t="str">
        <f>IF(A895="","",VLOOKUP(A895,'BASE OS'!$A$2:$I1000,2,FALSE))</f>
        <v/>
      </c>
      <c r="C895" s="132"/>
      <c r="D895" s="127"/>
      <c r="E895" s="127"/>
      <c r="F895" s="127"/>
      <c r="G895" s="127"/>
      <c r="H895" s="130"/>
      <c r="I895" s="130"/>
      <c r="J895" s="130">
        <f t="shared" si="1"/>
        <v>0</v>
      </c>
      <c r="K895" s="130"/>
      <c r="L895" s="130"/>
      <c r="M895" s="130">
        <f t="shared" si="2"/>
        <v>0</v>
      </c>
      <c r="N895" s="130"/>
      <c r="O895" s="130"/>
      <c r="P895" s="127"/>
      <c r="Q895" s="127"/>
      <c r="R895" s="127"/>
      <c r="S895" s="127"/>
      <c r="T895" s="127" t="str">
        <f>IF(A895="","",VLOOKUP(A895,'BASE OS'!$A$2:$I1000,4,FALSE))</f>
        <v/>
      </c>
      <c r="U895" s="127"/>
      <c r="V895" s="127"/>
      <c r="W895" s="127" t="str">
        <f t="shared" si="3"/>
        <v/>
      </c>
      <c r="X895" s="127" t="str">
        <f t="shared" si="4"/>
        <v/>
      </c>
      <c r="Y895" s="127" t="str">
        <f t="shared" si="5"/>
        <v/>
      </c>
    </row>
    <row r="896">
      <c r="A896" s="127"/>
      <c r="B896" s="127" t="str">
        <f>IF(A896="","",VLOOKUP(A896,'BASE OS'!$A$2:$I1000,2,FALSE))</f>
        <v/>
      </c>
      <c r="C896" s="132"/>
      <c r="D896" s="127"/>
      <c r="E896" s="127"/>
      <c r="F896" s="127"/>
      <c r="G896" s="127"/>
      <c r="H896" s="130"/>
      <c r="I896" s="130"/>
      <c r="J896" s="130">
        <f t="shared" si="1"/>
        <v>0</v>
      </c>
      <c r="K896" s="130"/>
      <c r="L896" s="130"/>
      <c r="M896" s="130">
        <f t="shared" si="2"/>
        <v>0</v>
      </c>
      <c r="N896" s="130"/>
      <c r="O896" s="130"/>
      <c r="P896" s="127"/>
      <c r="Q896" s="127"/>
      <c r="R896" s="127"/>
      <c r="S896" s="127"/>
      <c r="T896" s="127" t="str">
        <f>IF(A896="","",VLOOKUP(A896,'BASE OS'!$A$2:$I1000,4,FALSE))</f>
        <v/>
      </c>
      <c r="U896" s="127"/>
      <c r="V896" s="127"/>
      <c r="W896" s="127" t="str">
        <f t="shared" si="3"/>
        <v/>
      </c>
      <c r="X896" s="127" t="str">
        <f t="shared" si="4"/>
        <v/>
      </c>
      <c r="Y896" s="127" t="str">
        <f t="shared" si="5"/>
        <v/>
      </c>
    </row>
    <row r="897">
      <c r="A897" s="127"/>
      <c r="B897" s="127" t="str">
        <f>IF(A897="","",VLOOKUP(A897,'BASE OS'!$A$2:$I1000,2,FALSE))</f>
        <v/>
      </c>
      <c r="C897" s="132"/>
      <c r="D897" s="127"/>
      <c r="E897" s="127"/>
      <c r="F897" s="127"/>
      <c r="G897" s="127"/>
      <c r="H897" s="130"/>
      <c r="I897" s="130"/>
      <c r="J897" s="130">
        <f t="shared" si="1"/>
        <v>0</v>
      </c>
      <c r="K897" s="130"/>
      <c r="L897" s="130"/>
      <c r="M897" s="130">
        <f t="shared" si="2"/>
        <v>0</v>
      </c>
      <c r="N897" s="130"/>
      <c r="O897" s="130"/>
      <c r="P897" s="127"/>
      <c r="Q897" s="127"/>
      <c r="R897" s="127"/>
      <c r="S897" s="127"/>
      <c r="T897" s="127" t="str">
        <f>IF(A897="","",VLOOKUP(A897,'BASE OS'!$A$2:$I1000,4,FALSE))</f>
        <v/>
      </c>
      <c r="U897" s="127"/>
      <c r="V897" s="127"/>
      <c r="W897" s="127" t="str">
        <f t="shared" si="3"/>
        <v/>
      </c>
      <c r="X897" s="127" t="str">
        <f t="shared" si="4"/>
        <v/>
      </c>
      <c r="Y897" s="127" t="str">
        <f t="shared" si="5"/>
        <v/>
      </c>
    </row>
    <row r="898">
      <c r="A898" s="127"/>
      <c r="B898" s="127" t="str">
        <f>IF(A898="","",VLOOKUP(A898,'BASE OS'!$A$2:$I1000,2,FALSE))</f>
        <v/>
      </c>
      <c r="C898" s="132"/>
      <c r="D898" s="127"/>
      <c r="E898" s="127"/>
      <c r="F898" s="127"/>
      <c r="G898" s="127"/>
      <c r="H898" s="130"/>
      <c r="I898" s="130"/>
      <c r="J898" s="130">
        <f t="shared" si="1"/>
        <v>0</v>
      </c>
      <c r="K898" s="130"/>
      <c r="L898" s="130"/>
      <c r="M898" s="130">
        <f t="shared" si="2"/>
        <v>0</v>
      </c>
      <c r="N898" s="130"/>
      <c r="O898" s="130"/>
      <c r="P898" s="127"/>
      <c r="Q898" s="127"/>
      <c r="R898" s="127"/>
      <c r="S898" s="127"/>
      <c r="T898" s="127" t="str">
        <f>IF(A898="","",VLOOKUP(A898,'BASE OS'!$A$2:$I1000,4,FALSE))</f>
        <v/>
      </c>
      <c r="U898" s="127"/>
      <c r="V898" s="127"/>
      <c r="W898" s="127" t="str">
        <f t="shared" si="3"/>
        <v/>
      </c>
      <c r="X898" s="127" t="str">
        <f t="shared" si="4"/>
        <v/>
      </c>
      <c r="Y898" s="127" t="str">
        <f t="shared" si="5"/>
        <v/>
      </c>
    </row>
    <row r="899">
      <c r="A899" s="127"/>
      <c r="B899" s="127" t="str">
        <f>IF(A899="","",VLOOKUP(A899,'BASE OS'!$A$2:$I1000,2,FALSE))</f>
        <v/>
      </c>
      <c r="C899" s="132"/>
      <c r="D899" s="127"/>
      <c r="E899" s="127"/>
      <c r="F899" s="127"/>
      <c r="G899" s="127"/>
      <c r="H899" s="130"/>
      <c r="I899" s="130"/>
      <c r="J899" s="130">
        <f t="shared" si="1"/>
        <v>0</v>
      </c>
      <c r="K899" s="130"/>
      <c r="L899" s="130"/>
      <c r="M899" s="130">
        <f t="shared" si="2"/>
        <v>0</v>
      </c>
      <c r="N899" s="130"/>
      <c r="O899" s="130"/>
      <c r="P899" s="127"/>
      <c r="Q899" s="127"/>
      <c r="R899" s="127"/>
      <c r="S899" s="127"/>
      <c r="T899" s="127" t="str">
        <f>IF(A899="","",VLOOKUP(A899,'BASE OS'!$A$2:$I1000,4,FALSE))</f>
        <v/>
      </c>
      <c r="U899" s="127"/>
      <c r="V899" s="127"/>
      <c r="W899" s="127" t="str">
        <f t="shared" si="3"/>
        <v/>
      </c>
      <c r="X899" s="127" t="str">
        <f t="shared" si="4"/>
        <v/>
      </c>
      <c r="Y899" s="127" t="str">
        <f t="shared" si="5"/>
        <v/>
      </c>
    </row>
    <row r="900">
      <c r="A900" s="127"/>
      <c r="B900" s="127" t="str">
        <f>IF(A900="","",VLOOKUP(A900,'BASE OS'!$A$2:$I1000,2,FALSE))</f>
        <v/>
      </c>
      <c r="C900" s="132"/>
      <c r="D900" s="127"/>
      <c r="E900" s="127"/>
      <c r="F900" s="127"/>
      <c r="G900" s="127"/>
      <c r="H900" s="130"/>
      <c r="I900" s="130"/>
      <c r="J900" s="130">
        <f t="shared" si="1"/>
        <v>0</v>
      </c>
      <c r="K900" s="130"/>
      <c r="L900" s="130"/>
      <c r="M900" s="130">
        <f t="shared" si="2"/>
        <v>0</v>
      </c>
      <c r="N900" s="130"/>
      <c r="O900" s="130"/>
      <c r="P900" s="127"/>
      <c r="Q900" s="127"/>
      <c r="R900" s="127"/>
      <c r="S900" s="127"/>
      <c r="T900" s="127" t="str">
        <f>IF(A900="","",VLOOKUP(A900,'BASE OS'!$A$2:$I1000,4,FALSE))</f>
        <v/>
      </c>
      <c r="U900" s="127"/>
      <c r="V900" s="127"/>
      <c r="W900" s="127" t="str">
        <f t="shared" si="3"/>
        <v/>
      </c>
      <c r="X900" s="127" t="str">
        <f t="shared" si="4"/>
        <v/>
      </c>
      <c r="Y900" s="127" t="str">
        <f t="shared" si="5"/>
        <v/>
      </c>
    </row>
    <row r="901">
      <c r="A901" s="127"/>
      <c r="B901" s="127" t="str">
        <f>IF(A901="","",VLOOKUP(A901,'BASE OS'!$A$2:$I1000,2,FALSE))</f>
        <v/>
      </c>
      <c r="C901" s="132"/>
      <c r="D901" s="127"/>
      <c r="E901" s="127"/>
      <c r="F901" s="127"/>
      <c r="G901" s="127"/>
      <c r="H901" s="130"/>
      <c r="I901" s="130"/>
      <c r="J901" s="130">
        <f t="shared" si="1"/>
        <v>0</v>
      </c>
      <c r="K901" s="130"/>
      <c r="L901" s="130"/>
      <c r="M901" s="130">
        <f t="shared" si="2"/>
        <v>0</v>
      </c>
      <c r="N901" s="130"/>
      <c r="O901" s="130"/>
      <c r="P901" s="127"/>
      <c r="Q901" s="127"/>
      <c r="R901" s="127"/>
      <c r="S901" s="127"/>
      <c r="T901" s="127" t="str">
        <f>IF(A901="","",VLOOKUP(A901,'BASE OS'!$A$2:$I1000,4,FALSE))</f>
        <v/>
      </c>
      <c r="U901" s="127"/>
      <c r="V901" s="127"/>
      <c r="W901" s="127" t="str">
        <f t="shared" si="3"/>
        <v/>
      </c>
      <c r="X901" s="127" t="str">
        <f t="shared" si="4"/>
        <v/>
      </c>
      <c r="Y901" s="127" t="str">
        <f t="shared" si="5"/>
        <v/>
      </c>
    </row>
    <row r="902">
      <c r="A902" s="127"/>
      <c r="B902" s="127" t="str">
        <f>IF(A902="","",VLOOKUP(A902,'BASE OS'!$A$2:$I1000,2,FALSE))</f>
        <v/>
      </c>
      <c r="C902" s="132"/>
      <c r="D902" s="127"/>
      <c r="E902" s="127"/>
      <c r="F902" s="127"/>
      <c r="G902" s="127"/>
      <c r="H902" s="130"/>
      <c r="I902" s="130"/>
      <c r="J902" s="130">
        <f t="shared" si="1"/>
        <v>0</v>
      </c>
      <c r="K902" s="130"/>
      <c r="L902" s="130"/>
      <c r="M902" s="130">
        <f t="shared" si="2"/>
        <v>0</v>
      </c>
      <c r="N902" s="130"/>
      <c r="O902" s="130"/>
      <c r="P902" s="127"/>
      <c r="Q902" s="127"/>
      <c r="R902" s="127"/>
      <c r="S902" s="127"/>
      <c r="T902" s="127" t="str">
        <f>IF(A902="","",VLOOKUP(A902,'BASE OS'!$A$2:$I1000,4,FALSE))</f>
        <v/>
      </c>
      <c r="U902" s="127"/>
      <c r="V902" s="127"/>
      <c r="W902" s="127" t="str">
        <f t="shared" si="3"/>
        <v/>
      </c>
      <c r="X902" s="127" t="str">
        <f t="shared" si="4"/>
        <v/>
      </c>
      <c r="Y902" s="127" t="str">
        <f t="shared" si="5"/>
        <v/>
      </c>
    </row>
    <row r="903">
      <c r="A903" s="127"/>
      <c r="B903" s="127" t="str">
        <f>IF(A903="","",VLOOKUP(A903,'BASE OS'!$A$2:$I1000,2,FALSE))</f>
        <v/>
      </c>
      <c r="C903" s="132"/>
      <c r="D903" s="127"/>
      <c r="E903" s="127"/>
      <c r="F903" s="127"/>
      <c r="G903" s="127"/>
      <c r="H903" s="130"/>
      <c r="I903" s="130"/>
      <c r="J903" s="130">
        <f t="shared" si="1"/>
        <v>0</v>
      </c>
      <c r="K903" s="130"/>
      <c r="L903" s="130"/>
      <c r="M903" s="130">
        <f t="shared" si="2"/>
        <v>0</v>
      </c>
      <c r="N903" s="130"/>
      <c r="O903" s="130"/>
      <c r="P903" s="127"/>
      <c r="Q903" s="127"/>
      <c r="R903" s="127"/>
      <c r="S903" s="127"/>
      <c r="T903" s="127" t="str">
        <f>IF(A903="","",VLOOKUP(A903,'BASE OS'!$A$2:$I1000,4,FALSE))</f>
        <v/>
      </c>
      <c r="U903" s="127"/>
      <c r="V903" s="127"/>
      <c r="W903" s="127" t="str">
        <f t="shared" si="3"/>
        <v/>
      </c>
      <c r="X903" s="127" t="str">
        <f t="shared" si="4"/>
        <v/>
      </c>
      <c r="Y903" s="127" t="str">
        <f t="shared" si="5"/>
        <v/>
      </c>
    </row>
    <row r="904">
      <c r="A904" s="127"/>
      <c r="B904" s="127" t="str">
        <f>IF(A904="","",VLOOKUP(A904,'BASE OS'!$A$2:$I1000,2,FALSE))</f>
        <v/>
      </c>
      <c r="C904" s="132"/>
      <c r="D904" s="127"/>
      <c r="E904" s="127"/>
      <c r="F904" s="127"/>
      <c r="G904" s="127"/>
      <c r="H904" s="130"/>
      <c r="I904" s="130"/>
      <c r="J904" s="130">
        <f t="shared" si="1"/>
        <v>0</v>
      </c>
      <c r="K904" s="130"/>
      <c r="L904" s="130"/>
      <c r="M904" s="130">
        <f t="shared" si="2"/>
        <v>0</v>
      </c>
      <c r="N904" s="130"/>
      <c r="O904" s="130"/>
      <c r="P904" s="127"/>
      <c r="Q904" s="127"/>
      <c r="R904" s="127"/>
      <c r="S904" s="127"/>
      <c r="T904" s="127" t="str">
        <f>IF(A904="","",VLOOKUP(A904,'BASE OS'!$A$2:$I1000,4,FALSE))</f>
        <v/>
      </c>
      <c r="U904" s="127"/>
      <c r="V904" s="127"/>
      <c r="W904" s="127" t="str">
        <f t="shared" si="3"/>
        <v/>
      </c>
      <c r="X904" s="127" t="str">
        <f t="shared" si="4"/>
        <v/>
      </c>
      <c r="Y904" s="127" t="str">
        <f t="shared" si="5"/>
        <v/>
      </c>
    </row>
    <row r="905">
      <c r="A905" s="127"/>
      <c r="B905" s="127" t="str">
        <f>IF(A905="","",VLOOKUP(A905,'BASE OS'!$A$2:$I1000,2,FALSE))</f>
        <v/>
      </c>
      <c r="C905" s="132"/>
      <c r="D905" s="127"/>
      <c r="E905" s="127"/>
      <c r="F905" s="127"/>
      <c r="G905" s="127"/>
      <c r="H905" s="130"/>
      <c r="I905" s="130"/>
      <c r="J905" s="130">
        <f t="shared" si="1"/>
        <v>0</v>
      </c>
      <c r="K905" s="130"/>
      <c r="L905" s="130"/>
      <c r="M905" s="130">
        <f t="shared" si="2"/>
        <v>0</v>
      </c>
      <c r="N905" s="130"/>
      <c r="O905" s="130"/>
      <c r="P905" s="127"/>
      <c r="Q905" s="127"/>
      <c r="R905" s="127"/>
      <c r="S905" s="127"/>
      <c r="T905" s="127" t="str">
        <f>IF(A905="","",VLOOKUP(A905,'BASE OS'!$A$2:$I1000,4,FALSE))</f>
        <v/>
      </c>
      <c r="U905" s="127"/>
      <c r="V905" s="127"/>
      <c r="W905" s="127" t="str">
        <f t="shared" si="3"/>
        <v/>
      </c>
      <c r="X905" s="127" t="str">
        <f t="shared" si="4"/>
        <v/>
      </c>
      <c r="Y905" s="127" t="str">
        <f t="shared" si="5"/>
        <v/>
      </c>
    </row>
    <row r="906">
      <c r="A906" s="127"/>
      <c r="B906" s="127" t="str">
        <f>IF(A906="","",VLOOKUP(A906,'BASE OS'!$A$2:$I1000,2,FALSE))</f>
        <v/>
      </c>
      <c r="C906" s="132"/>
      <c r="D906" s="127"/>
      <c r="E906" s="127"/>
      <c r="F906" s="127"/>
      <c r="G906" s="127"/>
      <c r="H906" s="130"/>
      <c r="I906" s="130"/>
      <c r="J906" s="130">
        <f t="shared" si="1"/>
        <v>0</v>
      </c>
      <c r="K906" s="130"/>
      <c r="L906" s="130"/>
      <c r="M906" s="130">
        <f t="shared" si="2"/>
        <v>0</v>
      </c>
      <c r="N906" s="130"/>
      <c r="O906" s="130"/>
      <c r="P906" s="127"/>
      <c r="Q906" s="127"/>
      <c r="R906" s="127"/>
      <c r="S906" s="127"/>
      <c r="T906" s="127" t="str">
        <f>IF(A906="","",VLOOKUP(A906,'BASE OS'!$A$2:$I1000,4,FALSE))</f>
        <v/>
      </c>
      <c r="U906" s="127"/>
      <c r="V906" s="127"/>
      <c r="W906" s="127" t="str">
        <f t="shared" si="3"/>
        <v/>
      </c>
      <c r="X906" s="127" t="str">
        <f t="shared" si="4"/>
        <v/>
      </c>
      <c r="Y906" s="127" t="str">
        <f t="shared" si="5"/>
        <v/>
      </c>
    </row>
    <row r="907">
      <c r="A907" s="127"/>
      <c r="B907" s="127" t="str">
        <f>IF(A907="","",VLOOKUP(A907,'BASE OS'!$A$2:$I1000,2,FALSE))</f>
        <v/>
      </c>
      <c r="C907" s="132"/>
      <c r="D907" s="127"/>
      <c r="E907" s="127"/>
      <c r="F907" s="127"/>
      <c r="G907" s="127"/>
      <c r="H907" s="130"/>
      <c r="I907" s="130"/>
      <c r="J907" s="130">
        <f t="shared" si="1"/>
        <v>0</v>
      </c>
      <c r="K907" s="130"/>
      <c r="L907" s="130"/>
      <c r="M907" s="130">
        <f t="shared" si="2"/>
        <v>0</v>
      </c>
      <c r="N907" s="130"/>
      <c r="O907" s="130"/>
      <c r="P907" s="127"/>
      <c r="Q907" s="127"/>
      <c r="R907" s="127"/>
      <c r="S907" s="127"/>
      <c r="T907" s="127" t="str">
        <f>IF(A907="","",VLOOKUP(A907,'BASE OS'!$A$2:$I1000,4,FALSE))</f>
        <v/>
      </c>
      <c r="U907" s="127"/>
      <c r="V907" s="127"/>
      <c r="W907" s="127" t="str">
        <f t="shared" si="3"/>
        <v/>
      </c>
      <c r="X907" s="127" t="str">
        <f t="shared" si="4"/>
        <v/>
      </c>
      <c r="Y907" s="127" t="str">
        <f t="shared" si="5"/>
        <v/>
      </c>
    </row>
    <row r="908">
      <c r="A908" s="127"/>
      <c r="B908" s="127" t="str">
        <f>IF(A908="","",VLOOKUP(A908,'BASE OS'!$A$2:$I1000,2,FALSE))</f>
        <v/>
      </c>
      <c r="C908" s="132"/>
      <c r="D908" s="127"/>
      <c r="E908" s="127"/>
      <c r="F908" s="127"/>
      <c r="G908" s="127"/>
      <c r="H908" s="130"/>
      <c r="I908" s="130"/>
      <c r="J908" s="130">
        <f t="shared" si="1"/>
        <v>0</v>
      </c>
      <c r="K908" s="130"/>
      <c r="L908" s="130"/>
      <c r="M908" s="130">
        <f t="shared" si="2"/>
        <v>0</v>
      </c>
      <c r="N908" s="130"/>
      <c r="O908" s="130"/>
      <c r="P908" s="127"/>
      <c r="Q908" s="127"/>
      <c r="R908" s="127"/>
      <c r="S908" s="127"/>
      <c r="T908" s="127" t="str">
        <f>IF(A908="","",VLOOKUP(A908,'BASE OS'!$A$2:$I1000,4,FALSE))</f>
        <v/>
      </c>
      <c r="U908" s="127"/>
      <c r="V908" s="127"/>
      <c r="W908" s="127" t="str">
        <f t="shared" si="3"/>
        <v/>
      </c>
      <c r="X908" s="127" t="str">
        <f t="shared" si="4"/>
        <v/>
      </c>
      <c r="Y908" s="127" t="str">
        <f t="shared" si="5"/>
        <v/>
      </c>
    </row>
    <row r="909">
      <c r="A909" s="127"/>
      <c r="B909" s="127" t="str">
        <f>IF(A909="","",VLOOKUP(A909,'BASE OS'!$A$2:$I1000,2,FALSE))</f>
        <v/>
      </c>
      <c r="C909" s="132"/>
      <c r="D909" s="127"/>
      <c r="E909" s="127"/>
      <c r="F909" s="127"/>
      <c r="G909" s="127"/>
      <c r="H909" s="130"/>
      <c r="I909" s="130"/>
      <c r="J909" s="130">
        <f t="shared" si="1"/>
        <v>0</v>
      </c>
      <c r="K909" s="130"/>
      <c r="L909" s="130"/>
      <c r="M909" s="130">
        <f t="shared" si="2"/>
        <v>0</v>
      </c>
      <c r="N909" s="130"/>
      <c r="O909" s="130"/>
      <c r="P909" s="127"/>
      <c r="Q909" s="127"/>
      <c r="R909" s="127"/>
      <c r="S909" s="127"/>
      <c r="T909" s="127" t="str">
        <f>IF(A909="","",VLOOKUP(A909,'BASE OS'!$A$2:$I1000,4,FALSE))</f>
        <v/>
      </c>
      <c r="U909" s="127"/>
      <c r="V909" s="127"/>
      <c r="W909" s="127" t="str">
        <f t="shared" si="3"/>
        <v/>
      </c>
      <c r="X909" s="127" t="str">
        <f t="shared" si="4"/>
        <v/>
      </c>
      <c r="Y909" s="127" t="str">
        <f t="shared" si="5"/>
        <v/>
      </c>
    </row>
    <row r="910">
      <c r="A910" s="127"/>
      <c r="B910" s="127" t="str">
        <f>IF(A910="","",VLOOKUP(A910,'BASE OS'!$A$2:$I1000,2,FALSE))</f>
        <v/>
      </c>
      <c r="C910" s="132"/>
      <c r="D910" s="127"/>
      <c r="E910" s="127"/>
      <c r="F910" s="127"/>
      <c r="G910" s="127"/>
      <c r="H910" s="130"/>
      <c r="I910" s="130"/>
      <c r="J910" s="130">
        <f t="shared" si="1"/>
        <v>0</v>
      </c>
      <c r="K910" s="130"/>
      <c r="L910" s="130"/>
      <c r="M910" s="130">
        <f t="shared" si="2"/>
        <v>0</v>
      </c>
      <c r="N910" s="130"/>
      <c r="O910" s="130"/>
      <c r="P910" s="127"/>
      <c r="Q910" s="127"/>
      <c r="R910" s="127"/>
      <c r="S910" s="127"/>
      <c r="T910" s="127" t="str">
        <f>IF(A910="","",VLOOKUP(A910,'BASE OS'!$A$2:$I1000,4,FALSE))</f>
        <v/>
      </c>
      <c r="U910" s="127"/>
      <c r="V910" s="127"/>
      <c r="W910" s="127" t="str">
        <f t="shared" si="3"/>
        <v/>
      </c>
      <c r="X910" s="127" t="str">
        <f t="shared" si="4"/>
        <v/>
      </c>
      <c r="Y910" s="127" t="str">
        <f t="shared" si="5"/>
        <v/>
      </c>
    </row>
    <row r="911">
      <c r="A911" s="127"/>
      <c r="B911" s="127" t="str">
        <f>IF(A911="","",VLOOKUP(A911,'BASE OS'!$A$2:$I1000,2,FALSE))</f>
        <v/>
      </c>
      <c r="C911" s="132"/>
      <c r="D911" s="127"/>
      <c r="E911" s="127"/>
      <c r="F911" s="127"/>
      <c r="G911" s="127"/>
      <c r="H911" s="130"/>
      <c r="I911" s="130"/>
      <c r="J911" s="130">
        <f t="shared" si="1"/>
        <v>0</v>
      </c>
      <c r="K911" s="130"/>
      <c r="L911" s="130"/>
      <c r="M911" s="130">
        <f t="shared" si="2"/>
        <v>0</v>
      </c>
      <c r="N911" s="130"/>
      <c r="O911" s="130"/>
      <c r="P911" s="127"/>
      <c r="Q911" s="127"/>
      <c r="R911" s="127"/>
      <c r="S911" s="127"/>
      <c r="T911" s="127" t="str">
        <f>IF(A911="","",VLOOKUP(A911,'BASE OS'!$A$2:$I1000,4,FALSE))</f>
        <v/>
      </c>
      <c r="U911" s="127"/>
      <c r="V911" s="127"/>
      <c r="W911" s="127" t="str">
        <f t="shared" si="3"/>
        <v/>
      </c>
      <c r="X911" s="127" t="str">
        <f t="shared" si="4"/>
        <v/>
      </c>
      <c r="Y911" s="127" t="str">
        <f t="shared" si="5"/>
        <v/>
      </c>
    </row>
    <row r="912">
      <c r="A912" s="127"/>
      <c r="B912" s="127" t="str">
        <f>IF(A912="","",VLOOKUP(A912,'BASE OS'!$A$2:$I1000,2,FALSE))</f>
        <v/>
      </c>
      <c r="C912" s="132"/>
      <c r="D912" s="127"/>
      <c r="E912" s="127"/>
      <c r="F912" s="127"/>
      <c r="G912" s="127"/>
      <c r="H912" s="130"/>
      <c r="I912" s="130"/>
      <c r="J912" s="130">
        <f t="shared" si="1"/>
        <v>0</v>
      </c>
      <c r="K912" s="130"/>
      <c r="L912" s="130"/>
      <c r="M912" s="130">
        <f t="shared" si="2"/>
        <v>0</v>
      </c>
      <c r="N912" s="130"/>
      <c r="O912" s="130"/>
      <c r="P912" s="127"/>
      <c r="Q912" s="127"/>
      <c r="R912" s="127"/>
      <c r="S912" s="127"/>
      <c r="T912" s="127" t="str">
        <f>IF(A912="","",VLOOKUP(A912,'BASE OS'!$A$2:$I1000,4,FALSE))</f>
        <v/>
      </c>
      <c r="U912" s="127"/>
      <c r="V912" s="127"/>
      <c r="W912" s="127" t="str">
        <f t="shared" si="3"/>
        <v/>
      </c>
      <c r="X912" s="127" t="str">
        <f t="shared" si="4"/>
        <v/>
      </c>
      <c r="Y912" s="127" t="str">
        <f t="shared" si="5"/>
        <v/>
      </c>
    </row>
    <row r="913">
      <c r="A913" s="127"/>
      <c r="B913" s="127" t="str">
        <f>IF(A913="","",VLOOKUP(A913,'BASE OS'!$A$2:$I1000,2,FALSE))</f>
        <v/>
      </c>
      <c r="C913" s="132"/>
      <c r="D913" s="127"/>
      <c r="E913" s="127"/>
      <c r="F913" s="127"/>
      <c r="G913" s="127"/>
      <c r="H913" s="130"/>
      <c r="I913" s="130"/>
      <c r="J913" s="130">
        <f t="shared" si="1"/>
        <v>0</v>
      </c>
      <c r="K913" s="130"/>
      <c r="L913" s="130"/>
      <c r="M913" s="130">
        <f t="shared" si="2"/>
        <v>0</v>
      </c>
      <c r="N913" s="130"/>
      <c r="O913" s="130"/>
      <c r="P913" s="127"/>
      <c r="Q913" s="127"/>
      <c r="R913" s="127"/>
      <c r="S913" s="127"/>
      <c r="T913" s="127" t="str">
        <f>IF(A913="","",VLOOKUP(A913,'BASE OS'!$A$2:$I1000,4,FALSE))</f>
        <v/>
      </c>
      <c r="U913" s="127"/>
      <c r="V913" s="127"/>
      <c r="W913" s="127" t="str">
        <f t="shared" si="3"/>
        <v/>
      </c>
      <c r="X913" s="127" t="str">
        <f t="shared" si="4"/>
        <v/>
      </c>
      <c r="Y913" s="127" t="str">
        <f t="shared" si="5"/>
        <v/>
      </c>
    </row>
    <row r="914">
      <c r="A914" s="127"/>
      <c r="B914" s="127" t="str">
        <f>IF(A914="","",VLOOKUP(A914,'BASE OS'!$A$2:$I1000,2,FALSE))</f>
        <v/>
      </c>
      <c r="C914" s="132"/>
      <c r="D914" s="127"/>
      <c r="E914" s="127"/>
      <c r="F914" s="127"/>
      <c r="G914" s="127"/>
      <c r="H914" s="130"/>
      <c r="I914" s="130"/>
      <c r="J914" s="130">
        <f t="shared" si="1"/>
        <v>0</v>
      </c>
      <c r="K914" s="130"/>
      <c r="L914" s="130"/>
      <c r="M914" s="130">
        <f t="shared" si="2"/>
        <v>0</v>
      </c>
      <c r="N914" s="130"/>
      <c r="O914" s="130"/>
      <c r="P914" s="127"/>
      <c r="Q914" s="127"/>
      <c r="R914" s="127"/>
      <c r="S914" s="127"/>
      <c r="T914" s="127" t="str">
        <f>IF(A914="","",VLOOKUP(A914,'BASE OS'!$A$2:$I1000,4,FALSE))</f>
        <v/>
      </c>
      <c r="U914" s="127"/>
      <c r="V914" s="127"/>
      <c r="W914" s="127" t="str">
        <f t="shared" si="3"/>
        <v/>
      </c>
      <c r="X914" s="127" t="str">
        <f t="shared" si="4"/>
        <v/>
      </c>
      <c r="Y914" s="127" t="str">
        <f t="shared" si="5"/>
        <v/>
      </c>
    </row>
    <row r="915">
      <c r="A915" s="127"/>
      <c r="B915" s="127" t="str">
        <f>IF(A915="","",VLOOKUP(A915,'BASE OS'!$A$2:$I1000,2,FALSE))</f>
        <v/>
      </c>
      <c r="C915" s="132"/>
      <c r="D915" s="127"/>
      <c r="E915" s="127"/>
      <c r="F915" s="127"/>
      <c r="G915" s="127"/>
      <c r="H915" s="130"/>
      <c r="I915" s="130"/>
      <c r="J915" s="130">
        <f t="shared" si="1"/>
        <v>0</v>
      </c>
      <c r="K915" s="130"/>
      <c r="L915" s="130"/>
      <c r="M915" s="130">
        <f t="shared" si="2"/>
        <v>0</v>
      </c>
      <c r="N915" s="130"/>
      <c r="O915" s="130"/>
      <c r="P915" s="127"/>
      <c r="Q915" s="127"/>
      <c r="R915" s="127"/>
      <c r="S915" s="127"/>
      <c r="T915" s="127" t="str">
        <f>IF(A915="","",VLOOKUP(A915,'BASE OS'!$A$2:$I1000,4,FALSE))</f>
        <v/>
      </c>
      <c r="U915" s="127"/>
      <c r="V915" s="127"/>
      <c r="W915" s="127" t="str">
        <f t="shared" si="3"/>
        <v/>
      </c>
      <c r="X915" s="127" t="str">
        <f t="shared" si="4"/>
        <v/>
      </c>
      <c r="Y915" s="127" t="str">
        <f t="shared" si="5"/>
        <v/>
      </c>
    </row>
    <row r="916">
      <c r="A916" s="127"/>
      <c r="B916" s="127" t="str">
        <f>IF(A916="","",VLOOKUP(A916,'BASE OS'!$A$2:$I1000,2,FALSE))</f>
        <v/>
      </c>
      <c r="C916" s="132"/>
      <c r="D916" s="127"/>
      <c r="E916" s="127"/>
      <c r="F916" s="127"/>
      <c r="G916" s="127"/>
      <c r="H916" s="130"/>
      <c r="I916" s="130"/>
      <c r="J916" s="130">
        <f t="shared" si="1"/>
        <v>0</v>
      </c>
      <c r="K916" s="130"/>
      <c r="L916" s="130"/>
      <c r="M916" s="130">
        <f t="shared" si="2"/>
        <v>0</v>
      </c>
      <c r="N916" s="130"/>
      <c r="O916" s="130"/>
      <c r="P916" s="127"/>
      <c r="Q916" s="127"/>
      <c r="R916" s="127"/>
      <c r="S916" s="127"/>
      <c r="T916" s="127" t="str">
        <f>IF(A916="","",VLOOKUP(A916,'BASE OS'!$A$2:$I1000,4,FALSE))</f>
        <v/>
      </c>
      <c r="U916" s="127"/>
      <c r="V916" s="127"/>
      <c r="W916" s="127" t="str">
        <f t="shared" si="3"/>
        <v/>
      </c>
      <c r="X916" s="127" t="str">
        <f t="shared" si="4"/>
        <v/>
      </c>
      <c r="Y916" s="127" t="str">
        <f t="shared" si="5"/>
        <v/>
      </c>
    </row>
    <row r="917">
      <c r="A917" s="127"/>
      <c r="B917" s="127" t="str">
        <f>IF(A917="","",VLOOKUP(A917,'BASE OS'!$A$2:$I1000,2,FALSE))</f>
        <v/>
      </c>
      <c r="C917" s="132"/>
      <c r="D917" s="127"/>
      <c r="E917" s="127"/>
      <c r="F917" s="127"/>
      <c r="G917" s="127"/>
      <c r="H917" s="130"/>
      <c r="I917" s="130"/>
      <c r="J917" s="130">
        <f t="shared" si="1"/>
        <v>0</v>
      </c>
      <c r="K917" s="130"/>
      <c r="L917" s="130"/>
      <c r="M917" s="130">
        <f t="shared" si="2"/>
        <v>0</v>
      </c>
      <c r="N917" s="130"/>
      <c r="O917" s="130"/>
      <c r="P917" s="127"/>
      <c r="Q917" s="127"/>
      <c r="R917" s="127"/>
      <c r="S917" s="127"/>
      <c r="T917" s="127" t="str">
        <f>IF(A917="","",VLOOKUP(A917,'BASE OS'!$A$2:$I1000,4,FALSE))</f>
        <v/>
      </c>
      <c r="U917" s="127"/>
      <c r="V917" s="127"/>
      <c r="W917" s="127" t="str">
        <f t="shared" si="3"/>
        <v/>
      </c>
      <c r="X917" s="127" t="str">
        <f t="shared" si="4"/>
        <v/>
      </c>
      <c r="Y917" s="127" t="str">
        <f t="shared" si="5"/>
        <v/>
      </c>
    </row>
    <row r="918">
      <c r="A918" s="127"/>
      <c r="B918" s="127" t="str">
        <f>IF(A918="","",VLOOKUP(A918,'BASE OS'!$A$2:$I1000,2,FALSE))</f>
        <v/>
      </c>
      <c r="C918" s="132"/>
      <c r="D918" s="127"/>
      <c r="E918" s="127"/>
      <c r="F918" s="127"/>
      <c r="G918" s="127"/>
      <c r="H918" s="130"/>
      <c r="I918" s="130"/>
      <c r="J918" s="130">
        <f t="shared" si="1"/>
        <v>0</v>
      </c>
      <c r="K918" s="130"/>
      <c r="L918" s="130"/>
      <c r="M918" s="130">
        <f t="shared" si="2"/>
        <v>0</v>
      </c>
      <c r="N918" s="130"/>
      <c r="O918" s="130"/>
      <c r="P918" s="127"/>
      <c r="Q918" s="127"/>
      <c r="R918" s="127"/>
      <c r="S918" s="127"/>
      <c r="T918" s="127" t="str">
        <f>IF(A918="","",VLOOKUP(A918,'BASE OS'!$A$2:$I1000,4,FALSE))</f>
        <v/>
      </c>
      <c r="U918" s="127"/>
      <c r="V918" s="127"/>
      <c r="W918" s="127" t="str">
        <f t="shared" si="3"/>
        <v/>
      </c>
      <c r="X918" s="127" t="str">
        <f t="shared" si="4"/>
        <v/>
      </c>
      <c r="Y918" s="127" t="str">
        <f t="shared" si="5"/>
        <v/>
      </c>
    </row>
    <row r="919">
      <c r="A919" s="127"/>
      <c r="B919" s="127" t="str">
        <f>IF(A919="","",VLOOKUP(A919,'BASE OS'!$A$2:$I1000,2,FALSE))</f>
        <v/>
      </c>
      <c r="C919" s="132"/>
      <c r="D919" s="127"/>
      <c r="E919" s="127"/>
      <c r="F919" s="127"/>
      <c r="G919" s="127"/>
      <c r="H919" s="130"/>
      <c r="I919" s="130"/>
      <c r="J919" s="130">
        <f t="shared" si="1"/>
        <v>0</v>
      </c>
      <c r="K919" s="130"/>
      <c r="L919" s="130"/>
      <c r="M919" s="130">
        <f t="shared" si="2"/>
        <v>0</v>
      </c>
      <c r="N919" s="130"/>
      <c r="O919" s="130"/>
      <c r="P919" s="127"/>
      <c r="Q919" s="127"/>
      <c r="R919" s="127"/>
      <c r="S919" s="127"/>
      <c r="T919" s="127" t="str">
        <f>IF(A919="","",VLOOKUP(A919,'BASE OS'!$A$2:$I1000,4,FALSE))</f>
        <v/>
      </c>
      <c r="U919" s="127"/>
      <c r="V919" s="127"/>
      <c r="W919" s="127" t="str">
        <f t="shared" si="3"/>
        <v/>
      </c>
      <c r="X919" s="127" t="str">
        <f t="shared" si="4"/>
        <v/>
      </c>
      <c r="Y919" s="127" t="str">
        <f t="shared" si="5"/>
        <v/>
      </c>
    </row>
    <row r="920">
      <c r="A920" s="127"/>
      <c r="B920" s="127" t="str">
        <f>IF(A920="","",VLOOKUP(A920,'BASE OS'!$A$2:$I1000,2,FALSE))</f>
        <v/>
      </c>
      <c r="C920" s="132"/>
      <c r="D920" s="127"/>
      <c r="E920" s="127"/>
      <c r="F920" s="127"/>
      <c r="G920" s="127"/>
      <c r="H920" s="130"/>
      <c r="I920" s="130"/>
      <c r="J920" s="130">
        <f t="shared" si="1"/>
        <v>0</v>
      </c>
      <c r="K920" s="130"/>
      <c r="L920" s="130"/>
      <c r="M920" s="130">
        <f t="shared" si="2"/>
        <v>0</v>
      </c>
      <c r="N920" s="130"/>
      <c r="O920" s="130"/>
      <c r="P920" s="127"/>
      <c r="Q920" s="127"/>
      <c r="R920" s="127"/>
      <c r="S920" s="127"/>
      <c r="T920" s="127" t="str">
        <f>IF(A920="","",VLOOKUP(A920,'BASE OS'!$A$2:$I1000,4,FALSE))</f>
        <v/>
      </c>
      <c r="U920" s="127"/>
      <c r="V920" s="127"/>
      <c r="W920" s="127" t="str">
        <f t="shared" si="3"/>
        <v/>
      </c>
      <c r="X920" s="127" t="str">
        <f t="shared" si="4"/>
        <v/>
      </c>
      <c r="Y920" s="127" t="str">
        <f t="shared" si="5"/>
        <v/>
      </c>
    </row>
    <row r="921">
      <c r="A921" s="127"/>
      <c r="B921" s="127" t="str">
        <f>IF(A921="","",VLOOKUP(A921,'BASE OS'!$A$2:$I1000,2,FALSE))</f>
        <v/>
      </c>
      <c r="C921" s="132"/>
      <c r="D921" s="127"/>
      <c r="E921" s="127"/>
      <c r="F921" s="127"/>
      <c r="G921" s="127"/>
      <c r="H921" s="130"/>
      <c r="I921" s="130"/>
      <c r="J921" s="130">
        <f t="shared" si="1"/>
        <v>0</v>
      </c>
      <c r="K921" s="130"/>
      <c r="L921" s="130"/>
      <c r="M921" s="130">
        <f t="shared" si="2"/>
        <v>0</v>
      </c>
      <c r="N921" s="130"/>
      <c r="O921" s="130"/>
      <c r="P921" s="127"/>
      <c r="Q921" s="127"/>
      <c r="R921" s="127"/>
      <c r="S921" s="127"/>
      <c r="T921" s="127" t="str">
        <f>IF(A921="","",VLOOKUP(A921,'BASE OS'!$A$2:$I1000,4,FALSE))</f>
        <v/>
      </c>
      <c r="U921" s="127"/>
      <c r="V921" s="127"/>
      <c r="W921" s="127" t="str">
        <f t="shared" si="3"/>
        <v/>
      </c>
      <c r="X921" s="127" t="str">
        <f t="shared" si="4"/>
        <v/>
      </c>
      <c r="Y921" s="127" t="str">
        <f t="shared" si="5"/>
        <v/>
      </c>
    </row>
    <row r="922">
      <c r="A922" s="127"/>
      <c r="B922" s="127" t="str">
        <f>IF(A922="","",VLOOKUP(A922,'BASE OS'!$A$2:$I1000,2,FALSE))</f>
        <v/>
      </c>
      <c r="C922" s="132"/>
      <c r="D922" s="127"/>
      <c r="E922" s="127"/>
      <c r="F922" s="127"/>
      <c r="G922" s="127"/>
      <c r="H922" s="130"/>
      <c r="I922" s="130"/>
      <c r="J922" s="130">
        <f t="shared" si="1"/>
        <v>0</v>
      </c>
      <c r="K922" s="130"/>
      <c r="L922" s="130"/>
      <c r="M922" s="130">
        <f t="shared" si="2"/>
        <v>0</v>
      </c>
      <c r="N922" s="130"/>
      <c r="O922" s="130"/>
      <c r="P922" s="127"/>
      <c r="Q922" s="127"/>
      <c r="R922" s="127"/>
      <c r="S922" s="127"/>
      <c r="T922" s="127" t="str">
        <f>IF(A922="","",VLOOKUP(A922,'BASE OS'!$A$2:$I1000,4,FALSE))</f>
        <v/>
      </c>
      <c r="U922" s="127"/>
      <c r="V922" s="127"/>
      <c r="W922" s="127" t="str">
        <f t="shared" si="3"/>
        <v/>
      </c>
      <c r="X922" s="127" t="str">
        <f t="shared" si="4"/>
        <v/>
      </c>
      <c r="Y922" s="127" t="str">
        <f t="shared" si="5"/>
        <v/>
      </c>
    </row>
    <row r="923">
      <c r="A923" s="127"/>
      <c r="B923" s="127" t="str">
        <f>IF(A923="","",VLOOKUP(A923,'BASE OS'!$A$2:$I1000,2,FALSE))</f>
        <v/>
      </c>
      <c r="C923" s="132"/>
      <c r="D923" s="127"/>
      <c r="E923" s="127"/>
      <c r="F923" s="127"/>
      <c r="G923" s="127"/>
      <c r="H923" s="130"/>
      <c r="I923" s="130"/>
      <c r="J923" s="130">
        <f t="shared" si="1"/>
        <v>0</v>
      </c>
      <c r="K923" s="130"/>
      <c r="L923" s="130"/>
      <c r="M923" s="130">
        <f t="shared" si="2"/>
        <v>0</v>
      </c>
      <c r="N923" s="130"/>
      <c r="O923" s="130"/>
      <c r="P923" s="127"/>
      <c r="Q923" s="127"/>
      <c r="R923" s="127"/>
      <c r="S923" s="127"/>
      <c r="T923" s="127" t="str">
        <f>IF(A923="","",VLOOKUP(A923,'BASE OS'!$A$2:$I1000,4,FALSE))</f>
        <v/>
      </c>
      <c r="U923" s="127"/>
      <c r="V923" s="127"/>
      <c r="W923" s="127" t="str">
        <f t="shared" si="3"/>
        <v/>
      </c>
      <c r="X923" s="127" t="str">
        <f t="shared" si="4"/>
        <v/>
      </c>
      <c r="Y923" s="127" t="str">
        <f t="shared" si="5"/>
        <v/>
      </c>
    </row>
    <row r="924">
      <c r="A924" s="127"/>
      <c r="B924" s="127" t="str">
        <f>IF(A924="","",VLOOKUP(A924,'BASE OS'!$A$2:$I1000,2,FALSE))</f>
        <v/>
      </c>
      <c r="C924" s="132"/>
      <c r="D924" s="127"/>
      <c r="E924" s="127"/>
      <c r="F924" s="127"/>
      <c r="G924" s="127"/>
      <c r="H924" s="130"/>
      <c r="I924" s="130"/>
      <c r="J924" s="130">
        <f t="shared" si="1"/>
        <v>0</v>
      </c>
      <c r="K924" s="130"/>
      <c r="L924" s="130"/>
      <c r="M924" s="130">
        <f t="shared" si="2"/>
        <v>0</v>
      </c>
      <c r="N924" s="130"/>
      <c r="O924" s="130"/>
      <c r="P924" s="127"/>
      <c r="Q924" s="127"/>
      <c r="R924" s="127"/>
      <c r="S924" s="127"/>
      <c r="T924" s="127" t="str">
        <f>IF(A924="","",VLOOKUP(A924,'BASE OS'!$A$2:$I1000,4,FALSE))</f>
        <v/>
      </c>
      <c r="U924" s="127"/>
      <c r="V924" s="127"/>
      <c r="W924" s="127" t="str">
        <f t="shared" si="3"/>
        <v/>
      </c>
      <c r="X924" s="127" t="str">
        <f t="shared" si="4"/>
        <v/>
      </c>
      <c r="Y924" s="127" t="str">
        <f t="shared" si="5"/>
        <v/>
      </c>
    </row>
    <row r="925">
      <c r="A925" s="127"/>
      <c r="B925" s="127" t="str">
        <f>IF(A925="","",VLOOKUP(A925,'BASE OS'!$A$2:$I1000,2,FALSE))</f>
        <v/>
      </c>
      <c r="C925" s="132"/>
      <c r="D925" s="127"/>
      <c r="E925" s="127"/>
      <c r="F925" s="127"/>
      <c r="G925" s="127"/>
      <c r="H925" s="130"/>
      <c r="I925" s="130"/>
      <c r="J925" s="130">
        <f t="shared" si="1"/>
        <v>0</v>
      </c>
      <c r="K925" s="130"/>
      <c r="L925" s="130"/>
      <c r="M925" s="130">
        <f t="shared" si="2"/>
        <v>0</v>
      </c>
      <c r="N925" s="130"/>
      <c r="O925" s="130"/>
      <c r="P925" s="127"/>
      <c r="Q925" s="127"/>
      <c r="R925" s="127"/>
      <c r="S925" s="127"/>
      <c r="T925" s="127" t="str">
        <f>IF(A925="","",VLOOKUP(A925,'BASE OS'!$A$2:$I1000,4,FALSE))</f>
        <v/>
      </c>
      <c r="U925" s="127"/>
      <c r="V925" s="127"/>
      <c r="W925" s="127" t="str">
        <f t="shared" si="3"/>
        <v/>
      </c>
      <c r="X925" s="127" t="str">
        <f t="shared" si="4"/>
        <v/>
      </c>
      <c r="Y925" s="127" t="str">
        <f t="shared" si="5"/>
        <v/>
      </c>
    </row>
    <row r="926">
      <c r="A926" s="127"/>
      <c r="B926" s="127" t="str">
        <f>IF(A926="","",VLOOKUP(A926,'BASE OS'!$A$2:$I1000,2,FALSE))</f>
        <v/>
      </c>
      <c r="C926" s="132"/>
      <c r="D926" s="127"/>
      <c r="E926" s="127"/>
      <c r="F926" s="127"/>
      <c r="G926" s="127"/>
      <c r="H926" s="130"/>
      <c r="I926" s="130"/>
      <c r="J926" s="130">
        <f t="shared" si="1"/>
        <v>0</v>
      </c>
      <c r="K926" s="130"/>
      <c r="L926" s="130"/>
      <c r="M926" s="130">
        <f t="shared" si="2"/>
        <v>0</v>
      </c>
      <c r="N926" s="130"/>
      <c r="O926" s="130"/>
      <c r="P926" s="127"/>
      <c r="Q926" s="127"/>
      <c r="R926" s="127"/>
      <c r="S926" s="127"/>
      <c r="T926" s="127" t="str">
        <f>IF(A926="","",VLOOKUP(A926,'BASE OS'!$A$2:$I1000,4,FALSE))</f>
        <v/>
      </c>
      <c r="U926" s="127"/>
      <c r="V926" s="127"/>
      <c r="W926" s="127" t="str">
        <f t="shared" si="3"/>
        <v/>
      </c>
      <c r="X926" s="127" t="str">
        <f t="shared" si="4"/>
        <v/>
      </c>
      <c r="Y926" s="127" t="str">
        <f t="shared" si="5"/>
        <v/>
      </c>
    </row>
    <row r="927">
      <c r="A927" s="127"/>
      <c r="B927" s="127" t="str">
        <f>IF(A927="","",VLOOKUP(A927,'BASE OS'!$A$2:$I1000,2,FALSE))</f>
        <v/>
      </c>
      <c r="C927" s="132"/>
      <c r="D927" s="127"/>
      <c r="E927" s="127"/>
      <c r="F927" s="127"/>
      <c r="G927" s="127"/>
      <c r="H927" s="130"/>
      <c r="I927" s="130"/>
      <c r="J927" s="130">
        <f t="shared" si="1"/>
        <v>0</v>
      </c>
      <c r="K927" s="130"/>
      <c r="L927" s="130"/>
      <c r="M927" s="130">
        <f t="shared" si="2"/>
        <v>0</v>
      </c>
      <c r="N927" s="130"/>
      <c r="O927" s="130"/>
      <c r="P927" s="127"/>
      <c r="Q927" s="127"/>
      <c r="R927" s="127"/>
      <c r="S927" s="127"/>
      <c r="T927" s="127" t="str">
        <f>IF(A927="","",VLOOKUP(A927,'BASE OS'!$A$2:$I1000,4,FALSE))</f>
        <v/>
      </c>
      <c r="U927" s="127"/>
      <c r="V927" s="127"/>
      <c r="W927" s="127" t="str">
        <f t="shared" si="3"/>
        <v/>
      </c>
      <c r="X927" s="127" t="str">
        <f t="shared" si="4"/>
        <v/>
      </c>
      <c r="Y927" s="127" t="str">
        <f t="shared" si="5"/>
        <v/>
      </c>
    </row>
    <row r="928">
      <c r="A928" s="127"/>
      <c r="B928" s="127" t="str">
        <f>IF(A928="","",VLOOKUP(A928,'BASE OS'!$A$2:$I1000,2,FALSE))</f>
        <v/>
      </c>
      <c r="C928" s="132"/>
      <c r="D928" s="127"/>
      <c r="E928" s="127"/>
      <c r="F928" s="127"/>
      <c r="G928" s="127"/>
      <c r="H928" s="130"/>
      <c r="I928" s="130"/>
      <c r="J928" s="130">
        <f t="shared" si="1"/>
        <v>0</v>
      </c>
      <c r="K928" s="130"/>
      <c r="L928" s="130"/>
      <c r="M928" s="130">
        <f t="shared" si="2"/>
        <v>0</v>
      </c>
      <c r="N928" s="130"/>
      <c r="O928" s="130"/>
      <c r="P928" s="127"/>
      <c r="Q928" s="127"/>
      <c r="R928" s="127"/>
      <c r="S928" s="127"/>
      <c r="T928" s="127" t="str">
        <f>IF(A928="","",VLOOKUP(A928,'BASE OS'!$A$2:$I1000,4,FALSE))</f>
        <v/>
      </c>
      <c r="U928" s="127"/>
      <c r="V928" s="127"/>
      <c r="W928" s="127" t="str">
        <f t="shared" si="3"/>
        <v/>
      </c>
      <c r="X928" s="127" t="str">
        <f t="shared" si="4"/>
        <v/>
      </c>
      <c r="Y928" s="127" t="str">
        <f t="shared" si="5"/>
        <v/>
      </c>
    </row>
    <row r="929">
      <c r="A929" s="127"/>
      <c r="B929" s="127" t="str">
        <f>IF(A929="","",VLOOKUP(A929,'BASE OS'!$A$2:$I1000,2,FALSE))</f>
        <v/>
      </c>
      <c r="C929" s="132"/>
      <c r="D929" s="127"/>
      <c r="E929" s="127"/>
      <c r="F929" s="127"/>
      <c r="G929" s="127"/>
      <c r="H929" s="130"/>
      <c r="I929" s="130"/>
      <c r="J929" s="130">
        <f t="shared" si="1"/>
        <v>0</v>
      </c>
      <c r="K929" s="130"/>
      <c r="L929" s="130"/>
      <c r="M929" s="130">
        <f t="shared" si="2"/>
        <v>0</v>
      </c>
      <c r="N929" s="130"/>
      <c r="O929" s="130"/>
      <c r="P929" s="127"/>
      <c r="Q929" s="127"/>
      <c r="R929" s="127"/>
      <c r="S929" s="127"/>
      <c r="T929" s="127" t="str">
        <f>IF(A929="","",VLOOKUP(A929,'BASE OS'!$A$2:$I1000,4,FALSE))</f>
        <v/>
      </c>
      <c r="U929" s="127"/>
      <c r="V929" s="127"/>
      <c r="W929" s="127" t="str">
        <f t="shared" si="3"/>
        <v/>
      </c>
      <c r="X929" s="127" t="str">
        <f t="shared" si="4"/>
        <v/>
      </c>
      <c r="Y929" s="127" t="str">
        <f t="shared" si="5"/>
        <v/>
      </c>
    </row>
    <row r="930">
      <c r="A930" s="127"/>
      <c r="B930" s="127" t="str">
        <f>IF(A930="","",VLOOKUP(A930,'BASE OS'!$A$2:$I1000,2,FALSE))</f>
        <v/>
      </c>
      <c r="C930" s="132"/>
      <c r="D930" s="127"/>
      <c r="E930" s="127"/>
      <c r="F930" s="127"/>
      <c r="G930" s="127"/>
      <c r="H930" s="130"/>
      <c r="I930" s="130"/>
      <c r="J930" s="130">
        <f t="shared" si="1"/>
        <v>0</v>
      </c>
      <c r="K930" s="130"/>
      <c r="L930" s="130"/>
      <c r="M930" s="130">
        <f t="shared" si="2"/>
        <v>0</v>
      </c>
      <c r="N930" s="130"/>
      <c r="O930" s="130"/>
      <c r="P930" s="127"/>
      <c r="Q930" s="127"/>
      <c r="R930" s="127"/>
      <c r="S930" s="127"/>
      <c r="T930" s="127" t="str">
        <f>IF(A930="","",VLOOKUP(A930,'BASE OS'!$A$2:$I1000,4,FALSE))</f>
        <v/>
      </c>
      <c r="U930" s="127"/>
      <c r="V930" s="127"/>
      <c r="W930" s="127" t="str">
        <f t="shared" si="3"/>
        <v/>
      </c>
      <c r="X930" s="127" t="str">
        <f t="shared" si="4"/>
        <v/>
      </c>
      <c r="Y930" s="127" t="str">
        <f t="shared" si="5"/>
        <v/>
      </c>
    </row>
    <row r="931">
      <c r="A931" s="127"/>
      <c r="B931" s="127" t="str">
        <f>IF(A931="","",VLOOKUP(A931,'BASE OS'!$A$2:$I1000,2,FALSE))</f>
        <v/>
      </c>
      <c r="C931" s="132"/>
      <c r="D931" s="127"/>
      <c r="E931" s="127"/>
      <c r="F931" s="127"/>
      <c r="G931" s="127"/>
      <c r="H931" s="130"/>
      <c r="I931" s="130"/>
      <c r="J931" s="130">
        <f t="shared" si="1"/>
        <v>0</v>
      </c>
      <c r="K931" s="130"/>
      <c r="L931" s="130"/>
      <c r="M931" s="130">
        <f t="shared" si="2"/>
        <v>0</v>
      </c>
      <c r="N931" s="130"/>
      <c r="O931" s="130"/>
      <c r="P931" s="127"/>
      <c r="Q931" s="127"/>
      <c r="R931" s="127"/>
      <c r="S931" s="127"/>
      <c r="T931" s="127" t="str">
        <f>IF(A931="","",VLOOKUP(A931,'BASE OS'!$A$2:$I1000,4,FALSE))</f>
        <v/>
      </c>
      <c r="U931" s="127"/>
      <c r="V931" s="127"/>
      <c r="W931" s="127" t="str">
        <f t="shared" si="3"/>
        <v/>
      </c>
      <c r="X931" s="127" t="str">
        <f t="shared" si="4"/>
        <v/>
      </c>
      <c r="Y931" s="127" t="str">
        <f t="shared" si="5"/>
        <v/>
      </c>
    </row>
    <row r="932">
      <c r="A932" s="127"/>
      <c r="B932" s="127" t="str">
        <f>IF(A932="","",VLOOKUP(A932,'BASE OS'!$A$2:$I1000,2,FALSE))</f>
        <v/>
      </c>
      <c r="C932" s="132"/>
      <c r="D932" s="127"/>
      <c r="E932" s="127"/>
      <c r="F932" s="127"/>
      <c r="G932" s="127"/>
      <c r="H932" s="130"/>
      <c r="I932" s="130"/>
      <c r="J932" s="130">
        <f t="shared" si="1"/>
        <v>0</v>
      </c>
      <c r="K932" s="130"/>
      <c r="L932" s="130"/>
      <c r="M932" s="130">
        <f t="shared" si="2"/>
        <v>0</v>
      </c>
      <c r="N932" s="130"/>
      <c r="O932" s="130"/>
      <c r="P932" s="127"/>
      <c r="Q932" s="127"/>
      <c r="R932" s="127"/>
      <c r="S932" s="127"/>
      <c r="T932" s="127" t="str">
        <f>IF(A932="","",VLOOKUP(A932,'BASE OS'!$A$2:$I1000,4,FALSE))</f>
        <v/>
      </c>
      <c r="U932" s="127"/>
      <c r="V932" s="127"/>
      <c r="W932" s="127" t="str">
        <f t="shared" si="3"/>
        <v/>
      </c>
      <c r="X932" s="127" t="str">
        <f t="shared" si="4"/>
        <v/>
      </c>
      <c r="Y932" s="127" t="str">
        <f t="shared" si="5"/>
        <v/>
      </c>
    </row>
    <row r="933">
      <c r="A933" s="127"/>
      <c r="B933" s="127" t="str">
        <f>IF(A933="","",VLOOKUP(A933,'BASE OS'!$A$2:$I1000,2,FALSE))</f>
        <v/>
      </c>
      <c r="C933" s="132"/>
      <c r="D933" s="127"/>
      <c r="E933" s="127"/>
      <c r="F933" s="127"/>
      <c r="G933" s="127"/>
      <c r="H933" s="130"/>
      <c r="I933" s="130"/>
      <c r="J933" s="130">
        <f t="shared" si="1"/>
        <v>0</v>
      </c>
      <c r="K933" s="130"/>
      <c r="L933" s="130"/>
      <c r="M933" s="130">
        <f t="shared" si="2"/>
        <v>0</v>
      </c>
      <c r="N933" s="130"/>
      <c r="O933" s="130"/>
      <c r="P933" s="127"/>
      <c r="Q933" s="127"/>
      <c r="R933" s="127"/>
      <c r="S933" s="127"/>
      <c r="T933" s="127" t="str">
        <f>IF(A933="","",VLOOKUP(A933,'BASE OS'!$A$2:$I1000,4,FALSE))</f>
        <v/>
      </c>
      <c r="U933" s="127"/>
      <c r="V933" s="127"/>
      <c r="W933" s="127" t="str">
        <f t="shared" si="3"/>
        <v/>
      </c>
      <c r="X933" s="127" t="str">
        <f t="shared" si="4"/>
        <v/>
      </c>
      <c r="Y933" s="127" t="str">
        <f t="shared" si="5"/>
        <v/>
      </c>
    </row>
    <row r="934">
      <c r="A934" s="127"/>
      <c r="B934" s="127" t="str">
        <f>IF(A934="","",VLOOKUP(A934,'BASE OS'!$A$2:$I1000,2,FALSE))</f>
        <v/>
      </c>
      <c r="C934" s="132"/>
      <c r="D934" s="127"/>
      <c r="E934" s="127"/>
      <c r="F934" s="127"/>
      <c r="G934" s="127"/>
      <c r="H934" s="130"/>
      <c r="I934" s="130"/>
      <c r="J934" s="130">
        <f t="shared" si="1"/>
        <v>0</v>
      </c>
      <c r="K934" s="130"/>
      <c r="L934" s="130"/>
      <c r="M934" s="130">
        <f t="shared" si="2"/>
        <v>0</v>
      </c>
      <c r="N934" s="130"/>
      <c r="O934" s="130"/>
      <c r="P934" s="127"/>
      <c r="Q934" s="127"/>
      <c r="R934" s="127"/>
      <c r="S934" s="127"/>
      <c r="T934" s="127" t="str">
        <f>IF(A934="","",VLOOKUP(A934,'BASE OS'!$A$2:$I1000,4,FALSE))</f>
        <v/>
      </c>
      <c r="U934" s="127"/>
      <c r="V934" s="127"/>
      <c r="W934" s="127" t="str">
        <f t="shared" si="3"/>
        <v/>
      </c>
      <c r="X934" s="127" t="str">
        <f t="shared" si="4"/>
        <v/>
      </c>
      <c r="Y934" s="127" t="str">
        <f t="shared" si="5"/>
        <v/>
      </c>
    </row>
    <row r="935">
      <c r="A935" s="127"/>
      <c r="B935" s="127" t="str">
        <f>IF(A935="","",VLOOKUP(A935,'BASE OS'!$A$2:$I1000,2,FALSE))</f>
        <v/>
      </c>
      <c r="C935" s="132"/>
      <c r="D935" s="127"/>
      <c r="E935" s="127"/>
      <c r="F935" s="127"/>
      <c r="G935" s="127"/>
      <c r="H935" s="130"/>
      <c r="I935" s="130"/>
      <c r="J935" s="130">
        <f t="shared" si="1"/>
        <v>0</v>
      </c>
      <c r="K935" s="130"/>
      <c r="L935" s="130"/>
      <c r="M935" s="130">
        <f t="shared" si="2"/>
        <v>0</v>
      </c>
      <c r="N935" s="130"/>
      <c r="O935" s="130"/>
      <c r="P935" s="127"/>
      <c r="Q935" s="127"/>
      <c r="R935" s="127"/>
      <c r="S935" s="127"/>
      <c r="T935" s="127" t="str">
        <f>IF(A935="","",VLOOKUP(A935,'BASE OS'!$A$2:$I1000,4,FALSE))</f>
        <v/>
      </c>
      <c r="U935" s="127"/>
      <c r="V935" s="127"/>
      <c r="W935" s="127" t="str">
        <f t="shared" si="3"/>
        <v/>
      </c>
      <c r="X935" s="127" t="str">
        <f t="shared" si="4"/>
        <v/>
      </c>
      <c r="Y935" s="127" t="str">
        <f t="shared" si="5"/>
        <v/>
      </c>
    </row>
    <row r="936">
      <c r="A936" s="127"/>
      <c r="B936" s="127" t="str">
        <f>IF(A936="","",VLOOKUP(A936,'BASE OS'!$A$2:$I1000,2,FALSE))</f>
        <v/>
      </c>
      <c r="C936" s="132"/>
      <c r="D936" s="127"/>
      <c r="E936" s="127"/>
      <c r="F936" s="127"/>
      <c r="G936" s="127"/>
      <c r="H936" s="130"/>
      <c r="I936" s="130"/>
      <c r="J936" s="130">
        <f t="shared" si="1"/>
        <v>0</v>
      </c>
      <c r="K936" s="130"/>
      <c r="L936" s="130"/>
      <c r="M936" s="130">
        <f t="shared" si="2"/>
        <v>0</v>
      </c>
      <c r="N936" s="130"/>
      <c r="O936" s="130"/>
      <c r="P936" s="127"/>
      <c r="Q936" s="127"/>
      <c r="R936" s="127"/>
      <c r="S936" s="127"/>
      <c r="T936" s="127" t="str">
        <f>IF(A936="","",VLOOKUP(A936,'BASE OS'!$A$2:$I1000,4,FALSE))</f>
        <v/>
      </c>
      <c r="U936" s="127"/>
      <c r="V936" s="127"/>
      <c r="W936" s="127" t="str">
        <f t="shared" si="3"/>
        <v/>
      </c>
      <c r="X936" s="127" t="str">
        <f t="shared" si="4"/>
        <v/>
      </c>
      <c r="Y936" s="127" t="str">
        <f t="shared" si="5"/>
        <v/>
      </c>
    </row>
    <row r="937">
      <c r="A937" s="127"/>
      <c r="B937" s="127" t="str">
        <f>IF(A937="","",VLOOKUP(A937,'BASE OS'!$A$2:$I1000,2,FALSE))</f>
        <v/>
      </c>
      <c r="C937" s="132"/>
      <c r="D937" s="127"/>
      <c r="E937" s="127"/>
      <c r="F937" s="127"/>
      <c r="G937" s="127"/>
      <c r="H937" s="130"/>
      <c r="I937" s="130"/>
      <c r="J937" s="130">
        <f t="shared" si="1"/>
        <v>0</v>
      </c>
      <c r="K937" s="130"/>
      <c r="L937" s="130"/>
      <c r="M937" s="130">
        <f t="shared" si="2"/>
        <v>0</v>
      </c>
      <c r="N937" s="130"/>
      <c r="O937" s="130"/>
      <c r="P937" s="127"/>
      <c r="Q937" s="127"/>
      <c r="R937" s="127"/>
      <c r="S937" s="127"/>
      <c r="T937" s="127" t="str">
        <f>IF(A937="","",VLOOKUP(A937,'BASE OS'!$A$2:$I1000,4,FALSE))</f>
        <v/>
      </c>
      <c r="U937" s="127"/>
      <c r="V937" s="127"/>
      <c r="W937" s="127" t="str">
        <f t="shared" si="3"/>
        <v/>
      </c>
      <c r="X937" s="127" t="str">
        <f t="shared" si="4"/>
        <v/>
      </c>
      <c r="Y937" s="127" t="str">
        <f t="shared" si="5"/>
        <v/>
      </c>
    </row>
    <row r="938">
      <c r="A938" s="127"/>
      <c r="B938" s="127" t="str">
        <f>IF(A938="","",VLOOKUP(A938,'BASE OS'!$A$2:$I1000,2,FALSE))</f>
        <v/>
      </c>
      <c r="C938" s="132"/>
      <c r="D938" s="127"/>
      <c r="E938" s="127"/>
      <c r="F938" s="127"/>
      <c r="G938" s="127"/>
      <c r="H938" s="130"/>
      <c r="I938" s="130"/>
      <c r="J938" s="130">
        <f t="shared" si="1"/>
        <v>0</v>
      </c>
      <c r="K938" s="130"/>
      <c r="L938" s="130"/>
      <c r="M938" s="130">
        <f t="shared" si="2"/>
        <v>0</v>
      </c>
      <c r="N938" s="130"/>
      <c r="O938" s="130"/>
      <c r="P938" s="127"/>
      <c r="Q938" s="127"/>
      <c r="R938" s="127"/>
      <c r="S938" s="127"/>
      <c r="T938" s="127" t="str">
        <f>IF(A938="","",VLOOKUP(A938,'BASE OS'!$A$2:$I1000,4,FALSE))</f>
        <v/>
      </c>
      <c r="U938" s="127"/>
      <c r="V938" s="127"/>
      <c r="W938" s="127" t="str">
        <f t="shared" si="3"/>
        <v/>
      </c>
      <c r="X938" s="127" t="str">
        <f t="shared" si="4"/>
        <v/>
      </c>
      <c r="Y938" s="127" t="str">
        <f t="shared" si="5"/>
        <v/>
      </c>
    </row>
    <row r="939">
      <c r="A939" s="127"/>
      <c r="B939" s="127" t="str">
        <f>IF(A939="","",VLOOKUP(A939,'BASE OS'!$A$2:$I1000,2,FALSE))</f>
        <v/>
      </c>
      <c r="C939" s="132"/>
      <c r="D939" s="127"/>
      <c r="E939" s="127"/>
      <c r="F939" s="127"/>
      <c r="G939" s="127"/>
      <c r="H939" s="130"/>
      <c r="I939" s="130"/>
      <c r="J939" s="130">
        <f t="shared" si="1"/>
        <v>0</v>
      </c>
      <c r="K939" s="130"/>
      <c r="L939" s="130"/>
      <c r="M939" s="130">
        <f t="shared" si="2"/>
        <v>0</v>
      </c>
      <c r="N939" s="130"/>
      <c r="O939" s="130"/>
      <c r="P939" s="127"/>
      <c r="Q939" s="127"/>
      <c r="R939" s="127"/>
      <c r="S939" s="127"/>
      <c r="T939" s="127" t="str">
        <f>IF(A939="","",VLOOKUP(A939,'BASE OS'!$A$2:$I1000,4,FALSE))</f>
        <v/>
      </c>
      <c r="U939" s="127"/>
      <c r="V939" s="127"/>
      <c r="W939" s="127" t="str">
        <f t="shared" si="3"/>
        <v/>
      </c>
      <c r="X939" s="127" t="str">
        <f t="shared" si="4"/>
        <v/>
      </c>
      <c r="Y939" s="127" t="str">
        <f t="shared" si="5"/>
        <v/>
      </c>
    </row>
    <row r="940">
      <c r="A940" s="127"/>
      <c r="B940" s="127" t="str">
        <f>IF(A940="","",VLOOKUP(A940,'BASE OS'!$A$2:$I1000,2,FALSE))</f>
        <v/>
      </c>
      <c r="C940" s="132"/>
      <c r="D940" s="127"/>
      <c r="E940" s="127"/>
      <c r="F940" s="127"/>
      <c r="G940" s="127"/>
      <c r="H940" s="130"/>
      <c r="I940" s="130"/>
      <c r="J940" s="130">
        <f t="shared" si="1"/>
        <v>0</v>
      </c>
      <c r="K940" s="130"/>
      <c r="L940" s="130"/>
      <c r="M940" s="130">
        <f t="shared" si="2"/>
        <v>0</v>
      </c>
      <c r="N940" s="130"/>
      <c r="O940" s="130"/>
      <c r="P940" s="127"/>
      <c r="Q940" s="127"/>
      <c r="R940" s="127"/>
      <c r="S940" s="127"/>
      <c r="T940" s="127" t="str">
        <f>IF(A940="","",VLOOKUP(A940,'BASE OS'!$A$2:$I1000,4,FALSE))</f>
        <v/>
      </c>
      <c r="U940" s="127"/>
      <c r="V940" s="127"/>
      <c r="W940" s="127" t="str">
        <f t="shared" si="3"/>
        <v/>
      </c>
      <c r="X940" s="127" t="str">
        <f t="shared" si="4"/>
        <v/>
      </c>
      <c r="Y940" s="127" t="str">
        <f t="shared" si="5"/>
        <v/>
      </c>
    </row>
    <row r="941">
      <c r="A941" s="127"/>
      <c r="B941" s="127" t="str">
        <f>IF(A941="","",VLOOKUP(A941,'BASE OS'!$A$2:$I1000,2,FALSE))</f>
        <v/>
      </c>
      <c r="C941" s="132"/>
      <c r="D941" s="127"/>
      <c r="E941" s="127"/>
      <c r="F941" s="127"/>
      <c r="G941" s="127"/>
      <c r="H941" s="130"/>
      <c r="I941" s="130"/>
      <c r="J941" s="130">
        <f t="shared" si="1"/>
        <v>0</v>
      </c>
      <c r="K941" s="130"/>
      <c r="L941" s="130"/>
      <c r="M941" s="130">
        <f t="shared" si="2"/>
        <v>0</v>
      </c>
      <c r="N941" s="130"/>
      <c r="O941" s="130"/>
      <c r="P941" s="127"/>
      <c r="Q941" s="127"/>
      <c r="R941" s="127"/>
      <c r="S941" s="127"/>
      <c r="T941" s="127" t="str">
        <f>IF(A941="","",VLOOKUP(A941,'BASE OS'!$A$2:$I1000,4,FALSE))</f>
        <v/>
      </c>
      <c r="U941" s="127"/>
      <c r="V941" s="127"/>
      <c r="W941" s="127" t="str">
        <f t="shared" si="3"/>
        <v/>
      </c>
      <c r="X941" s="127" t="str">
        <f t="shared" si="4"/>
        <v/>
      </c>
      <c r="Y941" s="127" t="str">
        <f t="shared" si="5"/>
        <v/>
      </c>
    </row>
    <row r="942">
      <c r="A942" s="127"/>
      <c r="B942" s="127" t="str">
        <f>IF(A942="","",VLOOKUP(A942,'BASE OS'!$A$2:$I1000,2,FALSE))</f>
        <v/>
      </c>
      <c r="C942" s="132"/>
      <c r="D942" s="127"/>
      <c r="E942" s="127"/>
      <c r="F942" s="127"/>
      <c r="G942" s="127"/>
      <c r="H942" s="130"/>
      <c r="I942" s="130"/>
      <c r="J942" s="130">
        <f t="shared" si="1"/>
        <v>0</v>
      </c>
      <c r="K942" s="130"/>
      <c r="L942" s="130"/>
      <c r="M942" s="130">
        <f t="shared" si="2"/>
        <v>0</v>
      </c>
      <c r="N942" s="130"/>
      <c r="O942" s="130"/>
      <c r="P942" s="127"/>
      <c r="Q942" s="127"/>
      <c r="R942" s="127"/>
      <c r="S942" s="127"/>
      <c r="T942" s="127" t="str">
        <f>IF(A942="","",VLOOKUP(A942,'BASE OS'!$A$2:$I1000,4,FALSE))</f>
        <v/>
      </c>
      <c r="U942" s="127"/>
      <c r="V942" s="127"/>
      <c r="W942" s="127" t="str">
        <f t="shared" si="3"/>
        <v/>
      </c>
      <c r="X942" s="127" t="str">
        <f t="shared" si="4"/>
        <v/>
      </c>
      <c r="Y942" s="127" t="str">
        <f t="shared" si="5"/>
        <v/>
      </c>
    </row>
    <row r="943">
      <c r="A943" s="127"/>
      <c r="B943" s="127" t="str">
        <f>IF(A943="","",VLOOKUP(A943,'BASE OS'!$A$2:$I1000,2,FALSE))</f>
        <v/>
      </c>
      <c r="C943" s="132"/>
      <c r="D943" s="127"/>
      <c r="E943" s="127"/>
      <c r="F943" s="127"/>
      <c r="G943" s="127"/>
      <c r="H943" s="130"/>
      <c r="I943" s="130"/>
      <c r="J943" s="130">
        <f t="shared" si="1"/>
        <v>0</v>
      </c>
      <c r="K943" s="130"/>
      <c r="L943" s="130"/>
      <c r="M943" s="130">
        <f t="shared" si="2"/>
        <v>0</v>
      </c>
      <c r="N943" s="130"/>
      <c r="O943" s="130"/>
      <c r="P943" s="127"/>
      <c r="Q943" s="127"/>
      <c r="R943" s="127"/>
      <c r="S943" s="127"/>
      <c r="T943" s="127" t="str">
        <f>IF(A943="","",VLOOKUP(A943,'BASE OS'!$A$2:$I1000,4,FALSE))</f>
        <v/>
      </c>
      <c r="U943" s="127"/>
      <c r="V943" s="127"/>
      <c r="W943" s="127" t="str">
        <f t="shared" si="3"/>
        <v/>
      </c>
      <c r="X943" s="127" t="str">
        <f t="shared" si="4"/>
        <v/>
      </c>
      <c r="Y943" s="127" t="str">
        <f t="shared" si="5"/>
        <v/>
      </c>
    </row>
    <row r="944">
      <c r="A944" s="127"/>
      <c r="B944" s="127" t="str">
        <f>IF(A944="","",VLOOKUP(A944,'BASE OS'!$A$2:$I1000,2,FALSE))</f>
        <v/>
      </c>
      <c r="C944" s="132"/>
      <c r="D944" s="127"/>
      <c r="E944" s="127"/>
      <c r="F944" s="127"/>
      <c r="G944" s="127"/>
      <c r="H944" s="130"/>
      <c r="I944" s="130"/>
      <c r="J944" s="130">
        <f t="shared" si="1"/>
        <v>0</v>
      </c>
      <c r="K944" s="130"/>
      <c r="L944" s="130"/>
      <c r="M944" s="130">
        <f t="shared" si="2"/>
        <v>0</v>
      </c>
      <c r="N944" s="130"/>
      <c r="O944" s="130"/>
      <c r="P944" s="127"/>
      <c r="Q944" s="127"/>
      <c r="R944" s="127"/>
      <c r="S944" s="127"/>
      <c r="T944" s="127" t="str">
        <f>IF(A944="","",VLOOKUP(A944,'BASE OS'!$A$2:$I1000,4,FALSE))</f>
        <v/>
      </c>
      <c r="U944" s="127"/>
      <c r="V944" s="127"/>
      <c r="W944" s="127" t="str">
        <f t="shared" si="3"/>
        <v/>
      </c>
      <c r="X944" s="127" t="str">
        <f t="shared" si="4"/>
        <v/>
      </c>
      <c r="Y944" s="127" t="str">
        <f t="shared" si="5"/>
        <v/>
      </c>
    </row>
    <row r="945">
      <c r="A945" s="127"/>
      <c r="B945" s="127" t="str">
        <f>IF(A945="","",VLOOKUP(A945,'BASE OS'!$A$2:$I1000,2,FALSE))</f>
        <v/>
      </c>
      <c r="C945" s="132"/>
      <c r="D945" s="127"/>
      <c r="E945" s="127"/>
      <c r="F945" s="127"/>
      <c r="G945" s="127"/>
      <c r="H945" s="130"/>
      <c r="I945" s="130"/>
      <c r="J945" s="130">
        <f t="shared" si="1"/>
        <v>0</v>
      </c>
      <c r="K945" s="130"/>
      <c r="L945" s="130"/>
      <c r="M945" s="130">
        <f t="shared" si="2"/>
        <v>0</v>
      </c>
      <c r="N945" s="130"/>
      <c r="O945" s="130"/>
      <c r="P945" s="127"/>
      <c r="Q945" s="127"/>
      <c r="R945" s="127"/>
      <c r="S945" s="127"/>
      <c r="T945" s="127" t="str">
        <f>IF(A945="","",VLOOKUP(A945,'BASE OS'!$A$2:$I1000,4,FALSE))</f>
        <v/>
      </c>
      <c r="U945" s="127"/>
      <c r="V945" s="127"/>
      <c r="W945" s="127" t="str">
        <f t="shared" si="3"/>
        <v/>
      </c>
      <c r="X945" s="127" t="str">
        <f t="shared" si="4"/>
        <v/>
      </c>
      <c r="Y945" s="127" t="str">
        <f t="shared" si="5"/>
        <v/>
      </c>
    </row>
    <row r="946">
      <c r="A946" s="127"/>
      <c r="B946" s="127" t="str">
        <f>IF(A946="","",VLOOKUP(A946,'BASE OS'!$A$2:$I1000,2,FALSE))</f>
        <v/>
      </c>
      <c r="C946" s="132"/>
      <c r="D946" s="127"/>
      <c r="E946" s="127"/>
      <c r="F946" s="127"/>
      <c r="G946" s="127"/>
      <c r="H946" s="130"/>
      <c r="I946" s="130"/>
      <c r="J946" s="130">
        <f t="shared" si="1"/>
        <v>0</v>
      </c>
      <c r="K946" s="130"/>
      <c r="L946" s="130"/>
      <c r="M946" s="130">
        <f t="shared" si="2"/>
        <v>0</v>
      </c>
      <c r="N946" s="130"/>
      <c r="O946" s="130"/>
      <c r="P946" s="127"/>
      <c r="Q946" s="127"/>
      <c r="R946" s="127"/>
      <c r="S946" s="127"/>
      <c r="T946" s="127" t="str">
        <f>IF(A946="","",VLOOKUP(A946,'BASE OS'!$A$2:$I1000,4,FALSE))</f>
        <v/>
      </c>
      <c r="U946" s="127"/>
      <c r="V946" s="127"/>
      <c r="W946" s="127" t="str">
        <f t="shared" si="3"/>
        <v/>
      </c>
      <c r="X946" s="127" t="str">
        <f t="shared" si="4"/>
        <v/>
      </c>
      <c r="Y946" s="127" t="str">
        <f t="shared" si="5"/>
        <v/>
      </c>
    </row>
    <row r="947">
      <c r="A947" s="127"/>
      <c r="B947" s="127" t="str">
        <f>IF(A947="","",VLOOKUP(A947,'BASE OS'!$A$2:$I1000,2,FALSE))</f>
        <v/>
      </c>
      <c r="C947" s="132"/>
      <c r="D947" s="127"/>
      <c r="E947" s="127"/>
      <c r="F947" s="127"/>
      <c r="G947" s="127"/>
      <c r="H947" s="130"/>
      <c r="I947" s="130"/>
      <c r="J947" s="130">
        <f t="shared" si="1"/>
        <v>0</v>
      </c>
      <c r="K947" s="130"/>
      <c r="L947" s="130"/>
      <c r="M947" s="130">
        <f t="shared" si="2"/>
        <v>0</v>
      </c>
      <c r="N947" s="130"/>
      <c r="O947" s="130"/>
      <c r="P947" s="127"/>
      <c r="Q947" s="127"/>
      <c r="R947" s="127"/>
      <c r="S947" s="127"/>
      <c r="T947" s="127" t="str">
        <f>IF(A947="","",VLOOKUP(A947,'BASE OS'!$A$2:$I1000,4,FALSE))</f>
        <v/>
      </c>
      <c r="U947" s="127"/>
      <c r="V947" s="127"/>
      <c r="W947" s="127" t="str">
        <f t="shared" si="3"/>
        <v/>
      </c>
      <c r="X947" s="127" t="str">
        <f t="shared" si="4"/>
        <v/>
      </c>
      <c r="Y947" s="127" t="str">
        <f t="shared" si="5"/>
        <v/>
      </c>
    </row>
    <row r="948">
      <c r="A948" s="127"/>
      <c r="B948" s="127" t="str">
        <f>IF(A948="","",VLOOKUP(A948,'BASE OS'!$A$2:$I1000,2,FALSE))</f>
        <v/>
      </c>
      <c r="C948" s="132"/>
      <c r="D948" s="127"/>
      <c r="E948" s="127"/>
      <c r="F948" s="127"/>
      <c r="G948" s="127"/>
      <c r="H948" s="130"/>
      <c r="I948" s="130"/>
      <c r="J948" s="130">
        <f t="shared" si="1"/>
        <v>0</v>
      </c>
      <c r="K948" s="130"/>
      <c r="L948" s="130"/>
      <c r="M948" s="130">
        <f t="shared" si="2"/>
        <v>0</v>
      </c>
      <c r="N948" s="130"/>
      <c r="O948" s="130"/>
      <c r="P948" s="127"/>
      <c r="Q948" s="127"/>
      <c r="R948" s="127"/>
      <c r="S948" s="127"/>
      <c r="T948" s="127" t="str">
        <f>IF(A948="","",VLOOKUP(A948,'BASE OS'!$A$2:$I1000,4,FALSE))</f>
        <v/>
      </c>
      <c r="U948" s="127"/>
      <c r="V948" s="127"/>
      <c r="W948" s="127" t="str">
        <f t="shared" si="3"/>
        <v/>
      </c>
      <c r="X948" s="127" t="str">
        <f t="shared" si="4"/>
        <v/>
      </c>
      <c r="Y948" s="127" t="str">
        <f t="shared" si="5"/>
        <v/>
      </c>
    </row>
    <row r="949">
      <c r="A949" s="127"/>
      <c r="B949" s="127" t="str">
        <f>IF(A949="","",VLOOKUP(A949,'BASE OS'!$A$2:$I1000,2,FALSE))</f>
        <v/>
      </c>
      <c r="C949" s="132"/>
      <c r="D949" s="127"/>
      <c r="E949" s="127"/>
      <c r="F949" s="127"/>
      <c r="G949" s="127"/>
      <c r="H949" s="130"/>
      <c r="I949" s="130"/>
      <c r="J949" s="130">
        <f t="shared" si="1"/>
        <v>0</v>
      </c>
      <c r="K949" s="130"/>
      <c r="L949" s="130"/>
      <c r="M949" s="130">
        <f t="shared" si="2"/>
        <v>0</v>
      </c>
      <c r="N949" s="130"/>
      <c r="O949" s="130"/>
      <c r="P949" s="127"/>
      <c r="Q949" s="127"/>
      <c r="R949" s="127"/>
      <c r="S949" s="127"/>
      <c r="T949" s="127" t="str">
        <f>IF(A949="","",VLOOKUP(A949,'BASE OS'!$A$2:$I1000,4,FALSE))</f>
        <v/>
      </c>
      <c r="U949" s="127"/>
      <c r="V949" s="127"/>
      <c r="W949" s="127" t="str">
        <f t="shared" si="3"/>
        <v/>
      </c>
      <c r="X949" s="127" t="str">
        <f t="shared" si="4"/>
        <v/>
      </c>
      <c r="Y949" s="127" t="str">
        <f t="shared" si="5"/>
        <v/>
      </c>
    </row>
    <row r="950">
      <c r="A950" s="127"/>
      <c r="B950" s="127" t="str">
        <f>IF(A950="","",VLOOKUP(A950,'BASE OS'!$A$2:$I1000,2,FALSE))</f>
        <v/>
      </c>
      <c r="C950" s="132"/>
      <c r="D950" s="127"/>
      <c r="E950" s="127"/>
      <c r="F950" s="127"/>
      <c r="G950" s="127"/>
      <c r="H950" s="130"/>
      <c r="I950" s="130"/>
      <c r="J950" s="130">
        <f t="shared" si="1"/>
        <v>0</v>
      </c>
      <c r="K950" s="130"/>
      <c r="L950" s="130"/>
      <c r="M950" s="130">
        <f t="shared" si="2"/>
        <v>0</v>
      </c>
      <c r="N950" s="130"/>
      <c r="O950" s="130"/>
      <c r="P950" s="127"/>
      <c r="Q950" s="127"/>
      <c r="R950" s="127"/>
      <c r="S950" s="127"/>
      <c r="T950" s="127" t="str">
        <f>IF(A950="","",VLOOKUP(A950,'BASE OS'!$A$2:$I1000,4,FALSE))</f>
        <v/>
      </c>
      <c r="U950" s="127"/>
      <c r="V950" s="127"/>
      <c r="W950" s="127" t="str">
        <f t="shared" si="3"/>
        <v/>
      </c>
      <c r="X950" s="127" t="str">
        <f t="shared" si="4"/>
        <v/>
      </c>
      <c r="Y950" s="127" t="str">
        <f t="shared" si="5"/>
        <v/>
      </c>
    </row>
    <row r="951">
      <c r="A951" s="127"/>
      <c r="B951" s="127" t="str">
        <f>IF(A951="","",VLOOKUP(A951,'BASE OS'!$A$2:$I1000,2,FALSE))</f>
        <v/>
      </c>
      <c r="C951" s="132"/>
      <c r="D951" s="127"/>
      <c r="E951" s="127"/>
      <c r="F951" s="127"/>
      <c r="G951" s="127"/>
      <c r="H951" s="130"/>
      <c r="I951" s="130"/>
      <c r="J951" s="130">
        <f t="shared" si="1"/>
        <v>0</v>
      </c>
      <c r="K951" s="130"/>
      <c r="L951" s="130"/>
      <c r="M951" s="130">
        <f t="shared" si="2"/>
        <v>0</v>
      </c>
      <c r="N951" s="130"/>
      <c r="O951" s="130"/>
      <c r="P951" s="127"/>
      <c r="Q951" s="127"/>
      <c r="R951" s="127"/>
      <c r="S951" s="127"/>
      <c r="T951" s="127" t="str">
        <f>IF(A951="","",VLOOKUP(A951,'BASE OS'!$A$2:$I1000,4,FALSE))</f>
        <v/>
      </c>
      <c r="U951" s="127"/>
      <c r="V951" s="127"/>
      <c r="W951" s="127" t="str">
        <f t="shared" si="3"/>
        <v/>
      </c>
      <c r="X951" s="127" t="str">
        <f t="shared" si="4"/>
        <v/>
      </c>
      <c r="Y951" s="127" t="str">
        <f t="shared" si="5"/>
        <v/>
      </c>
    </row>
    <row r="952">
      <c r="A952" s="127"/>
      <c r="B952" s="127" t="str">
        <f>IF(A952="","",VLOOKUP(A952,'BASE OS'!$A$2:$I1000,2,FALSE))</f>
        <v/>
      </c>
      <c r="C952" s="132"/>
      <c r="D952" s="127"/>
      <c r="E952" s="127"/>
      <c r="F952" s="127"/>
      <c r="G952" s="127"/>
      <c r="H952" s="130"/>
      <c r="I952" s="130"/>
      <c r="J952" s="130">
        <f t="shared" si="1"/>
        <v>0</v>
      </c>
      <c r="K952" s="130"/>
      <c r="L952" s="130"/>
      <c r="M952" s="130">
        <f t="shared" si="2"/>
        <v>0</v>
      </c>
      <c r="N952" s="130"/>
      <c r="O952" s="130"/>
      <c r="P952" s="127"/>
      <c r="Q952" s="127"/>
      <c r="R952" s="127"/>
      <c r="S952" s="127"/>
      <c r="T952" s="127" t="str">
        <f>IF(A952="","",VLOOKUP(A952,'BASE OS'!$A$2:$I1000,4,FALSE))</f>
        <v/>
      </c>
      <c r="U952" s="127"/>
      <c r="V952" s="127"/>
      <c r="W952" s="127" t="str">
        <f t="shared" si="3"/>
        <v/>
      </c>
      <c r="X952" s="127" t="str">
        <f t="shared" si="4"/>
        <v/>
      </c>
      <c r="Y952" s="127" t="str">
        <f t="shared" si="5"/>
        <v/>
      </c>
    </row>
    <row r="953">
      <c r="A953" s="127"/>
      <c r="B953" s="127" t="str">
        <f>IF(A953="","",VLOOKUP(A953,'BASE OS'!$A$2:$I1000,2,FALSE))</f>
        <v/>
      </c>
      <c r="C953" s="132"/>
      <c r="D953" s="127"/>
      <c r="E953" s="127"/>
      <c r="F953" s="127"/>
      <c r="G953" s="127"/>
      <c r="H953" s="130"/>
      <c r="I953" s="130"/>
      <c r="J953" s="130">
        <f t="shared" si="1"/>
        <v>0</v>
      </c>
      <c r="K953" s="130"/>
      <c r="L953" s="130"/>
      <c r="M953" s="130">
        <f t="shared" si="2"/>
        <v>0</v>
      </c>
      <c r="N953" s="130"/>
      <c r="O953" s="130"/>
      <c r="P953" s="127"/>
      <c r="Q953" s="127"/>
      <c r="R953" s="127"/>
      <c r="S953" s="127"/>
      <c r="T953" s="127" t="str">
        <f>IF(A953="","",VLOOKUP(A953,'BASE OS'!$A$2:$I1000,4,FALSE))</f>
        <v/>
      </c>
      <c r="U953" s="127"/>
      <c r="V953" s="127"/>
      <c r="W953" s="127" t="str">
        <f t="shared" si="3"/>
        <v/>
      </c>
      <c r="X953" s="127" t="str">
        <f t="shared" si="4"/>
        <v/>
      </c>
      <c r="Y953" s="127" t="str">
        <f t="shared" si="5"/>
        <v/>
      </c>
    </row>
    <row r="954">
      <c r="A954" s="127"/>
      <c r="B954" s="127" t="str">
        <f>IF(A954="","",VLOOKUP(A954,'BASE OS'!$A$2:$I1000,2,FALSE))</f>
        <v/>
      </c>
      <c r="C954" s="132"/>
      <c r="D954" s="127"/>
      <c r="E954" s="127"/>
      <c r="F954" s="127"/>
      <c r="G954" s="127"/>
      <c r="H954" s="130"/>
      <c r="I954" s="130"/>
      <c r="J954" s="130">
        <f t="shared" si="1"/>
        <v>0</v>
      </c>
      <c r="K954" s="130"/>
      <c r="L954" s="130"/>
      <c r="M954" s="130">
        <f t="shared" si="2"/>
        <v>0</v>
      </c>
      <c r="N954" s="130"/>
      <c r="O954" s="130"/>
      <c r="P954" s="127"/>
      <c r="Q954" s="127"/>
      <c r="R954" s="127"/>
      <c r="S954" s="127"/>
      <c r="T954" s="127" t="str">
        <f>IF(A954="","",VLOOKUP(A954,'BASE OS'!$A$2:$I1000,4,FALSE))</f>
        <v/>
      </c>
      <c r="U954" s="127"/>
      <c r="V954" s="127"/>
      <c r="W954" s="127" t="str">
        <f t="shared" si="3"/>
        <v/>
      </c>
      <c r="X954" s="127" t="str">
        <f t="shared" si="4"/>
        <v/>
      </c>
      <c r="Y954" s="127" t="str">
        <f t="shared" si="5"/>
        <v/>
      </c>
    </row>
    <row r="955">
      <c r="A955" s="127"/>
      <c r="B955" s="127" t="str">
        <f>IF(A955="","",VLOOKUP(A955,'BASE OS'!$A$2:$I1000,2,FALSE))</f>
        <v/>
      </c>
      <c r="C955" s="132"/>
      <c r="D955" s="127"/>
      <c r="E955" s="127"/>
      <c r="F955" s="127"/>
      <c r="G955" s="127"/>
      <c r="H955" s="130"/>
      <c r="I955" s="130"/>
      <c r="J955" s="130">
        <f t="shared" si="1"/>
        <v>0</v>
      </c>
      <c r="K955" s="130"/>
      <c r="L955" s="130"/>
      <c r="M955" s="130">
        <f t="shared" si="2"/>
        <v>0</v>
      </c>
      <c r="N955" s="130"/>
      <c r="O955" s="130"/>
      <c r="P955" s="127"/>
      <c r="Q955" s="127"/>
      <c r="R955" s="127"/>
      <c r="S955" s="127"/>
      <c r="T955" s="127" t="str">
        <f>IF(A955="","",VLOOKUP(A955,'BASE OS'!$A$2:$I1000,4,FALSE))</f>
        <v/>
      </c>
      <c r="U955" s="127"/>
      <c r="V955" s="127"/>
      <c r="W955" s="127" t="str">
        <f t="shared" si="3"/>
        <v/>
      </c>
      <c r="X955" s="127" t="str">
        <f t="shared" si="4"/>
        <v/>
      </c>
      <c r="Y955" s="127" t="str">
        <f t="shared" si="5"/>
        <v/>
      </c>
    </row>
    <row r="956">
      <c r="A956" s="127"/>
      <c r="B956" s="127" t="str">
        <f>IF(A956="","",VLOOKUP(A956,'BASE OS'!$A$2:$I1000,2,FALSE))</f>
        <v/>
      </c>
      <c r="C956" s="132"/>
      <c r="D956" s="127"/>
      <c r="E956" s="127"/>
      <c r="F956" s="127"/>
      <c r="G956" s="127"/>
      <c r="H956" s="130"/>
      <c r="I956" s="130"/>
      <c r="J956" s="130">
        <f t="shared" si="1"/>
        <v>0</v>
      </c>
      <c r="K956" s="130"/>
      <c r="L956" s="130"/>
      <c r="M956" s="130">
        <f t="shared" si="2"/>
        <v>0</v>
      </c>
      <c r="N956" s="130"/>
      <c r="O956" s="130"/>
      <c r="P956" s="127"/>
      <c r="Q956" s="127"/>
      <c r="R956" s="127"/>
      <c r="S956" s="127"/>
      <c r="T956" s="127" t="str">
        <f>IF(A956="","",VLOOKUP(A956,'BASE OS'!$A$2:$I1000,4,FALSE))</f>
        <v/>
      </c>
      <c r="U956" s="127"/>
      <c r="V956" s="127"/>
      <c r="W956" s="127" t="str">
        <f t="shared" si="3"/>
        <v/>
      </c>
      <c r="X956" s="127" t="str">
        <f t="shared" si="4"/>
        <v/>
      </c>
      <c r="Y956" s="127" t="str">
        <f t="shared" si="5"/>
        <v/>
      </c>
    </row>
    <row r="957">
      <c r="A957" s="127"/>
      <c r="B957" s="127" t="str">
        <f>IF(A957="","",VLOOKUP(A957,'BASE OS'!$A$2:$I1000,2,FALSE))</f>
        <v/>
      </c>
      <c r="C957" s="132"/>
      <c r="D957" s="127"/>
      <c r="E957" s="127"/>
      <c r="F957" s="127"/>
      <c r="G957" s="127"/>
      <c r="H957" s="130"/>
      <c r="I957" s="130"/>
      <c r="J957" s="130">
        <f t="shared" si="1"/>
        <v>0</v>
      </c>
      <c r="K957" s="130"/>
      <c r="L957" s="130"/>
      <c r="M957" s="130">
        <f t="shared" si="2"/>
        <v>0</v>
      </c>
      <c r="N957" s="130"/>
      <c r="O957" s="130"/>
      <c r="P957" s="127"/>
      <c r="Q957" s="127"/>
      <c r="R957" s="127"/>
      <c r="S957" s="127"/>
      <c r="T957" s="127" t="str">
        <f>IF(A957="","",VLOOKUP(A957,'BASE OS'!$A$2:$I1000,4,FALSE))</f>
        <v/>
      </c>
      <c r="U957" s="127"/>
      <c r="V957" s="127"/>
      <c r="W957" s="127" t="str">
        <f t="shared" si="3"/>
        <v/>
      </c>
      <c r="X957" s="127" t="str">
        <f t="shared" si="4"/>
        <v/>
      </c>
      <c r="Y957" s="127" t="str">
        <f t="shared" si="5"/>
        <v/>
      </c>
    </row>
    <row r="958">
      <c r="A958" s="127"/>
      <c r="B958" s="127" t="str">
        <f>IF(A958="","",VLOOKUP(A958,'BASE OS'!$A$2:$I1000,2,FALSE))</f>
        <v/>
      </c>
      <c r="C958" s="132"/>
      <c r="D958" s="127"/>
      <c r="E958" s="127"/>
      <c r="F958" s="127"/>
      <c r="G958" s="127"/>
      <c r="H958" s="130"/>
      <c r="I958" s="130"/>
      <c r="J958" s="130">
        <f t="shared" si="1"/>
        <v>0</v>
      </c>
      <c r="K958" s="130"/>
      <c r="L958" s="130"/>
      <c r="M958" s="130">
        <f t="shared" si="2"/>
        <v>0</v>
      </c>
      <c r="N958" s="130"/>
      <c r="O958" s="130"/>
      <c r="P958" s="127"/>
      <c r="Q958" s="127"/>
      <c r="R958" s="127"/>
      <c r="S958" s="127"/>
      <c r="T958" s="127" t="str">
        <f>IF(A958="","",VLOOKUP(A958,'BASE OS'!$A$2:$I1000,4,FALSE))</f>
        <v/>
      </c>
      <c r="U958" s="127"/>
      <c r="V958" s="127"/>
      <c r="W958" s="127" t="str">
        <f t="shared" si="3"/>
        <v/>
      </c>
      <c r="X958" s="127" t="str">
        <f t="shared" si="4"/>
        <v/>
      </c>
      <c r="Y958" s="127" t="str">
        <f t="shared" si="5"/>
        <v/>
      </c>
    </row>
    <row r="959">
      <c r="A959" s="127"/>
      <c r="B959" s="127" t="str">
        <f>IF(A959="","",VLOOKUP(A959,'BASE OS'!$A$2:$I1000,2,FALSE))</f>
        <v/>
      </c>
      <c r="C959" s="132"/>
      <c r="D959" s="127"/>
      <c r="E959" s="127"/>
      <c r="F959" s="127"/>
      <c r="G959" s="127"/>
      <c r="H959" s="130"/>
      <c r="I959" s="130"/>
      <c r="J959" s="130">
        <f t="shared" si="1"/>
        <v>0</v>
      </c>
      <c r="K959" s="130"/>
      <c r="L959" s="130"/>
      <c r="M959" s="130">
        <f t="shared" si="2"/>
        <v>0</v>
      </c>
      <c r="N959" s="130"/>
      <c r="O959" s="130"/>
      <c r="P959" s="127"/>
      <c r="Q959" s="127"/>
      <c r="R959" s="127"/>
      <c r="S959" s="127"/>
      <c r="T959" s="127" t="str">
        <f>IF(A959="","",VLOOKUP(A959,'BASE OS'!$A$2:$I1000,4,FALSE))</f>
        <v/>
      </c>
      <c r="U959" s="127"/>
      <c r="V959" s="127"/>
      <c r="W959" s="127" t="str">
        <f t="shared" si="3"/>
        <v/>
      </c>
      <c r="X959" s="127" t="str">
        <f t="shared" si="4"/>
        <v/>
      </c>
      <c r="Y959" s="127" t="str">
        <f t="shared" si="5"/>
        <v/>
      </c>
    </row>
    <row r="960">
      <c r="A960" s="127"/>
      <c r="B960" s="127" t="str">
        <f>IF(A960="","",VLOOKUP(A960,'BASE OS'!$A$2:$I1000,2,FALSE))</f>
        <v/>
      </c>
      <c r="C960" s="132"/>
      <c r="D960" s="127"/>
      <c r="E960" s="127"/>
      <c r="F960" s="127"/>
      <c r="G960" s="127"/>
      <c r="H960" s="130"/>
      <c r="I960" s="130"/>
      <c r="J960" s="130">
        <f t="shared" si="1"/>
        <v>0</v>
      </c>
      <c r="K960" s="130"/>
      <c r="L960" s="130"/>
      <c r="M960" s="130">
        <f t="shared" si="2"/>
        <v>0</v>
      </c>
      <c r="N960" s="130"/>
      <c r="O960" s="130"/>
      <c r="P960" s="127"/>
      <c r="Q960" s="127"/>
      <c r="R960" s="127"/>
      <c r="S960" s="127"/>
      <c r="T960" s="127" t="str">
        <f>IF(A960="","",VLOOKUP(A960,'BASE OS'!$A$2:$I1000,4,FALSE))</f>
        <v/>
      </c>
      <c r="U960" s="127"/>
      <c r="V960" s="127"/>
      <c r="W960" s="127" t="str">
        <f t="shared" si="3"/>
        <v/>
      </c>
      <c r="X960" s="127" t="str">
        <f t="shared" si="4"/>
        <v/>
      </c>
      <c r="Y960" s="127" t="str">
        <f t="shared" si="5"/>
        <v/>
      </c>
    </row>
    <row r="961">
      <c r="A961" s="127"/>
      <c r="B961" s="127" t="str">
        <f>IF(A961="","",VLOOKUP(A961,'BASE OS'!$A$2:$I1000,2,FALSE))</f>
        <v/>
      </c>
      <c r="C961" s="132"/>
      <c r="D961" s="127"/>
      <c r="E961" s="127"/>
      <c r="F961" s="127"/>
      <c r="G961" s="127"/>
      <c r="H961" s="130"/>
      <c r="I961" s="130"/>
      <c r="J961" s="130">
        <f t="shared" si="1"/>
        <v>0</v>
      </c>
      <c r="K961" s="130"/>
      <c r="L961" s="130"/>
      <c r="M961" s="130">
        <f t="shared" si="2"/>
        <v>0</v>
      </c>
      <c r="N961" s="130"/>
      <c r="O961" s="130"/>
      <c r="P961" s="127"/>
      <c r="Q961" s="127"/>
      <c r="R961" s="127"/>
      <c r="S961" s="127"/>
      <c r="T961" s="127" t="str">
        <f>IF(A961="","",VLOOKUP(A961,'BASE OS'!$A$2:$I1000,4,FALSE))</f>
        <v/>
      </c>
      <c r="U961" s="127"/>
      <c r="V961" s="127"/>
      <c r="W961" s="127" t="str">
        <f t="shared" si="3"/>
        <v/>
      </c>
      <c r="X961" s="127" t="str">
        <f t="shared" si="4"/>
        <v/>
      </c>
      <c r="Y961" s="127" t="str">
        <f t="shared" si="5"/>
        <v/>
      </c>
    </row>
    <row r="962">
      <c r="A962" s="127"/>
      <c r="B962" s="127" t="str">
        <f>IF(A962="","",VLOOKUP(A962,'BASE OS'!$A$2:$I1000,2,FALSE))</f>
        <v/>
      </c>
      <c r="C962" s="132"/>
      <c r="D962" s="127"/>
      <c r="E962" s="127"/>
      <c r="F962" s="127"/>
      <c r="G962" s="127"/>
      <c r="H962" s="130"/>
      <c r="I962" s="130"/>
      <c r="J962" s="130">
        <f t="shared" si="1"/>
        <v>0</v>
      </c>
      <c r="K962" s="130"/>
      <c r="L962" s="130"/>
      <c r="M962" s="130">
        <f t="shared" si="2"/>
        <v>0</v>
      </c>
      <c r="N962" s="130"/>
      <c r="O962" s="130"/>
      <c r="P962" s="127"/>
      <c r="Q962" s="127"/>
      <c r="R962" s="127"/>
      <c r="S962" s="127"/>
      <c r="T962" s="127" t="str">
        <f>IF(A962="","",VLOOKUP(A962,'BASE OS'!$A$2:$I1000,4,FALSE))</f>
        <v/>
      </c>
      <c r="U962" s="127"/>
      <c r="V962" s="127"/>
      <c r="W962" s="127" t="str">
        <f t="shared" si="3"/>
        <v/>
      </c>
      <c r="X962" s="127" t="str">
        <f t="shared" si="4"/>
        <v/>
      </c>
      <c r="Y962" s="127" t="str">
        <f t="shared" si="5"/>
        <v/>
      </c>
    </row>
    <row r="963">
      <c r="A963" s="127"/>
      <c r="B963" s="127" t="str">
        <f>IF(A963="","",VLOOKUP(A963,'BASE OS'!$A$2:$I1000,2,FALSE))</f>
        <v/>
      </c>
      <c r="C963" s="132"/>
      <c r="D963" s="127"/>
      <c r="E963" s="127"/>
      <c r="F963" s="127"/>
      <c r="G963" s="127"/>
      <c r="H963" s="130"/>
      <c r="I963" s="130"/>
      <c r="J963" s="130">
        <f t="shared" si="1"/>
        <v>0</v>
      </c>
      <c r="K963" s="130"/>
      <c r="L963" s="130"/>
      <c r="M963" s="130">
        <f t="shared" si="2"/>
        <v>0</v>
      </c>
      <c r="N963" s="130"/>
      <c r="O963" s="130"/>
      <c r="P963" s="127"/>
      <c r="Q963" s="127"/>
      <c r="R963" s="127"/>
      <c r="S963" s="127"/>
      <c r="T963" s="127" t="str">
        <f>IF(A963="","",VLOOKUP(A963,'BASE OS'!$A$2:$I1000,4,FALSE))</f>
        <v/>
      </c>
      <c r="U963" s="127"/>
      <c r="V963" s="127"/>
      <c r="W963" s="127" t="str">
        <f t="shared" si="3"/>
        <v/>
      </c>
      <c r="X963" s="127" t="str">
        <f t="shared" si="4"/>
        <v/>
      </c>
      <c r="Y963" s="127" t="str">
        <f t="shared" si="5"/>
        <v/>
      </c>
    </row>
    <row r="964">
      <c r="A964" s="127"/>
      <c r="B964" s="127" t="str">
        <f>IF(A964="","",VLOOKUP(A964,'BASE OS'!$A$2:$I1000,2,FALSE))</f>
        <v/>
      </c>
      <c r="C964" s="132"/>
      <c r="D964" s="127"/>
      <c r="E964" s="127"/>
      <c r="F964" s="127"/>
      <c r="G964" s="127"/>
      <c r="H964" s="130"/>
      <c r="I964" s="130"/>
      <c r="J964" s="130">
        <f t="shared" si="1"/>
        <v>0</v>
      </c>
      <c r="K964" s="130"/>
      <c r="L964" s="130"/>
      <c r="M964" s="130">
        <f t="shared" si="2"/>
        <v>0</v>
      </c>
      <c r="N964" s="130"/>
      <c r="O964" s="130"/>
      <c r="P964" s="127"/>
      <c r="Q964" s="127"/>
      <c r="R964" s="127"/>
      <c r="S964" s="127"/>
      <c r="T964" s="127" t="str">
        <f>IF(A964="","",VLOOKUP(A964,'BASE OS'!$A$2:$I1000,4,FALSE))</f>
        <v/>
      </c>
      <c r="U964" s="127"/>
      <c r="V964" s="127"/>
      <c r="W964" s="127" t="str">
        <f t="shared" si="3"/>
        <v/>
      </c>
      <c r="X964" s="127" t="str">
        <f t="shared" si="4"/>
        <v/>
      </c>
      <c r="Y964" s="127" t="str">
        <f t="shared" si="5"/>
        <v/>
      </c>
    </row>
    <row r="965">
      <c r="A965" s="127"/>
      <c r="B965" s="127" t="str">
        <f>IF(A965="","",VLOOKUP(A965,'BASE OS'!$A$2:$I1000,2,FALSE))</f>
        <v/>
      </c>
      <c r="C965" s="132"/>
      <c r="D965" s="127"/>
      <c r="E965" s="127"/>
      <c r="F965" s="127"/>
      <c r="G965" s="127"/>
      <c r="H965" s="130"/>
      <c r="I965" s="130"/>
      <c r="J965" s="130">
        <f t="shared" si="1"/>
        <v>0</v>
      </c>
      <c r="K965" s="130"/>
      <c r="L965" s="130"/>
      <c r="M965" s="130">
        <f t="shared" si="2"/>
        <v>0</v>
      </c>
      <c r="N965" s="130"/>
      <c r="O965" s="130"/>
      <c r="P965" s="127"/>
      <c r="Q965" s="127"/>
      <c r="R965" s="127"/>
      <c r="S965" s="127"/>
      <c r="T965" s="127" t="str">
        <f>IF(A965="","",VLOOKUP(A965,'BASE OS'!$A$2:$I1000,4,FALSE))</f>
        <v/>
      </c>
      <c r="U965" s="127"/>
      <c r="V965" s="127"/>
      <c r="W965" s="127" t="str">
        <f t="shared" si="3"/>
        <v/>
      </c>
      <c r="X965" s="127" t="str">
        <f t="shared" si="4"/>
        <v/>
      </c>
      <c r="Y965" s="127" t="str">
        <f t="shared" si="5"/>
        <v/>
      </c>
    </row>
    <row r="966">
      <c r="A966" s="127"/>
      <c r="B966" s="127" t="str">
        <f>IF(A966="","",VLOOKUP(A966,'BASE OS'!$A$2:$I1000,2,FALSE))</f>
        <v/>
      </c>
      <c r="C966" s="132"/>
      <c r="D966" s="127"/>
      <c r="E966" s="127"/>
      <c r="F966" s="127"/>
      <c r="G966" s="127"/>
      <c r="H966" s="130"/>
      <c r="I966" s="130"/>
      <c r="J966" s="130">
        <f t="shared" si="1"/>
        <v>0</v>
      </c>
      <c r="K966" s="130"/>
      <c r="L966" s="130"/>
      <c r="M966" s="130">
        <f t="shared" si="2"/>
        <v>0</v>
      </c>
      <c r="N966" s="130"/>
      <c r="O966" s="130"/>
      <c r="P966" s="127"/>
      <c r="Q966" s="127"/>
      <c r="R966" s="127"/>
      <c r="S966" s="127"/>
      <c r="T966" s="127" t="str">
        <f>IF(A966="","",VLOOKUP(A966,'BASE OS'!$A$2:$I1000,4,FALSE))</f>
        <v/>
      </c>
      <c r="U966" s="127"/>
      <c r="V966" s="127"/>
      <c r="W966" s="127" t="str">
        <f t="shared" si="3"/>
        <v/>
      </c>
      <c r="X966" s="127" t="str">
        <f t="shared" si="4"/>
        <v/>
      </c>
      <c r="Y966" s="127" t="str">
        <f t="shared" si="5"/>
        <v/>
      </c>
    </row>
    <row r="967">
      <c r="A967" s="127"/>
      <c r="B967" s="127" t="str">
        <f>IF(A967="","",VLOOKUP(A967,'BASE OS'!$A$2:$I1000,2,FALSE))</f>
        <v/>
      </c>
      <c r="C967" s="132"/>
      <c r="D967" s="127"/>
      <c r="E967" s="127"/>
      <c r="F967" s="127"/>
      <c r="G967" s="127"/>
      <c r="H967" s="130"/>
      <c r="I967" s="130"/>
      <c r="J967" s="130">
        <f t="shared" si="1"/>
        <v>0</v>
      </c>
      <c r="K967" s="130"/>
      <c r="L967" s="130"/>
      <c r="M967" s="130">
        <f t="shared" si="2"/>
        <v>0</v>
      </c>
      <c r="N967" s="130"/>
      <c r="O967" s="130"/>
      <c r="P967" s="127"/>
      <c r="Q967" s="127"/>
      <c r="R967" s="127"/>
      <c r="S967" s="127"/>
      <c r="T967" s="127" t="str">
        <f>IF(A967="","",VLOOKUP(A967,'BASE OS'!$A$2:$I1000,4,FALSE))</f>
        <v/>
      </c>
      <c r="U967" s="127"/>
      <c r="V967" s="127"/>
      <c r="W967" s="127" t="str">
        <f t="shared" si="3"/>
        <v/>
      </c>
      <c r="X967" s="127" t="str">
        <f t="shared" si="4"/>
        <v/>
      </c>
      <c r="Y967" s="127" t="str">
        <f t="shared" si="5"/>
        <v/>
      </c>
    </row>
    <row r="968">
      <c r="A968" s="127"/>
      <c r="B968" s="127" t="str">
        <f>IF(A968="","",VLOOKUP(A968,'BASE OS'!$A$2:$I1000,2,FALSE))</f>
        <v/>
      </c>
      <c r="C968" s="132"/>
      <c r="D968" s="127"/>
      <c r="E968" s="127"/>
      <c r="F968" s="127"/>
      <c r="G968" s="127"/>
      <c r="H968" s="130"/>
      <c r="I968" s="130"/>
      <c r="J968" s="130">
        <f t="shared" si="1"/>
        <v>0</v>
      </c>
      <c r="K968" s="130"/>
      <c r="L968" s="130"/>
      <c r="M968" s="130">
        <f t="shared" si="2"/>
        <v>0</v>
      </c>
      <c r="N968" s="130"/>
      <c r="O968" s="130"/>
      <c r="P968" s="127"/>
      <c r="Q968" s="127"/>
      <c r="R968" s="127"/>
      <c r="S968" s="127"/>
      <c r="T968" s="127" t="str">
        <f>IF(A968="","",VLOOKUP(A968,'BASE OS'!$A$2:$I1000,4,FALSE))</f>
        <v/>
      </c>
      <c r="U968" s="127"/>
      <c r="V968" s="127"/>
      <c r="W968" s="127" t="str">
        <f t="shared" si="3"/>
        <v/>
      </c>
      <c r="X968" s="127" t="str">
        <f t="shared" si="4"/>
        <v/>
      </c>
      <c r="Y968" s="127" t="str">
        <f t="shared" si="5"/>
        <v/>
      </c>
    </row>
    <row r="969">
      <c r="A969" s="127"/>
      <c r="B969" s="127" t="str">
        <f>IF(A969="","",VLOOKUP(A969,'BASE OS'!$A$2:$I1000,2,FALSE))</f>
        <v/>
      </c>
      <c r="C969" s="132"/>
      <c r="D969" s="127"/>
      <c r="E969" s="127"/>
      <c r="F969" s="127"/>
      <c r="G969" s="127"/>
      <c r="H969" s="130"/>
      <c r="I969" s="130"/>
      <c r="J969" s="130">
        <f t="shared" si="1"/>
        <v>0</v>
      </c>
      <c r="K969" s="130"/>
      <c r="L969" s="130"/>
      <c r="M969" s="130">
        <f t="shared" si="2"/>
        <v>0</v>
      </c>
      <c r="N969" s="130"/>
      <c r="O969" s="130"/>
      <c r="P969" s="127"/>
      <c r="Q969" s="127"/>
      <c r="R969" s="127"/>
      <c r="S969" s="127"/>
      <c r="T969" s="127" t="str">
        <f>IF(A969="","",VLOOKUP(A969,'BASE OS'!$A$2:$I1000,4,FALSE))</f>
        <v/>
      </c>
      <c r="U969" s="127"/>
      <c r="V969" s="127"/>
      <c r="W969" s="127" t="str">
        <f t="shared" si="3"/>
        <v/>
      </c>
      <c r="X969" s="127" t="str">
        <f t="shared" si="4"/>
        <v/>
      </c>
      <c r="Y969" s="127" t="str">
        <f t="shared" si="5"/>
        <v/>
      </c>
    </row>
    <row r="970">
      <c r="A970" s="127"/>
      <c r="B970" s="127" t="str">
        <f>IF(A970="","",VLOOKUP(A970,'BASE OS'!$A$2:$I1000,2,FALSE))</f>
        <v/>
      </c>
      <c r="C970" s="132"/>
      <c r="D970" s="127"/>
      <c r="E970" s="127"/>
      <c r="F970" s="127"/>
      <c r="G970" s="127"/>
      <c r="H970" s="130"/>
      <c r="I970" s="130"/>
      <c r="J970" s="130">
        <f t="shared" si="1"/>
        <v>0</v>
      </c>
      <c r="K970" s="130"/>
      <c r="L970" s="130"/>
      <c r="M970" s="130">
        <f t="shared" si="2"/>
        <v>0</v>
      </c>
      <c r="N970" s="130"/>
      <c r="O970" s="130"/>
      <c r="P970" s="127"/>
      <c r="Q970" s="127"/>
      <c r="R970" s="127"/>
      <c r="S970" s="127"/>
      <c r="T970" s="127" t="str">
        <f>IF(A970="","",VLOOKUP(A970,'BASE OS'!$A$2:$I1000,4,FALSE))</f>
        <v/>
      </c>
      <c r="U970" s="127"/>
      <c r="V970" s="127"/>
      <c r="W970" s="127" t="str">
        <f t="shared" si="3"/>
        <v/>
      </c>
      <c r="X970" s="127" t="str">
        <f t="shared" si="4"/>
        <v/>
      </c>
      <c r="Y970" s="127" t="str">
        <f t="shared" si="5"/>
        <v/>
      </c>
    </row>
    <row r="971">
      <c r="A971" s="127"/>
      <c r="B971" s="127" t="str">
        <f>IF(A971="","",VLOOKUP(A971,'BASE OS'!$A$2:$I1000,2,FALSE))</f>
        <v/>
      </c>
      <c r="C971" s="132"/>
      <c r="D971" s="127"/>
      <c r="E971" s="127"/>
      <c r="F971" s="127"/>
      <c r="G971" s="127"/>
      <c r="H971" s="130"/>
      <c r="I971" s="130"/>
      <c r="J971" s="130">
        <f t="shared" si="1"/>
        <v>0</v>
      </c>
      <c r="K971" s="130"/>
      <c r="L971" s="130"/>
      <c r="M971" s="130">
        <f t="shared" si="2"/>
        <v>0</v>
      </c>
      <c r="N971" s="130"/>
      <c r="O971" s="130"/>
      <c r="P971" s="127"/>
      <c r="Q971" s="127"/>
      <c r="R971" s="127"/>
      <c r="S971" s="127"/>
      <c r="T971" s="127" t="str">
        <f>IF(A971="","",VLOOKUP(A971,'BASE OS'!$A$2:$I1000,4,FALSE))</f>
        <v/>
      </c>
      <c r="U971" s="127"/>
      <c r="V971" s="127"/>
      <c r="W971" s="127" t="str">
        <f t="shared" si="3"/>
        <v/>
      </c>
      <c r="X971" s="127" t="str">
        <f t="shared" si="4"/>
        <v/>
      </c>
      <c r="Y971" s="127" t="str">
        <f t="shared" si="5"/>
        <v/>
      </c>
    </row>
    <row r="972">
      <c r="A972" s="127"/>
      <c r="B972" s="127" t="str">
        <f>IF(A972="","",VLOOKUP(A972,'BASE OS'!$A$2:$I1000,2,FALSE))</f>
        <v/>
      </c>
      <c r="C972" s="132"/>
      <c r="D972" s="127"/>
      <c r="E972" s="127"/>
      <c r="F972" s="127"/>
      <c r="G972" s="127"/>
      <c r="H972" s="130"/>
      <c r="I972" s="130"/>
      <c r="J972" s="130">
        <f t="shared" si="1"/>
        <v>0</v>
      </c>
      <c r="K972" s="130"/>
      <c r="L972" s="130"/>
      <c r="M972" s="130">
        <f t="shared" si="2"/>
        <v>0</v>
      </c>
      <c r="N972" s="130"/>
      <c r="O972" s="130"/>
      <c r="P972" s="127"/>
      <c r="Q972" s="127"/>
      <c r="R972" s="127"/>
      <c r="S972" s="127"/>
      <c r="T972" s="127" t="str">
        <f>IF(A972="","",VLOOKUP(A972,'BASE OS'!$A$2:$I1000,4,FALSE))</f>
        <v/>
      </c>
      <c r="U972" s="127"/>
      <c r="V972" s="127"/>
      <c r="W972" s="127" t="str">
        <f t="shared" si="3"/>
        <v/>
      </c>
      <c r="X972" s="127" t="str">
        <f t="shared" si="4"/>
        <v/>
      </c>
      <c r="Y972" s="127" t="str">
        <f t="shared" si="5"/>
        <v/>
      </c>
    </row>
    <row r="973">
      <c r="A973" s="127"/>
      <c r="B973" s="127" t="str">
        <f>IF(A973="","",VLOOKUP(A973,'BASE OS'!$A$2:$I1000,2,FALSE))</f>
        <v/>
      </c>
      <c r="C973" s="132"/>
      <c r="D973" s="127"/>
      <c r="E973" s="127"/>
      <c r="F973" s="127"/>
      <c r="G973" s="127"/>
      <c r="H973" s="130"/>
      <c r="I973" s="130"/>
      <c r="J973" s="130">
        <f t="shared" si="1"/>
        <v>0</v>
      </c>
      <c r="K973" s="130"/>
      <c r="L973" s="130"/>
      <c r="M973" s="130">
        <f t="shared" si="2"/>
        <v>0</v>
      </c>
      <c r="N973" s="130"/>
      <c r="O973" s="130"/>
      <c r="P973" s="127"/>
      <c r="Q973" s="127"/>
      <c r="R973" s="127"/>
      <c r="S973" s="127"/>
      <c r="T973" s="127" t="str">
        <f>IF(A973="","",VLOOKUP(A973,'BASE OS'!$A$2:$I1000,4,FALSE))</f>
        <v/>
      </c>
      <c r="U973" s="127"/>
      <c r="V973" s="127"/>
      <c r="W973" s="127" t="str">
        <f t="shared" si="3"/>
        <v/>
      </c>
      <c r="X973" s="127" t="str">
        <f t="shared" si="4"/>
        <v/>
      </c>
      <c r="Y973" s="127" t="str">
        <f t="shared" si="5"/>
        <v/>
      </c>
    </row>
    <row r="974">
      <c r="A974" s="127"/>
      <c r="B974" s="127" t="str">
        <f>IF(A974="","",VLOOKUP(A974,'BASE OS'!$A$2:$I1000,2,FALSE))</f>
        <v/>
      </c>
      <c r="C974" s="132"/>
      <c r="D974" s="127"/>
      <c r="E974" s="127"/>
      <c r="F974" s="127"/>
      <c r="G974" s="127"/>
      <c r="H974" s="130"/>
      <c r="I974" s="130"/>
      <c r="J974" s="130">
        <f t="shared" si="1"/>
        <v>0</v>
      </c>
      <c r="K974" s="130"/>
      <c r="L974" s="130"/>
      <c r="M974" s="130">
        <f t="shared" si="2"/>
        <v>0</v>
      </c>
      <c r="N974" s="130"/>
      <c r="O974" s="130"/>
      <c r="P974" s="127"/>
      <c r="Q974" s="127"/>
      <c r="R974" s="127"/>
      <c r="S974" s="127"/>
      <c r="T974" s="127" t="str">
        <f>IF(A974="","",VLOOKUP(A974,'BASE OS'!$A$2:$I1000,4,FALSE))</f>
        <v/>
      </c>
      <c r="U974" s="127"/>
      <c r="V974" s="127"/>
      <c r="W974" s="127" t="str">
        <f t="shared" si="3"/>
        <v/>
      </c>
      <c r="X974" s="127" t="str">
        <f t="shared" si="4"/>
        <v/>
      </c>
      <c r="Y974" s="127" t="str">
        <f t="shared" si="5"/>
        <v/>
      </c>
    </row>
    <row r="975">
      <c r="A975" s="127"/>
      <c r="B975" s="127" t="str">
        <f>IF(A975="","",VLOOKUP(A975,'BASE OS'!$A$2:$I1000,2,FALSE))</f>
        <v/>
      </c>
      <c r="C975" s="132"/>
      <c r="D975" s="127"/>
      <c r="E975" s="127"/>
      <c r="F975" s="127"/>
      <c r="G975" s="127"/>
      <c r="H975" s="130"/>
      <c r="I975" s="130"/>
      <c r="J975" s="130">
        <f t="shared" si="1"/>
        <v>0</v>
      </c>
      <c r="K975" s="130"/>
      <c r="L975" s="130"/>
      <c r="M975" s="130">
        <f t="shared" si="2"/>
        <v>0</v>
      </c>
      <c r="N975" s="130"/>
      <c r="O975" s="130"/>
      <c r="P975" s="127"/>
      <c r="Q975" s="127"/>
      <c r="R975" s="127"/>
      <c r="S975" s="127"/>
      <c r="T975" s="127" t="str">
        <f>IF(A975="","",VLOOKUP(A975,'BASE OS'!$A$2:$I1000,4,FALSE))</f>
        <v/>
      </c>
      <c r="U975" s="127"/>
      <c r="V975" s="127"/>
      <c r="W975" s="127" t="str">
        <f t="shared" si="3"/>
        <v/>
      </c>
      <c r="X975" s="127" t="str">
        <f t="shared" si="4"/>
        <v/>
      </c>
      <c r="Y975" s="127" t="str">
        <f t="shared" si="5"/>
        <v/>
      </c>
    </row>
    <row r="976">
      <c r="A976" s="127"/>
      <c r="B976" s="127" t="str">
        <f>IF(A976="","",VLOOKUP(A976,'BASE OS'!$A$2:$I1000,2,FALSE))</f>
        <v/>
      </c>
      <c r="C976" s="132"/>
      <c r="D976" s="127"/>
      <c r="E976" s="127"/>
      <c r="F976" s="127"/>
      <c r="G976" s="127"/>
      <c r="H976" s="130"/>
      <c r="I976" s="130"/>
      <c r="J976" s="130">
        <f t="shared" si="1"/>
        <v>0</v>
      </c>
      <c r="K976" s="130"/>
      <c r="L976" s="130"/>
      <c r="M976" s="130">
        <f t="shared" si="2"/>
        <v>0</v>
      </c>
      <c r="N976" s="130"/>
      <c r="O976" s="130"/>
      <c r="P976" s="127"/>
      <c r="Q976" s="127"/>
      <c r="R976" s="127"/>
      <c r="S976" s="127"/>
      <c r="T976" s="127" t="str">
        <f>IF(A976="","",VLOOKUP(A976,'BASE OS'!$A$2:$I1000,4,FALSE))</f>
        <v/>
      </c>
      <c r="U976" s="127"/>
      <c r="V976" s="127"/>
      <c r="W976" s="127" t="str">
        <f t="shared" si="3"/>
        <v/>
      </c>
      <c r="X976" s="127" t="str">
        <f t="shared" si="4"/>
        <v/>
      </c>
      <c r="Y976" s="127" t="str">
        <f t="shared" si="5"/>
        <v/>
      </c>
    </row>
    <row r="977">
      <c r="A977" s="127"/>
      <c r="B977" s="127" t="str">
        <f>IF(A977="","",VLOOKUP(A977,'BASE OS'!$A$2:$I1000,2,FALSE))</f>
        <v/>
      </c>
      <c r="C977" s="132"/>
      <c r="D977" s="127"/>
      <c r="E977" s="127"/>
      <c r="F977" s="127"/>
      <c r="G977" s="127"/>
      <c r="H977" s="130"/>
      <c r="I977" s="130"/>
      <c r="J977" s="130">
        <f t="shared" si="1"/>
        <v>0</v>
      </c>
      <c r="K977" s="130"/>
      <c r="L977" s="130"/>
      <c r="M977" s="130">
        <f t="shared" si="2"/>
        <v>0</v>
      </c>
      <c r="N977" s="130"/>
      <c r="O977" s="130"/>
      <c r="P977" s="127"/>
      <c r="Q977" s="127"/>
      <c r="R977" s="127"/>
      <c r="S977" s="127"/>
      <c r="T977" s="127" t="str">
        <f>IF(A977="","",VLOOKUP(A977,'BASE OS'!$A$2:$I1000,4,FALSE))</f>
        <v/>
      </c>
      <c r="U977" s="127"/>
      <c r="V977" s="127"/>
      <c r="W977" s="127" t="str">
        <f t="shared" si="3"/>
        <v/>
      </c>
      <c r="X977" s="127" t="str">
        <f t="shared" si="4"/>
        <v/>
      </c>
      <c r="Y977" s="127" t="str">
        <f t="shared" si="5"/>
        <v/>
      </c>
    </row>
    <row r="978">
      <c r="A978" s="127"/>
      <c r="B978" s="127" t="str">
        <f>IF(A978="","",VLOOKUP(A978,'BASE OS'!$A$2:$I1000,2,FALSE))</f>
        <v/>
      </c>
      <c r="C978" s="132"/>
      <c r="D978" s="127"/>
      <c r="E978" s="127"/>
      <c r="F978" s="127"/>
      <c r="G978" s="127"/>
      <c r="H978" s="130"/>
      <c r="I978" s="130"/>
      <c r="J978" s="130">
        <f t="shared" si="1"/>
        <v>0</v>
      </c>
      <c r="K978" s="130"/>
      <c r="L978" s="130"/>
      <c r="M978" s="130">
        <f t="shared" si="2"/>
        <v>0</v>
      </c>
      <c r="N978" s="130"/>
      <c r="O978" s="130"/>
      <c r="P978" s="127"/>
      <c r="Q978" s="127"/>
      <c r="R978" s="127"/>
      <c r="S978" s="127"/>
      <c r="T978" s="127" t="str">
        <f>IF(A978="","",VLOOKUP(A978,'BASE OS'!$A$2:$I1000,4,FALSE))</f>
        <v/>
      </c>
      <c r="U978" s="127"/>
      <c r="V978" s="127"/>
      <c r="W978" s="127" t="str">
        <f t="shared" si="3"/>
        <v/>
      </c>
      <c r="X978" s="127" t="str">
        <f t="shared" si="4"/>
        <v/>
      </c>
      <c r="Y978" s="127" t="str">
        <f t="shared" si="5"/>
        <v/>
      </c>
    </row>
    <row r="979">
      <c r="A979" s="127"/>
      <c r="B979" s="127" t="str">
        <f>IF(A979="","",VLOOKUP(A979,'BASE OS'!$A$2:$I1000,2,FALSE))</f>
        <v/>
      </c>
      <c r="C979" s="132"/>
      <c r="D979" s="127"/>
      <c r="E979" s="127"/>
      <c r="F979" s="127"/>
      <c r="G979" s="127"/>
      <c r="H979" s="130"/>
      <c r="I979" s="130"/>
      <c r="J979" s="130">
        <f t="shared" si="1"/>
        <v>0</v>
      </c>
      <c r="K979" s="130"/>
      <c r="L979" s="130"/>
      <c r="M979" s="130">
        <f t="shared" si="2"/>
        <v>0</v>
      </c>
      <c r="N979" s="130"/>
      <c r="O979" s="130"/>
      <c r="P979" s="127"/>
      <c r="Q979" s="127"/>
      <c r="R979" s="127"/>
      <c r="S979" s="127"/>
      <c r="T979" s="127" t="str">
        <f>IF(A979="","",VLOOKUP(A979,'BASE OS'!$A$2:$I1000,4,FALSE))</f>
        <v/>
      </c>
      <c r="U979" s="127"/>
      <c r="V979" s="127"/>
      <c r="W979" s="127" t="str">
        <f t="shared" si="3"/>
        <v/>
      </c>
      <c r="X979" s="127" t="str">
        <f t="shared" si="4"/>
        <v/>
      </c>
      <c r="Y979" s="127" t="str">
        <f t="shared" si="5"/>
        <v/>
      </c>
    </row>
    <row r="980">
      <c r="A980" s="127"/>
      <c r="B980" s="127" t="str">
        <f>IF(A980="","",VLOOKUP(A980,'BASE OS'!$A$2:$I1000,2,FALSE))</f>
        <v/>
      </c>
      <c r="C980" s="132"/>
      <c r="D980" s="127"/>
      <c r="E980" s="127"/>
      <c r="F980" s="127"/>
      <c r="G980" s="127"/>
      <c r="H980" s="130"/>
      <c r="I980" s="130"/>
      <c r="J980" s="130">
        <f t="shared" si="1"/>
        <v>0</v>
      </c>
      <c r="K980" s="130"/>
      <c r="L980" s="130"/>
      <c r="M980" s="130">
        <f t="shared" si="2"/>
        <v>0</v>
      </c>
      <c r="N980" s="130"/>
      <c r="O980" s="130"/>
      <c r="P980" s="127"/>
      <c r="Q980" s="127"/>
      <c r="R980" s="127"/>
      <c r="S980" s="127"/>
      <c r="T980" s="127" t="str">
        <f>IF(A980="","",VLOOKUP(A980,'BASE OS'!$A$2:$I1000,4,FALSE))</f>
        <v/>
      </c>
      <c r="U980" s="127"/>
      <c r="V980" s="127"/>
      <c r="W980" s="127" t="str">
        <f t="shared" si="3"/>
        <v/>
      </c>
      <c r="X980" s="127" t="str">
        <f t="shared" si="4"/>
        <v/>
      </c>
      <c r="Y980" s="127" t="str">
        <f t="shared" si="5"/>
        <v/>
      </c>
    </row>
    <row r="981">
      <c r="A981" s="127"/>
      <c r="B981" s="127" t="str">
        <f>IF(A981="","",VLOOKUP(A981,'BASE OS'!$A$2:$I1000,2,FALSE))</f>
        <v/>
      </c>
      <c r="C981" s="132"/>
      <c r="D981" s="127"/>
      <c r="E981" s="127"/>
      <c r="F981" s="127"/>
      <c r="G981" s="127"/>
      <c r="H981" s="130"/>
      <c r="I981" s="130"/>
      <c r="J981" s="130">
        <f t="shared" si="1"/>
        <v>0</v>
      </c>
      <c r="K981" s="130"/>
      <c r="L981" s="130"/>
      <c r="M981" s="130">
        <f t="shared" si="2"/>
        <v>0</v>
      </c>
      <c r="N981" s="130"/>
      <c r="O981" s="130"/>
      <c r="P981" s="127"/>
      <c r="Q981" s="127"/>
      <c r="R981" s="127"/>
      <c r="S981" s="127"/>
      <c r="T981" s="127" t="str">
        <f>IF(A981="","",VLOOKUP(A981,'BASE OS'!$A$2:$I1000,4,FALSE))</f>
        <v/>
      </c>
      <c r="U981" s="127"/>
      <c r="V981" s="127"/>
      <c r="W981" s="127" t="str">
        <f t="shared" si="3"/>
        <v/>
      </c>
      <c r="X981" s="127" t="str">
        <f t="shared" si="4"/>
        <v/>
      </c>
      <c r="Y981" s="127" t="str">
        <f t="shared" si="5"/>
        <v/>
      </c>
    </row>
    <row r="982">
      <c r="A982" s="127"/>
      <c r="B982" s="127" t="str">
        <f>IF(A982="","",VLOOKUP(A982,'BASE OS'!$A$2:$I1000,2,FALSE))</f>
        <v/>
      </c>
      <c r="C982" s="132"/>
      <c r="D982" s="127"/>
      <c r="E982" s="127"/>
      <c r="F982" s="127"/>
      <c r="G982" s="127"/>
      <c r="H982" s="130"/>
      <c r="I982" s="130"/>
      <c r="J982" s="130">
        <f t="shared" si="1"/>
        <v>0</v>
      </c>
      <c r="K982" s="130"/>
      <c r="L982" s="130"/>
      <c r="M982" s="130">
        <f t="shared" si="2"/>
        <v>0</v>
      </c>
      <c r="N982" s="130"/>
      <c r="O982" s="130"/>
      <c r="P982" s="127"/>
      <c r="Q982" s="127"/>
      <c r="R982" s="127"/>
      <c r="S982" s="127"/>
      <c r="T982" s="127" t="str">
        <f>IF(A982="","",VLOOKUP(A982,'BASE OS'!$A$2:$I1000,4,FALSE))</f>
        <v/>
      </c>
      <c r="U982" s="127"/>
      <c r="V982" s="127"/>
      <c r="W982" s="127" t="str">
        <f t="shared" si="3"/>
        <v/>
      </c>
      <c r="X982" s="127" t="str">
        <f t="shared" si="4"/>
        <v/>
      </c>
      <c r="Y982" s="127" t="str">
        <f t="shared" si="5"/>
        <v/>
      </c>
    </row>
    <row r="983">
      <c r="A983" s="127"/>
      <c r="B983" s="127" t="str">
        <f>IF(A983="","",VLOOKUP(A983,'BASE OS'!$A$2:$I1000,2,FALSE))</f>
        <v/>
      </c>
      <c r="C983" s="132"/>
      <c r="D983" s="127"/>
      <c r="E983" s="127"/>
      <c r="F983" s="127"/>
      <c r="G983" s="127"/>
      <c r="H983" s="130"/>
      <c r="I983" s="130"/>
      <c r="J983" s="130">
        <f t="shared" si="1"/>
        <v>0</v>
      </c>
      <c r="K983" s="130"/>
      <c r="L983" s="130"/>
      <c r="M983" s="130">
        <f t="shared" si="2"/>
        <v>0</v>
      </c>
      <c r="N983" s="130"/>
      <c r="O983" s="130"/>
      <c r="P983" s="127"/>
      <c r="Q983" s="127"/>
      <c r="R983" s="127"/>
      <c r="S983" s="127"/>
      <c r="T983" s="127" t="str">
        <f>IF(A983="","",VLOOKUP(A983,'BASE OS'!$A$2:$I1000,4,FALSE))</f>
        <v/>
      </c>
      <c r="U983" s="127"/>
      <c r="V983" s="127"/>
      <c r="W983" s="127" t="str">
        <f t="shared" si="3"/>
        <v/>
      </c>
      <c r="X983" s="127" t="str">
        <f t="shared" si="4"/>
        <v/>
      </c>
      <c r="Y983" s="127" t="str">
        <f t="shared" si="5"/>
        <v/>
      </c>
    </row>
    <row r="984">
      <c r="A984" s="127"/>
      <c r="B984" s="127" t="str">
        <f>IF(A984="","",VLOOKUP(A984,'BASE OS'!$A$2:$I1000,2,FALSE))</f>
        <v/>
      </c>
      <c r="C984" s="132"/>
      <c r="D984" s="127"/>
      <c r="E984" s="127"/>
      <c r="F984" s="127"/>
      <c r="G984" s="127"/>
      <c r="H984" s="130"/>
      <c r="I984" s="130"/>
      <c r="J984" s="130">
        <f t="shared" si="1"/>
        <v>0</v>
      </c>
      <c r="K984" s="130"/>
      <c r="L984" s="130"/>
      <c r="M984" s="130">
        <f t="shared" si="2"/>
        <v>0</v>
      </c>
      <c r="N984" s="130"/>
      <c r="O984" s="130"/>
      <c r="P984" s="127"/>
      <c r="Q984" s="127"/>
      <c r="R984" s="127"/>
      <c r="S984" s="127"/>
      <c r="T984" s="127" t="str">
        <f>IF(A984="","",VLOOKUP(A984,'BASE OS'!$A$2:$I1000,4,FALSE))</f>
        <v/>
      </c>
      <c r="U984" s="127"/>
      <c r="V984" s="127"/>
      <c r="W984" s="127" t="str">
        <f t="shared" si="3"/>
        <v/>
      </c>
      <c r="X984" s="127" t="str">
        <f t="shared" si="4"/>
        <v/>
      </c>
      <c r="Y984" s="127" t="str">
        <f t="shared" si="5"/>
        <v/>
      </c>
    </row>
    <row r="985">
      <c r="A985" s="127"/>
      <c r="B985" s="127" t="str">
        <f>IF(A985="","",VLOOKUP(A985,'BASE OS'!$A$2:$I1000,2,FALSE))</f>
        <v/>
      </c>
      <c r="C985" s="132"/>
      <c r="D985" s="127"/>
      <c r="E985" s="127"/>
      <c r="F985" s="127"/>
      <c r="G985" s="127"/>
      <c r="H985" s="130"/>
      <c r="I985" s="130"/>
      <c r="J985" s="130">
        <f t="shared" si="1"/>
        <v>0</v>
      </c>
      <c r="K985" s="130"/>
      <c r="L985" s="130"/>
      <c r="M985" s="130">
        <f t="shared" si="2"/>
        <v>0</v>
      </c>
      <c r="N985" s="130"/>
      <c r="O985" s="130"/>
      <c r="P985" s="127"/>
      <c r="Q985" s="127"/>
      <c r="R985" s="127"/>
      <c r="S985" s="127"/>
      <c r="T985" s="127" t="str">
        <f>IF(A985="","",VLOOKUP(A985,'BASE OS'!$A$2:$I1000,4,FALSE))</f>
        <v/>
      </c>
      <c r="U985" s="127"/>
      <c r="V985" s="127"/>
      <c r="W985" s="127" t="str">
        <f t="shared" si="3"/>
        <v/>
      </c>
      <c r="X985" s="127" t="str">
        <f t="shared" si="4"/>
        <v/>
      </c>
      <c r="Y985" s="127" t="str">
        <f t="shared" si="5"/>
        <v/>
      </c>
    </row>
    <row r="986">
      <c r="A986" s="127"/>
      <c r="B986" s="127" t="str">
        <f>IF(A986="","",VLOOKUP(A986,'BASE OS'!$A$2:$I1000,2,FALSE))</f>
        <v/>
      </c>
      <c r="C986" s="132"/>
      <c r="D986" s="127"/>
      <c r="E986" s="127"/>
      <c r="F986" s="127"/>
      <c r="G986" s="127"/>
      <c r="H986" s="130"/>
      <c r="I986" s="130"/>
      <c r="J986" s="130">
        <f t="shared" si="1"/>
        <v>0</v>
      </c>
      <c r="K986" s="130"/>
      <c r="L986" s="130"/>
      <c r="M986" s="130">
        <f t="shared" si="2"/>
        <v>0</v>
      </c>
      <c r="N986" s="130"/>
      <c r="O986" s="130"/>
      <c r="P986" s="127"/>
      <c r="Q986" s="127"/>
      <c r="R986" s="127"/>
      <c r="S986" s="127"/>
      <c r="T986" s="127" t="str">
        <f>IF(A986="","",VLOOKUP(A986,'BASE OS'!$A$2:$I1000,4,FALSE))</f>
        <v/>
      </c>
      <c r="U986" s="127"/>
      <c r="V986" s="127"/>
      <c r="W986" s="127" t="str">
        <f t="shared" si="3"/>
        <v/>
      </c>
      <c r="X986" s="127" t="str">
        <f t="shared" si="4"/>
        <v/>
      </c>
      <c r="Y986" s="127" t="str">
        <f t="shared" si="5"/>
        <v/>
      </c>
    </row>
    <row r="987">
      <c r="A987" s="127"/>
      <c r="B987" s="127" t="str">
        <f>IF(A987="","",VLOOKUP(A987,'BASE OS'!$A$2:$I1000,2,FALSE))</f>
        <v/>
      </c>
      <c r="C987" s="132"/>
      <c r="D987" s="127"/>
      <c r="E987" s="127"/>
      <c r="F987" s="127"/>
      <c r="G987" s="127"/>
      <c r="H987" s="130"/>
      <c r="I987" s="130"/>
      <c r="J987" s="130">
        <f t="shared" si="1"/>
        <v>0</v>
      </c>
      <c r="K987" s="130"/>
      <c r="L987" s="130"/>
      <c r="M987" s="130">
        <f t="shared" si="2"/>
        <v>0</v>
      </c>
      <c r="N987" s="130"/>
      <c r="O987" s="130"/>
      <c r="P987" s="127"/>
      <c r="Q987" s="127"/>
      <c r="R987" s="127"/>
      <c r="S987" s="127"/>
      <c r="T987" s="127" t="str">
        <f>IF(A987="","",VLOOKUP(A987,'BASE OS'!$A$2:$I1000,4,FALSE))</f>
        <v/>
      </c>
      <c r="U987" s="127"/>
      <c r="V987" s="127"/>
      <c r="W987" s="127" t="str">
        <f t="shared" si="3"/>
        <v/>
      </c>
      <c r="X987" s="127" t="str">
        <f t="shared" si="4"/>
        <v/>
      </c>
      <c r="Y987" s="127" t="str">
        <f t="shared" si="5"/>
        <v/>
      </c>
    </row>
    <row r="988">
      <c r="A988" s="127"/>
      <c r="B988" s="127" t="str">
        <f>IF(A988="","",VLOOKUP(A988,'BASE OS'!$A$2:$I1000,2,FALSE))</f>
        <v/>
      </c>
      <c r="C988" s="132"/>
      <c r="D988" s="127"/>
      <c r="E988" s="127"/>
      <c r="F988" s="127"/>
      <c r="G988" s="127"/>
      <c r="H988" s="130"/>
      <c r="I988" s="130"/>
      <c r="J988" s="130">
        <f t="shared" si="1"/>
        <v>0</v>
      </c>
      <c r="K988" s="130"/>
      <c r="L988" s="130"/>
      <c r="M988" s="130">
        <f t="shared" si="2"/>
        <v>0</v>
      </c>
      <c r="N988" s="130"/>
      <c r="O988" s="130"/>
      <c r="P988" s="127"/>
      <c r="Q988" s="127"/>
      <c r="R988" s="127"/>
      <c r="S988" s="127"/>
      <c r="T988" s="127" t="str">
        <f>IF(A988="","",VLOOKUP(A988,'BASE OS'!$A$2:$I1000,4,FALSE))</f>
        <v/>
      </c>
      <c r="U988" s="127"/>
      <c r="V988" s="127"/>
      <c r="W988" s="127" t="str">
        <f t="shared" si="3"/>
        <v/>
      </c>
      <c r="X988" s="127" t="str">
        <f t="shared" si="4"/>
        <v/>
      </c>
      <c r="Y988" s="127" t="str">
        <f t="shared" si="5"/>
        <v/>
      </c>
    </row>
    <row r="989">
      <c r="A989" s="127"/>
      <c r="B989" s="127" t="str">
        <f>IF(A989="","",VLOOKUP(A989,'BASE OS'!$A$2:$I1000,2,FALSE))</f>
        <v/>
      </c>
      <c r="C989" s="132"/>
      <c r="D989" s="127"/>
      <c r="E989" s="127"/>
      <c r="F989" s="127"/>
      <c r="G989" s="127"/>
      <c r="H989" s="130"/>
      <c r="I989" s="130"/>
      <c r="J989" s="130">
        <f t="shared" si="1"/>
        <v>0</v>
      </c>
      <c r="K989" s="130"/>
      <c r="L989" s="130"/>
      <c r="M989" s="130">
        <f t="shared" si="2"/>
        <v>0</v>
      </c>
      <c r="N989" s="130"/>
      <c r="O989" s="130"/>
      <c r="P989" s="127"/>
      <c r="Q989" s="127"/>
      <c r="R989" s="127"/>
      <c r="S989" s="127"/>
      <c r="T989" s="127" t="str">
        <f>IF(A989="","",VLOOKUP(A989,'BASE OS'!$A$2:$I1000,4,FALSE))</f>
        <v/>
      </c>
      <c r="U989" s="127"/>
      <c r="V989" s="127"/>
      <c r="W989" s="127" t="str">
        <f t="shared" si="3"/>
        <v/>
      </c>
      <c r="X989" s="127" t="str">
        <f t="shared" si="4"/>
        <v/>
      </c>
      <c r="Y989" s="127" t="str">
        <f t="shared" si="5"/>
        <v/>
      </c>
    </row>
    <row r="990">
      <c r="A990" s="127"/>
      <c r="B990" s="127" t="str">
        <f>IF(A990="","",VLOOKUP(A990,'BASE OS'!$A$2:$I1000,2,FALSE))</f>
        <v/>
      </c>
      <c r="C990" s="132"/>
      <c r="D990" s="127"/>
      <c r="E990" s="127"/>
      <c r="F990" s="127"/>
      <c r="G990" s="127"/>
      <c r="H990" s="130"/>
      <c r="I990" s="130"/>
      <c r="J990" s="130">
        <f t="shared" si="1"/>
        <v>0</v>
      </c>
      <c r="K990" s="130"/>
      <c r="L990" s="130"/>
      <c r="M990" s="130">
        <f t="shared" si="2"/>
        <v>0</v>
      </c>
      <c r="N990" s="130"/>
      <c r="O990" s="130"/>
      <c r="P990" s="127"/>
      <c r="Q990" s="127"/>
      <c r="R990" s="127"/>
      <c r="S990" s="127"/>
      <c r="T990" s="127" t="str">
        <f>IF(A990="","",VLOOKUP(A990,'BASE OS'!$A$2:$I1000,4,FALSE))</f>
        <v/>
      </c>
      <c r="U990" s="127"/>
      <c r="V990" s="127"/>
      <c r="W990" s="127" t="str">
        <f t="shared" si="3"/>
        <v/>
      </c>
      <c r="X990" s="127" t="str">
        <f t="shared" si="4"/>
        <v/>
      </c>
      <c r="Y990" s="127" t="str">
        <f t="shared" si="5"/>
        <v/>
      </c>
    </row>
    <row r="991">
      <c r="A991" s="127"/>
      <c r="B991" s="127" t="str">
        <f>IF(A991="","",VLOOKUP(A991,'BASE OS'!$A$2:$I1000,2,FALSE))</f>
        <v/>
      </c>
      <c r="C991" s="132"/>
      <c r="D991" s="127"/>
      <c r="E991" s="127"/>
      <c r="F991" s="127"/>
      <c r="G991" s="127"/>
      <c r="H991" s="130"/>
      <c r="I991" s="130"/>
      <c r="J991" s="130">
        <f t="shared" si="1"/>
        <v>0</v>
      </c>
      <c r="K991" s="130"/>
      <c r="L991" s="130"/>
      <c r="M991" s="130">
        <f t="shared" si="2"/>
        <v>0</v>
      </c>
      <c r="N991" s="130"/>
      <c r="O991" s="130"/>
      <c r="P991" s="127"/>
      <c r="Q991" s="127"/>
      <c r="R991" s="127"/>
      <c r="S991" s="127"/>
      <c r="T991" s="127" t="str">
        <f>IF(A991="","",VLOOKUP(A991,'BASE OS'!$A$2:$I1000,4,FALSE))</f>
        <v/>
      </c>
      <c r="U991" s="127"/>
      <c r="V991" s="127"/>
      <c r="W991" s="127" t="str">
        <f t="shared" si="3"/>
        <v/>
      </c>
      <c r="X991" s="127" t="str">
        <f t="shared" si="4"/>
        <v/>
      </c>
      <c r="Y991" s="127" t="str">
        <f t="shared" si="5"/>
        <v/>
      </c>
    </row>
    <row r="992">
      <c r="A992" s="127"/>
      <c r="B992" s="127" t="str">
        <f>IF(A992="","",VLOOKUP(A992,'BASE OS'!$A$2:$I1000,2,FALSE))</f>
        <v/>
      </c>
      <c r="C992" s="132"/>
      <c r="D992" s="127"/>
      <c r="E992" s="127"/>
      <c r="F992" s="127"/>
      <c r="G992" s="127"/>
      <c r="H992" s="130"/>
      <c r="I992" s="130"/>
      <c r="J992" s="130">
        <f t="shared" si="1"/>
        <v>0</v>
      </c>
      <c r="K992" s="130"/>
      <c r="L992" s="130"/>
      <c r="M992" s="130">
        <f t="shared" si="2"/>
        <v>0</v>
      </c>
      <c r="N992" s="130"/>
      <c r="O992" s="130"/>
      <c r="P992" s="127"/>
      <c r="Q992" s="127"/>
      <c r="R992" s="127"/>
      <c r="S992" s="127"/>
      <c r="T992" s="127" t="str">
        <f>IF(A992="","",VLOOKUP(A992,'BASE OS'!$A$2:$I1000,4,FALSE))</f>
        <v/>
      </c>
      <c r="U992" s="127"/>
      <c r="V992" s="127"/>
      <c r="W992" s="127" t="str">
        <f t="shared" si="3"/>
        <v/>
      </c>
      <c r="X992" s="127" t="str">
        <f t="shared" si="4"/>
        <v/>
      </c>
      <c r="Y992" s="127" t="str">
        <f t="shared" si="5"/>
        <v/>
      </c>
    </row>
    <row r="993">
      <c r="A993" s="127"/>
      <c r="B993" s="127" t="str">
        <f>IF(A993="","",VLOOKUP(A993,'BASE OS'!$A$2:$I1000,2,FALSE))</f>
        <v/>
      </c>
      <c r="C993" s="132"/>
      <c r="D993" s="127"/>
      <c r="E993" s="127"/>
      <c r="F993" s="127"/>
      <c r="G993" s="127"/>
      <c r="H993" s="130"/>
      <c r="I993" s="130"/>
      <c r="J993" s="130">
        <f t="shared" si="1"/>
        <v>0</v>
      </c>
      <c r="K993" s="130"/>
      <c r="L993" s="130"/>
      <c r="M993" s="130">
        <f t="shared" si="2"/>
        <v>0</v>
      </c>
      <c r="N993" s="130"/>
      <c r="O993" s="130"/>
      <c r="P993" s="127"/>
      <c r="Q993" s="127"/>
      <c r="R993" s="127"/>
      <c r="S993" s="127"/>
      <c r="T993" s="127" t="str">
        <f>IF(A993="","",VLOOKUP(A993,'BASE OS'!$A$2:$I1000,4,FALSE))</f>
        <v/>
      </c>
      <c r="U993" s="127"/>
      <c r="V993" s="127"/>
      <c r="W993" s="127" t="str">
        <f t="shared" si="3"/>
        <v/>
      </c>
      <c r="X993" s="127" t="str">
        <f t="shared" si="4"/>
        <v/>
      </c>
      <c r="Y993" s="127" t="str">
        <f t="shared" si="5"/>
        <v/>
      </c>
    </row>
    <row r="994">
      <c r="A994" s="127"/>
      <c r="B994" s="127" t="str">
        <f>IF(A994="","",VLOOKUP(A994,'BASE OS'!$A$2:$I1000,2,FALSE))</f>
        <v/>
      </c>
      <c r="C994" s="132"/>
      <c r="D994" s="127"/>
      <c r="E994" s="127"/>
      <c r="F994" s="127"/>
      <c r="G994" s="127"/>
      <c r="H994" s="130"/>
      <c r="I994" s="130"/>
      <c r="J994" s="130">
        <f t="shared" si="1"/>
        <v>0</v>
      </c>
      <c r="K994" s="130"/>
      <c r="L994" s="130"/>
      <c r="M994" s="130">
        <f t="shared" si="2"/>
        <v>0</v>
      </c>
      <c r="N994" s="130"/>
      <c r="O994" s="130"/>
      <c r="P994" s="127"/>
      <c r="Q994" s="127"/>
      <c r="R994" s="127"/>
      <c r="S994" s="127"/>
      <c r="T994" s="127" t="str">
        <f>IF(A994="","",VLOOKUP(A994,'BASE OS'!$A$2:$I1000,4,FALSE))</f>
        <v/>
      </c>
      <c r="U994" s="127"/>
      <c r="V994" s="127"/>
      <c r="W994" s="127" t="str">
        <f t="shared" si="3"/>
        <v/>
      </c>
      <c r="X994" s="127" t="str">
        <f t="shared" si="4"/>
        <v/>
      </c>
      <c r="Y994" s="127" t="str">
        <f t="shared" si="5"/>
        <v/>
      </c>
    </row>
    <row r="995">
      <c r="A995" s="127"/>
      <c r="B995" s="127" t="str">
        <f>IF(A995="","",VLOOKUP(A995,'BASE OS'!$A$2:$I1000,2,FALSE))</f>
        <v/>
      </c>
      <c r="C995" s="132"/>
      <c r="D995" s="127"/>
      <c r="E995" s="127"/>
      <c r="F995" s="127"/>
      <c r="G995" s="127"/>
      <c r="H995" s="130"/>
      <c r="I995" s="130"/>
      <c r="J995" s="130">
        <f t="shared" si="1"/>
        <v>0</v>
      </c>
      <c r="K995" s="130"/>
      <c r="L995" s="130"/>
      <c r="M995" s="130">
        <f t="shared" si="2"/>
        <v>0</v>
      </c>
      <c r="N995" s="130"/>
      <c r="O995" s="130"/>
      <c r="P995" s="127"/>
      <c r="Q995" s="127"/>
      <c r="R995" s="127"/>
      <c r="S995" s="127"/>
      <c r="T995" s="127" t="str">
        <f>IF(A995="","",VLOOKUP(A995,'BASE OS'!$A$2:$I1000,4,FALSE))</f>
        <v/>
      </c>
      <c r="U995" s="127"/>
      <c r="V995" s="127"/>
      <c r="W995" s="127" t="str">
        <f t="shared" si="3"/>
        <v/>
      </c>
      <c r="X995" s="127" t="str">
        <f t="shared" si="4"/>
        <v/>
      </c>
      <c r="Y995" s="127" t="str">
        <f t="shared" si="5"/>
        <v/>
      </c>
    </row>
    <row r="996">
      <c r="A996" s="127"/>
      <c r="B996" s="127" t="str">
        <f>IF(A996="","",VLOOKUP(A996,'BASE OS'!$A$2:$I1000,2,FALSE))</f>
        <v/>
      </c>
      <c r="C996" s="132"/>
      <c r="D996" s="127"/>
      <c r="E996" s="127"/>
      <c r="F996" s="127"/>
      <c r="G996" s="127"/>
      <c r="H996" s="130"/>
      <c r="I996" s="130"/>
      <c r="J996" s="130">
        <f t="shared" si="1"/>
        <v>0</v>
      </c>
      <c r="K996" s="130"/>
      <c r="L996" s="130"/>
      <c r="M996" s="130">
        <f t="shared" si="2"/>
        <v>0</v>
      </c>
      <c r="N996" s="130"/>
      <c r="O996" s="130"/>
      <c r="P996" s="127"/>
      <c r="Q996" s="127"/>
      <c r="R996" s="127"/>
      <c r="S996" s="127"/>
      <c r="T996" s="127" t="str">
        <f>IF(A996="","",VLOOKUP(A996,'BASE OS'!$A$2:$I1000,4,FALSE))</f>
        <v/>
      </c>
      <c r="U996" s="127"/>
      <c r="V996" s="127"/>
      <c r="W996" s="127" t="str">
        <f t="shared" si="3"/>
        <v/>
      </c>
      <c r="X996" s="127" t="str">
        <f t="shared" si="4"/>
        <v/>
      </c>
      <c r="Y996" s="127" t="str">
        <f t="shared" si="5"/>
        <v/>
      </c>
    </row>
    <row r="997">
      <c r="A997" s="127"/>
      <c r="B997" s="127" t="str">
        <f>IF(A997="","",VLOOKUP(A997,'BASE OS'!$A$2:$I1000,2,FALSE))</f>
        <v/>
      </c>
      <c r="C997" s="132"/>
      <c r="D997" s="127"/>
      <c r="E997" s="127"/>
      <c r="F997" s="127"/>
      <c r="G997" s="127"/>
      <c r="H997" s="130"/>
      <c r="I997" s="130"/>
      <c r="J997" s="130">
        <f t="shared" si="1"/>
        <v>0</v>
      </c>
      <c r="K997" s="130"/>
      <c r="L997" s="130"/>
      <c r="M997" s="130">
        <f t="shared" si="2"/>
        <v>0</v>
      </c>
      <c r="N997" s="130"/>
      <c r="O997" s="130"/>
      <c r="P997" s="127"/>
      <c r="Q997" s="127"/>
      <c r="R997" s="127"/>
      <c r="S997" s="127"/>
      <c r="T997" s="127" t="str">
        <f>IF(A997="","",VLOOKUP(A997,'BASE OS'!$A$2:$I1000,4,FALSE))</f>
        <v/>
      </c>
      <c r="U997" s="127"/>
      <c r="V997" s="127"/>
      <c r="W997" s="127" t="str">
        <f t="shared" si="3"/>
        <v/>
      </c>
      <c r="X997" s="127" t="str">
        <f t="shared" si="4"/>
        <v/>
      </c>
      <c r="Y997" s="127" t="str">
        <f t="shared" si="5"/>
        <v/>
      </c>
    </row>
    <row r="998">
      <c r="A998" s="127"/>
      <c r="B998" s="127" t="str">
        <f>IF(A998="","",VLOOKUP(A998,'BASE OS'!$A$2:$I1000,2,FALSE))</f>
        <v/>
      </c>
      <c r="C998" s="132"/>
      <c r="D998" s="127"/>
      <c r="E998" s="127"/>
      <c r="F998" s="127"/>
      <c r="G998" s="127"/>
      <c r="H998" s="130"/>
      <c r="I998" s="130"/>
      <c r="J998" s="130">
        <f t="shared" si="1"/>
        <v>0</v>
      </c>
      <c r="K998" s="130"/>
      <c r="L998" s="130"/>
      <c r="M998" s="130">
        <f t="shared" si="2"/>
        <v>0</v>
      </c>
      <c r="N998" s="130"/>
      <c r="O998" s="130"/>
      <c r="P998" s="127"/>
      <c r="Q998" s="127"/>
      <c r="R998" s="127"/>
      <c r="S998" s="127"/>
      <c r="T998" s="127" t="str">
        <f>IF(A998="","",VLOOKUP(A998,'BASE OS'!$A$2:$I1000,4,FALSE))</f>
        <v/>
      </c>
      <c r="U998" s="127"/>
      <c r="V998" s="127"/>
      <c r="W998" s="127" t="str">
        <f t="shared" si="3"/>
        <v/>
      </c>
      <c r="X998" s="127" t="str">
        <f t="shared" si="4"/>
        <v/>
      </c>
      <c r="Y998" s="127" t="str">
        <f t="shared" si="5"/>
        <v/>
      </c>
    </row>
    <row r="999">
      <c r="A999" s="127"/>
      <c r="B999" s="127" t="str">
        <f>IF(A999="","",VLOOKUP(A999,'BASE OS'!$A$2:$I1000,2,FALSE))</f>
        <v/>
      </c>
      <c r="C999" s="132"/>
      <c r="D999" s="127"/>
      <c r="E999" s="127"/>
      <c r="F999" s="127"/>
      <c r="G999" s="127"/>
      <c r="H999" s="130"/>
      <c r="I999" s="130"/>
      <c r="J999" s="130">
        <f t="shared" si="1"/>
        <v>0</v>
      </c>
      <c r="K999" s="130"/>
      <c r="L999" s="130"/>
      <c r="M999" s="130">
        <f t="shared" si="2"/>
        <v>0</v>
      </c>
      <c r="N999" s="130"/>
      <c r="O999" s="130"/>
      <c r="P999" s="127"/>
      <c r="Q999" s="127"/>
      <c r="R999" s="127"/>
      <c r="S999" s="127"/>
      <c r="T999" s="127" t="str">
        <f>IF(A999="","",VLOOKUP(A999,'BASE OS'!$A$2:$I1000,4,FALSE))</f>
        <v/>
      </c>
      <c r="U999" s="127"/>
      <c r="V999" s="127"/>
      <c r="W999" s="127" t="str">
        <f t="shared" si="3"/>
        <v/>
      </c>
      <c r="X999" s="127" t="str">
        <f t="shared" si="4"/>
        <v/>
      </c>
      <c r="Y999" s="127" t="str">
        <f t="shared" si="5"/>
        <v/>
      </c>
    </row>
    <row r="1000">
      <c r="A1000" s="127"/>
      <c r="B1000" s="127" t="str">
        <f>IF(A1000="","",VLOOKUP(A1000,'BASE OS'!$A$2:$I1000,2,FALSE))</f>
        <v/>
      </c>
      <c r="C1000" s="132"/>
      <c r="D1000" s="127"/>
      <c r="E1000" s="127"/>
      <c r="F1000" s="127"/>
      <c r="G1000" s="127"/>
      <c r="H1000" s="130"/>
      <c r="I1000" s="130"/>
      <c r="J1000" s="130">
        <f t="shared" si="1"/>
        <v>0</v>
      </c>
      <c r="K1000" s="130"/>
      <c r="L1000" s="130"/>
      <c r="M1000" s="130">
        <f t="shared" si="2"/>
        <v>0</v>
      </c>
      <c r="N1000" s="130"/>
      <c r="O1000" s="130"/>
      <c r="P1000" s="127"/>
      <c r="Q1000" s="127"/>
      <c r="R1000" s="127"/>
      <c r="S1000" s="127"/>
      <c r="T1000" s="127" t="str">
        <f>IF(A1000="","",VLOOKUP(A1000,'BASE OS'!$A$2:$I1000,4,FALSE))</f>
        <v/>
      </c>
      <c r="U1000" s="127"/>
      <c r="V1000" s="127"/>
      <c r="W1000" s="127" t="str">
        <f t="shared" si="3"/>
        <v/>
      </c>
      <c r="X1000" s="127" t="str">
        <f t="shared" si="4"/>
        <v/>
      </c>
      <c r="Y1000" s="127" t="str">
        <f t="shared" si="5"/>
        <v/>
      </c>
    </row>
  </sheetData>
  <conditionalFormatting sqref="A2:Y1000">
    <cfRule type="expression" dxfId="0" priority="1">
      <formula>ISODD(ROW())</formula>
    </cfRule>
  </conditionalFormatting>
  <dataValidations>
    <dataValidation type="list" allowBlank="1" showErrorMessage="1" sqref="Q2:Q1000">
      <formula1>ListaDatos[Tipo de Pago]</formula1>
    </dataValidation>
    <dataValidation type="list" allowBlank="1" showErrorMessage="1" sqref="D2:D1000">
      <formula1>ListaDatos[Tipo de Factura]</formula1>
    </dataValidation>
    <dataValidation type="list" allowBlank="1" showErrorMessage="1" sqref="R2:R1000">
      <formula1>"PENDIENTE,FACTURADO"</formula1>
    </dataValidation>
    <dataValidation type="list" allowBlank="1" showErrorMessage="1" sqref="A2:A1000">
      <formula1>ListaOS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7.38"/>
    <col customWidth="1" min="3" max="3" width="14.0"/>
    <col customWidth="1" min="4" max="4" width="20.5"/>
    <col customWidth="1" min="5" max="5" width="24.88"/>
    <col customWidth="1" min="6" max="6" width="28.75"/>
    <col customWidth="1" min="7" max="7" width="33.25"/>
    <col customWidth="1" min="8" max="8" width="17.38"/>
    <col customWidth="1" min="9" max="9" width="18.63"/>
    <col customWidth="1" min="10" max="10" width="23.25"/>
    <col customWidth="1" min="11" max="11" width="31.5"/>
  </cols>
  <sheetData>
    <row r="1" ht="22.5" customHeight="1">
      <c r="A1" s="133" t="s">
        <v>27</v>
      </c>
      <c r="B1" s="133" t="s">
        <v>28</v>
      </c>
      <c r="C1" s="133" t="s">
        <v>33</v>
      </c>
      <c r="D1" s="133" t="s">
        <v>142</v>
      </c>
      <c r="E1" s="133" t="s">
        <v>143</v>
      </c>
      <c r="F1" s="133" t="s">
        <v>144</v>
      </c>
      <c r="G1" s="133" t="s">
        <v>145</v>
      </c>
      <c r="H1" s="133" t="s">
        <v>146</v>
      </c>
      <c r="I1" s="133" t="s">
        <v>147</v>
      </c>
      <c r="J1" s="134" t="s">
        <v>148</v>
      </c>
      <c r="K1" s="134" t="s">
        <v>149</v>
      </c>
    </row>
    <row r="2" ht="22.5" customHeight="1">
      <c r="A2" s="135" t="str">
        <f t="array" ref="A2:A9">UNIQUE(INDIRECT("CXC!A2:A"&amp;COUNTA(CXC!A:A)))</f>
        <v>001-2024</v>
      </c>
      <c r="B2" s="135" t="str">
        <f t="array" ref="B2">IF(A2="","",VLOOKUP(A2,INDIRECT("CXC!A2:B"&amp;COUNTA(CXC!A:A)),2,FALSE))</f>
        <v>PANADERIA SINAI</v>
      </c>
      <c r="C2" s="136">
        <f t="array" ref="C2">IF(A2="","",VLOOKUP(A2,INDIRECT("CXC!A2:C"&amp;COUNTA(CXC!A:A)),3,FALSE))</f>
        <v>45608</v>
      </c>
      <c r="D2" s="137">
        <f t="array" ref="D2">IF(A2="","",VLOOKUP(A2,INDIRECT("CXC!A2:H"&amp;COUNTA(CXC!A:A)),8,FALSE))</f>
        <v>129.95</v>
      </c>
      <c r="E2" s="137">
        <f t="array" ref="E2">IFERROR(IF(A2="","",VLOOKUP(A2,INDIRECT("HISTÓRICO COBROS!A3:E"&amp;COUNTA('HISTÓRICO COBROS'!A:A)),5,FALSE)),"")</f>
        <v>129.95</v>
      </c>
      <c r="F2" s="137">
        <f t="array" ref="F2">IF(A2="","",VLOOKUP(A2,INDIRECT("CXC!A2:I"&amp;COUNTA(CXC!A:A)),9,FALSE))</f>
        <v>33.284</v>
      </c>
      <c r="G2" s="137">
        <f t="array" ref="G2">IFERROR(IF(A2="","",VLOOKUP(A2,INDIRECT("HISTÓRICO COBROS!A3:F"&amp;COUNTA('HISTÓRICO COBROS'!A:A)),6,FALSE)),"")</f>
        <v>33.284</v>
      </c>
      <c r="H2" s="138">
        <f t="shared" ref="H2:I2" si="1">IF(D2="","",D2+F2)</f>
        <v>163.234</v>
      </c>
      <c r="I2" s="137">
        <f t="shared" si="1"/>
        <v>163.234</v>
      </c>
      <c r="J2" s="139">
        <f t="shared" ref="J2:J1000" si="3">IF(D2="","",D2-E2)</f>
        <v>0</v>
      </c>
      <c r="K2" s="139">
        <f t="shared" ref="K2:K1000" si="4">IF(F2="","",F2-G2)</f>
        <v>0</v>
      </c>
    </row>
    <row r="3" ht="22.5" customHeight="1">
      <c r="A3" s="135" t="s">
        <v>43</v>
      </c>
      <c r="B3" s="135" t="str">
        <f t="array" ref="B3">IF(A3="","",VLOOKUP(A3,INDIRECT("CXC!A2:B"&amp;COUNTA(CXC!A:A)),2,FALSE))</f>
        <v>PINTO Y COMPANIA</v>
      </c>
      <c r="C3" s="136">
        <f t="array" ref="C3">IF(A3="","",VLOOKUP(A3,INDIRECT("CXC!A2:C"&amp;COUNTA(CXC!A:A)),3,FALSE))</f>
        <v>45608</v>
      </c>
      <c r="D3" s="137">
        <f t="array" ref="D3">IF(A3="","",VLOOKUP(A3,INDIRECT("CXC!A2:H"&amp;COUNTA(CXC!A:A)),8,FALSE))</f>
        <v>67.8</v>
      </c>
      <c r="E3" s="137">
        <f t="array" ref="E3">IFERROR(IF(A3="","",VLOOKUP(A3,INDIRECT("HISTÓRICO COBROS!A3:E"&amp;COUNTA('HISTÓRICO COBROS'!A:A)),5,FALSE)),"")</f>
        <v>67.8</v>
      </c>
      <c r="F3" s="137">
        <f t="array" ref="F3">IF(A3="","",VLOOKUP(A3,INDIRECT("CXC!A2:I"&amp;COUNTA(CXC!A:A)),9,FALSE))</f>
        <v>0</v>
      </c>
      <c r="G3" s="137">
        <f t="array" ref="G3">IFERROR(IF(A3="","",VLOOKUP(A3,INDIRECT("HISTÓRICO COBROS!A3:F"&amp;COUNTA('HISTÓRICO COBROS'!A:A)),6,FALSE)),"")</f>
        <v>0</v>
      </c>
      <c r="H3" s="138">
        <f t="shared" ref="H3:I3" si="2">IF(D3="","",D3+F3)</f>
        <v>67.8</v>
      </c>
      <c r="I3" s="137">
        <f t="shared" si="2"/>
        <v>67.8</v>
      </c>
      <c r="J3" s="139">
        <f t="shared" si="3"/>
        <v>0</v>
      </c>
      <c r="K3" s="139">
        <f t="shared" si="4"/>
        <v>0</v>
      </c>
    </row>
    <row r="4" ht="22.5" customHeight="1">
      <c r="A4" s="135" t="s">
        <v>46</v>
      </c>
      <c r="B4" s="135" t="str">
        <f t="array" ref="B4">IF(A4="","",VLOOKUP(A4,INDIRECT("CXC!A2:B"&amp;COUNTA(CXC!A:A)),2,FALSE))</f>
        <v>DIVACO</v>
      </c>
      <c r="C4" s="136">
        <f t="array" ref="C4">IF(A4="","",VLOOKUP(A4,INDIRECT("CXC!A2:C"&amp;COUNTA(CXC!A:A)),3,FALSE))</f>
        <v>45608</v>
      </c>
      <c r="D4" s="137">
        <f t="array" ref="D4">IF(A4="","",VLOOKUP(A4,INDIRECT("CXC!A2:H"&amp;COUNTA(CXC!A:A)),8,FALSE))</f>
        <v>79.1</v>
      </c>
      <c r="E4" s="137">
        <f t="array" ref="E4">IFERROR(IF(A4="","",VLOOKUP(A4,INDIRECT("HISTÓRICO COBROS!A3:E"&amp;COUNTA('HISTÓRICO COBROS'!A:A)),5,FALSE)),"")</f>
        <v>79.1</v>
      </c>
      <c r="F4" s="137">
        <f t="array" ref="F4">IF(A4="","",VLOOKUP(A4,INDIRECT("CXC!A2:I"&amp;COUNTA(CXC!A:A)),9,FALSE))</f>
        <v>0</v>
      </c>
      <c r="G4" s="137">
        <f t="array" ref="G4">IFERROR(IF(A4="","",VLOOKUP(A4,INDIRECT("HISTÓRICO COBROS!A3:F"&amp;COUNTA('HISTÓRICO COBROS'!A:A)),6,FALSE)),"")</f>
        <v>0</v>
      </c>
      <c r="H4" s="138">
        <f t="shared" ref="H4:I4" si="5">IF(D4="","",D4+F4)</f>
        <v>79.1</v>
      </c>
      <c r="I4" s="137">
        <f t="shared" si="5"/>
        <v>79.1</v>
      </c>
      <c r="J4" s="139">
        <f t="shared" si="3"/>
        <v>0</v>
      </c>
      <c r="K4" s="139">
        <f t="shared" si="4"/>
        <v>0</v>
      </c>
    </row>
    <row r="5" ht="22.5" customHeight="1">
      <c r="A5" s="140" t="s">
        <v>50</v>
      </c>
      <c r="B5" s="135" t="str">
        <f t="array" ref="B5">IF(A5="","",VLOOKUP(A5,INDIRECT("CXC!A2:B"&amp;COUNTA(CXC!A:A)),2,FALSE))</f>
        <v>DIGICEL</v>
      </c>
      <c r="C5" s="136">
        <f t="array" ref="C5">IF(A5="","",VLOOKUP(A5,INDIRECT("CXC!A2:C"&amp;COUNTA(CXC!A:A)),3,FALSE))</f>
        <v>45609</v>
      </c>
      <c r="D5" s="137">
        <f t="array" ref="D5">IF(A5="","",VLOOKUP(A5,INDIRECT("CXC!A2:H"&amp;COUNTA(CXC!A:A)),8,FALSE))</f>
        <v>113</v>
      </c>
      <c r="E5" s="137">
        <f t="array" ref="E5">IFERROR(IF(A5="","",VLOOKUP(A5,INDIRECT("HISTÓRICO COBROS!A3:E"&amp;COUNTA('HISTÓRICO COBROS'!A:A)),5,FALSE)),"")</f>
        <v>113</v>
      </c>
      <c r="F5" s="137">
        <f t="array" ref="F5">IF(A5="","",VLOOKUP(A5,INDIRECT("CXC!A2:I"&amp;COUNTA(CXC!A:A)),9,FALSE))</f>
        <v>0</v>
      </c>
      <c r="G5" s="137">
        <f t="array" ref="G5">IFERROR(IF(A5="","",VLOOKUP(A5,INDIRECT("HISTÓRICO COBROS!A3:F"&amp;COUNTA('HISTÓRICO COBROS'!A:A)),6,FALSE)),"")</f>
        <v>0</v>
      </c>
      <c r="H5" s="138">
        <f t="shared" ref="H5:I5" si="6">IF(D5="","",D5+F5)</f>
        <v>113</v>
      </c>
      <c r="I5" s="137">
        <f t="shared" si="6"/>
        <v>113</v>
      </c>
      <c r="J5" s="139">
        <f t="shared" si="3"/>
        <v>0</v>
      </c>
      <c r="K5" s="139">
        <f t="shared" si="4"/>
        <v>0</v>
      </c>
    </row>
    <row r="6" ht="22.5" customHeight="1">
      <c r="A6" s="140" t="s">
        <v>56</v>
      </c>
      <c r="B6" s="135" t="str">
        <f t="array" ref="B6">IF(A6="","",VLOOKUP(A6,INDIRECT("CXC!A2:B"&amp;COUNTA(CXC!A:A)),2,FALSE))</f>
        <v>AISAL</v>
      </c>
      <c r="C6" s="136">
        <f t="array" ref="C6">IF(A6="","",VLOOKUP(A6,INDIRECT("CXC!A2:C"&amp;COUNTA(CXC!A:A)),3,FALSE))</f>
        <v>45609</v>
      </c>
      <c r="D6" s="137">
        <f t="array" ref="D6">IF(A6="","",VLOOKUP(A6,INDIRECT("CXC!A2:H"&amp;COUNTA(CXC!A:A)),8,FALSE))</f>
        <v>50.59</v>
      </c>
      <c r="E6" s="137" t="str">
        <f t="array" ref="E6">IFERROR(IF(A6="","",VLOOKUP(A6,INDIRECT("HISTÓRICO COBROS!A3:E"&amp;COUNTA('HISTÓRICO COBROS'!A:A)),5,FALSE)),"")</f>
        <v/>
      </c>
      <c r="F6" s="137">
        <f t="array" ref="F6">IF(A6="","",VLOOKUP(A6,INDIRECT("CXC!A2:I"&amp;COUNTA(CXC!A:A)),9,FALSE))</f>
        <v>53.55</v>
      </c>
      <c r="G6" s="137" t="str">
        <f t="array" ref="G6">IFERROR(IF(A6="","",VLOOKUP(A6,INDIRECT("HISTÓRICO COBROS!A3:F"&amp;COUNTA('HISTÓRICO COBROS'!A:A)),6,FALSE)),"")</f>
        <v/>
      </c>
      <c r="H6" s="138">
        <f t="shared" ref="H6:I6" si="7">IF(D6="","",D6+F6)</f>
        <v>104.14</v>
      </c>
      <c r="I6" s="135" t="str">
        <f t="shared" si="7"/>
        <v/>
      </c>
      <c r="J6" s="139">
        <f t="shared" si="3"/>
        <v>50.59</v>
      </c>
      <c r="K6" s="139">
        <f t="shared" si="4"/>
        <v>53.55</v>
      </c>
    </row>
    <row r="7" ht="22.5" customHeight="1">
      <c r="A7" s="140" t="s">
        <v>61</v>
      </c>
      <c r="B7" s="135" t="str">
        <f t="array" ref="B7">IF(A7="","",VLOOKUP(A7,INDIRECT("CXC!A2:B"&amp;COUNTA(CXC!A:A)),2,FALSE))</f>
        <v>GEVI</v>
      </c>
      <c r="C7" s="136">
        <f t="array" ref="C7">IF(A7="","",VLOOKUP(A7,INDIRECT("CXC!A2:C"&amp;COUNTA(CXC!A:A)),3,FALSE))</f>
        <v>45609</v>
      </c>
      <c r="D7" s="137">
        <f t="array" ref="D7">IF(A7="","",VLOOKUP(A7,INDIRECT("CXC!A2:H"&amp;COUNTA(CXC!A:A)),8,FALSE))</f>
        <v>25.1</v>
      </c>
      <c r="E7" s="137" t="str">
        <f t="array" ref="E7">IFERROR(IF(A7="","",VLOOKUP(A7,INDIRECT("HISTÓRICO COBROS!A3:E"&amp;COUNTA('HISTÓRICO COBROS'!A:A)),5,FALSE)),"")</f>
        <v/>
      </c>
      <c r="F7" s="137">
        <f t="array" ref="F7">IF(A7="","",VLOOKUP(A7,INDIRECT("CXC!A2:I"&amp;COUNTA(CXC!A:A)),9,FALSE))</f>
        <v>30.55</v>
      </c>
      <c r="G7" s="137" t="str">
        <f t="array" ref="G7">IFERROR(IF(A7="","",VLOOKUP(A7,INDIRECT("HISTÓRICO COBROS!A3:F"&amp;COUNTA('HISTÓRICO COBROS'!A:A)),6,FALSE)),"")</f>
        <v/>
      </c>
      <c r="H7" s="138">
        <f t="shared" ref="H7:I7" si="8">IF(D7="","",D7+F7)</f>
        <v>55.65</v>
      </c>
      <c r="I7" s="135" t="str">
        <f t="shared" si="8"/>
        <v/>
      </c>
      <c r="J7" s="139">
        <f t="shared" si="3"/>
        <v>25.1</v>
      </c>
      <c r="K7" s="139">
        <f t="shared" si="4"/>
        <v>30.55</v>
      </c>
    </row>
    <row r="8" ht="22.5" customHeight="1">
      <c r="A8" s="140" t="s">
        <v>65</v>
      </c>
      <c r="B8" s="135" t="str">
        <f t="array" ref="B8">IF(A8="","",VLOOKUP(A8,INDIRECT("CXC!A2:B"&amp;COUNTA(CXC!A:A)),2,FALSE))</f>
        <v>AISAL</v>
      </c>
      <c r="C8" s="136">
        <f t="array" ref="C8">IF(A8="","",VLOOKUP(A8,INDIRECT("CXC!A2:C"&amp;COUNTA(CXC!A:A)),3,FALSE))</f>
        <v>45609</v>
      </c>
      <c r="D8" s="137">
        <f t="array" ref="D8">IF(A8="","",VLOOKUP(A8,INDIRECT("CXC!A2:H"&amp;COUNTA(CXC!A:A)),8,FALSE))</f>
        <v>50.1</v>
      </c>
      <c r="E8" s="137" t="str">
        <f t="array" ref="E8">IFERROR(IF(A8="","",VLOOKUP(A8,INDIRECT("HISTÓRICO COBROS!A3:E"&amp;COUNTA('HISTÓRICO COBROS'!A:A)),5,FALSE)),"")</f>
        <v/>
      </c>
      <c r="F8" s="137">
        <f t="array" ref="F8">IF(A8="","",VLOOKUP(A8,INDIRECT("CXC!A2:I"&amp;COUNTA(CXC!A:A)),9,FALSE))</f>
        <v>0</v>
      </c>
      <c r="G8" s="137" t="str">
        <f t="array" ref="G8">IFERROR(IF(A8="","",VLOOKUP(A8,INDIRECT("HISTÓRICO COBROS!A3:F"&amp;COUNTA('HISTÓRICO COBROS'!A:A)),6,FALSE)),"")</f>
        <v/>
      </c>
      <c r="H8" s="138">
        <f t="shared" ref="H8:I8" si="9">IF(D8="","",D8+F8)</f>
        <v>50.1</v>
      </c>
      <c r="I8" s="135" t="str">
        <f t="shared" si="9"/>
        <v/>
      </c>
      <c r="J8" s="139">
        <f t="shared" si="3"/>
        <v>50.1</v>
      </c>
      <c r="K8" s="139">
        <f t="shared" si="4"/>
        <v>0</v>
      </c>
    </row>
    <row r="9" ht="22.5" customHeight="1">
      <c r="A9" s="140" t="s">
        <v>68</v>
      </c>
      <c r="B9" s="135" t="str">
        <f t="array" ref="B9">IF(A9="","",VLOOKUP(A9,INDIRECT("CXC!A2:B"&amp;COUNTA(CXC!A:A)),2,FALSE))</f>
        <v>QUIMICA INDUSTRIAL</v>
      </c>
      <c r="C9" s="136">
        <f t="array" ref="C9">IF(A9="","",VLOOKUP(A9,INDIRECT("CXC!A2:C"&amp;COUNTA(CXC!A:A)),3,FALSE))</f>
        <v>45609</v>
      </c>
      <c r="D9" s="137">
        <f t="array" ref="D9">IF(A9="","",VLOOKUP(A9,INDIRECT("CXC!A2:H"&amp;COUNTA(CXC!A:A)),8,FALSE))</f>
        <v>209.05</v>
      </c>
      <c r="E9" s="137">
        <f t="array" ref="E9">IFERROR(IF(A9="","",VLOOKUP(A9,INDIRECT("HISTÓRICO COBROS!A3:E"&amp;COUNTA('HISTÓRICO COBROS'!A:A)),5,FALSE)),"")</f>
        <v>209.05</v>
      </c>
      <c r="F9" s="137">
        <f t="array" ref="F9">IF(A9="","",VLOOKUP(A9,INDIRECT("CXC!A2:I"&amp;COUNTA(CXC!A:A)),9,FALSE))</f>
        <v>91.67</v>
      </c>
      <c r="G9" s="137">
        <f t="array" ref="G9">IFERROR(IF(A9="","",VLOOKUP(A9,INDIRECT("HISTÓRICO COBROS!A3:F"&amp;COUNTA('HISTÓRICO COBROS'!A:A)),6,FALSE)),"")</f>
        <v>91.67</v>
      </c>
      <c r="H9" s="138">
        <f t="shared" ref="H9:I9" si="10">IF(D9="","",D9+F9)</f>
        <v>300.72</v>
      </c>
      <c r="I9" s="137">
        <f t="shared" si="10"/>
        <v>300.72</v>
      </c>
      <c r="J9" s="139">
        <f t="shared" si="3"/>
        <v>0</v>
      </c>
      <c r="K9" s="139">
        <f t="shared" si="4"/>
        <v>0</v>
      </c>
    </row>
    <row r="10" ht="22.5" customHeight="1">
      <c r="A10" s="140"/>
      <c r="B10" s="135" t="str">
        <f t="array" ref="B10">IF(A10="","",VLOOKUP(A10,INDIRECT("CXC!A2:B"&amp;COUNTA(CXC!A:A)),2,FALSE))</f>
        <v/>
      </c>
      <c r="C10" s="136" t="str">
        <f t="array" ref="C10">IF(A10="","",VLOOKUP(A10,INDIRECT("CXC!A2:C"&amp;COUNTA(CXC!A:A)),3,FALSE))</f>
        <v/>
      </c>
      <c r="D10" s="137" t="str">
        <f t="array" ref="D10">IF(A10="","",VLOOKUP(A10,INDIRECT("CXC!A2:H"&amp;COUNTA(CXC!A:A)),8,FALSE))</f>
        <v/>
      </c>
      <c r="E10" s="137" t="str">
        <f t="array" ref="E10">IFERROR(IF(A10="","",VLOOKUP(A10,INDIRECT("HISTÓRICO COBROS!A3:E"&amp;COUNTA('HISTÓRICO COBROS'!A:A)),5,FALSE)),"")</f>
        <v/>
      </c>
      <c r="F10" s="137" t="str">
        <f t="array" ref="F10">IF(A10="","",VLOOKUP(A10,INDIRECT("CXC!A2:I"&amp;COUNTA(CXC!A:A)),9,FALSE))</f>
        <v/>
      </c>
      <c r="G10" s="137" t="str">
        <f t="array" ref="G10">IFERROR(IF(A10="","",VLOOKUP(A10,INDIRECT("HISTÓRICO COBROS!A3:F"&amp;COUNTA('HISTÓRICO COBROS'!A:A)),6,FALSE)),"")</f>
        <v/>
      </c>
      <c r="H10" s="138" t="str">
        <f t="shared" ref="H10:I10" si="11">IF(D10="","",D10+F10)</f>
        <v/>
      </c>
      <c r="I10" s="135" t="str">
        <f t="shared" si="11"/>
        <v/>
      </c>
      <c r="J10" s="140" t="str">
        <f t="shared" si="3"/>
        <v/>
      </c>
      <c r="K10" s="140" t="str">
        <f t="shared" si="4"/>
        <v/>
      </c>
    </row>
    <row r="11" ht="22.5" customHeight="1">
      <c r="A11" s="140"/>
      <c r="B11" s="135" t="str">
        <f t="array" ref="B11">IF(A11="","",VLOOKUP(A11,INDIRECT("CXC!A2:B"&amp;COUNTA(CXC!A:A)),2,FALSE))</f>
        <v/>
      </c>
      <c r="C11" s="136" t="str">
        <f t="array" ref="C11">IF(A11="","",VLOOKUP(A11,INDIRECT("CXC!A2:C"&amp;COUNTA(CXC!A:A)),3,FALSE))</f>
        <v/>
      </c>
      <c r="D11" s="137" t="str">
        <f t="array" ref="D11">IF(A11="","",VLOOKUP(A11,INDIRECT("CXC!A2:H"&amp;COUNTA(CXC!A:A)),8,FALSE))</f>
        <v/>
      </c>
      <c r="E11" s="137" t="str">
        <f t="array" ref="E11">IFERROR(IF(A11="","",VLOOKUP(A11,INDIRECT("HISTÓRICO COBROS!A3:E"&amp;COUNTA('HISTÓRICO COBROS'!A:A)),5,FALSE)),"")</f>
        <v/>
      </c>
      <c r="F11" s="137" t="str">
        <f t="array" ref="F11">IF(A11="","",VLOOKUP(A11,INDIRECT("CXC!A2:I"&amp;COUNTA(CXC!A:A)),9,FALSE))</f>
        <v/>
      </c>
      <c r="G11" s="137" t="str">
        <f t="array" ref="G11">IFERROR(IF(A11="","",VLOOKUP(A11,INDIRECT("HISTÓRICO COBROS!A3:F"&amp;COUNTA('HISTÓRICO COBROS'!A:A)),6,FALSE)),"")</f>
        <v/>
      </c>
      <c r="H11" s="138" t="str">
        <f t="shared" ref="H11:I11" si="12">IF(D11="","",D11+F11)</f>
        <v/>
      </c>
      <c r="I11" s="135" t="str">
        <f t="shared" si="12"/>
        <v/>
      </c>
      <c r="J11" s="140" t="str">
        <f t="shared" si="3"/>
        <v/>
      </c>
      <c r="K11" s="140" t="str">
        <f t="shared" si="4"/>
        <v/>
      </c>
    </row>
    <row r="12" ht="22.5" customHeight="1">
      <c r="A12" s="140"/>
      <c r="B12" s="135" t="str">
        <f t="array" ref="B12">IF(A12="","",VLOOKUP(A12,INDIRECT("CXC!A2:B"&amp;COUNTA(CXC!A:A)),2,FALSE))</f>
        <v/>
      </c>
      <c r="C12" s="136" t="str">
        <f t="array" ref="C12">IF(A12="","",VLOOKUP(A12,INDIRECT("CXC!A2:C"&amp;COUNTA(CXC!A:A)),3,FALSE))</f>
        <v/>
      </c>
      <c r="D12" s="137" t="str">
        <f t="array" ref="D12">IF(A12="","",VLOOKUP(A12,INDIRECT("CXC!A2:H"&amp;COUNTA(CXC!A:A)),8,FALSE))</f>
        <v/>
      </c>
      <c r="E12" s="137" t="str">
        <f t="array" ref="E12">IFERROR(IF(A12="","",VLOOKUP(A12,INDIRECT("HISTÓRICO COBROS!A3:E"&amp;COUNTA('HISTÓRICO COBROS'!A:A)),5,FALSE)),"")</f>
        <v/>
      </c>
      <c r="F12" s="137" t="str">
        <f t="array" ref="F12">IF(A12="","",VLOOKUP(A12,INDIRECT("CXC!A2:I"&amp;COUNTA(CXC!A:A)),9,FALSE))</f>
        <v/>
      </c>
      <c r="G12" s="137" t="str">
        <f t="array" ref="G12">IFERROR(IF(A12="","",VLOOKUP(A12,INDIRECT("HISTÓRICO COBROS!A3:F"&amp;COUNTA('HISTÓRICO COBROS'!A:A)),6,FALSE)),"")</f>
        <v/>
      </c>
      <c r="H12" s="138" t="str">
        <f t="shared" ref="H12:I12" si="13">IF(D12="","",D12+F12)</f>
        <v/>
      </c>
      <c r="I12" s="135" t="str">
        <f t="shared" si="13"/>
        <v/>
      </c>
      <c r="J12" s="140" t="str">
        <f t="shared" si="3"/>
        <v/>
      </c>
      <c r="K12" s="140" t="str">
        <f t="shared" si="4"/>
        <v/>
      </c>
    </row>
    <row r="13" ht="22.5" customHeight="1">
      <c r="A13" s="140"/>
      <c r="B13" s="135" t="str">
        <f t="array" ref="B13">IF(A13="","",VLOOKUP(A13,INDIRECT("CXC!A2:B"&amp;COUNTA(CXC!A:A)),2,FALSE))</f>
        <v/>
      </c>
      <c r="C13" s="136" t="str">
        <f t="array" ref="C13">IF(A13="","",VLOOKUP(A13,INDIRECT("CXC!A2:C"&amp;COUNTA(CXC!A:A)),3,FALSE))</f>
        <v/>
      </c>
      <c r="D13" s="137" t="str">
        <f t="array" ref="D13">IF(A13="","",VLOOKUP(A13,INDIRECT("CXC!A2:H"&amp;COUNTA(CXC!A:A)),8,FALSE))</f>
        <v/>
      </c>
      <c r="E13" s="137" t="str">
        <f t="array" ref="E13">IFERROR(IF(A13="","",VLOOKUP(A13,INDIRECT("HISTÓRICO COBROS!A3:E"&amp;COUNTA('HISTÓRICO COBROS'!A:A)),5,FALSE)),"")</f>
        <v/>
      </c>
      <c r="F13" s="137" t="str">
        <f t="array" ref="F13">IF(A13="","",VLOOKUP(A13,INDIRECT("CXC!A2:I"&amp;COUNTA(CXC!A:A)),9,FALSE))</f>
        <v/>
      </c>
      <c r="G13" s="137" t="str">
        <f t="array" ref="G13">IFERROR(IF(A13="","",VLOOKUP(A13,INDIRECT("HISTÓRICO COBROS!A3:F"&amp;COUNTA('HISTÓRICO COBROS'!A:A)),6,FALSE)),"")</f>
        <v/>
      </c>
      <c r="H13" s="138" t="str">
        <f t="shared" ref="H13:I13" si="14">IF(D13="","",D13+F13)</f>
        <v/>
      </c>
      <c r="I13" s="135" t="str">
        <f t="shared" si="14"/>
        <v/>
      </c>
      <c r="J13" s="140" t="str">
        <f t="shared" si="3"/>
        <v/>
      </c>
      <c r="K13" s="140" t="str">
        <f t="shared" si="4"/>
        <v/>
      </c>
    </row>
    <row r="14" ht="22.5" customHeight="1">
      <c r="A14" s="140"/>
      <c r="B14" s="135" t="str">
        <f t="array" ref="B14">IF(A14="","",VLOOKUP(A14,INDIRECT("CXC!A2:B"&amp;COUNTA(CXC!A:A)),2,FALSE))</f>
        <v/>
      </c>
      <c r="C14" s="136" t="str">
        <f t="array" ref="C14">IF(A14="","",VLOOKUP(A14,INDIRECT("CXC!A2:C"&amp;COUNTA(CXC!A:A)),3,FALSE))</f>
        <v/>
      </c>
      <c r="D14" s="137" t="str">
        <f t="array" ref="D14">IF(A14="","",VLOOKUP(A14,INDIRECT("CXC!A2:H"&amp;COUNTA(CXC!A:A)),8,FALSE))</f>
        <v/>
      </c>
      <c r="E14" s="137" t="str">
        <f t="array" ref="E14">IFERROR(IF(A14="","",VLOOKUP(A14,INDIRECT("HISTÓRICO COBROS!A3:E"&amp;COUNTA('HISTÓRICO COBROS'!A:A)),5,FALSE)),"")</f>
        <v/>
      </c>
      <c r="F14" s="137" t="str">
        <f t="array" ref="F14">IF(A14="","",VLOOKUP(A14,INDIRECT("CXC!A2:I"&amp;COUNTA(CXC!A:A)),9,FALSE))</f>
        <v/>
      </c>
      <c r="G14" s="137" t="str">
        <f t="array" ref="G14">IFERROR(IF(A14="","",VLOOKUP(A14,INDIRECT("HISTÓRICO COBROS!A3:F"&amp;COUNTA('HISTÓRICO COBROS'!A:A)),6,FALSE)),"")</f>
        <v/>
      </c>
      <c r="H14" s="138" t="str">
        <f t="shared" ref="H14:I14" si="15">IF(D14="","",D14+F14)</f>
        <v/>
      </c>
      <c r="I14" s="135" t="str">
        <f t="shared" si="15"/>
        <v/>
      </c>
      <c r="J14" s="140" t="str">
        <f t="shared" si="3"/>
        <v/>
      </c>
      <c r="K14" s="140" t="str">
        <f t="shared" si="4"/>
        <v/>
      </c>
    </row>
    <row r="15" ht="22.5" customHeight="1">
      <c r="A15" s="140"/>
      <c r="B15" s="135" t="str">
        <f t="array" ref="B15">IF(A15="","",VLOOKUP(A15,INDIRECT("CXC!A2:B"&amp;COUNTA(CXC!A:A)),2,FALSE))</f>
        <v/>
      </c>
      <c r="C15" s="136" t="str">
        <f t="array" ref="C15">IF(A15="","",VLOOKUP(A15,INDIRECT("CXC!A2:C"&amp;COUNTA(CXC!A:A)),3,FALSE))</f>
        <v/>
      </c>
      <c r="D15" s="137" t="str">
        <f t="array" ref="D15">IF(A15="","",VLOOKUP(A15,INDIRECT("CXC!A2:H"&amp;COUNTA(CXC!A:A)),8,FALSE))</f>
        <v/>
      </c>
      <c r="E15" s="137" t="str">
        <f t="array" ref="E15">IFERROR(IF(A15="","",VLOOKUP(A15,INDIRECT("HISTÓRICO COBROS!A3:E"&amp;COUNTA('HISTÓRICO COBROS'!A:A)),5,FALSE)),"")</f>
        <v/>
      </c>
      <c r="F15" s="137" t="str">
        <f t="array" ref="F15">IF(A15="","",VLOOKUP(A15,INDIRECT("CXC!A2:I"&amp;COUNTA(CXC!A:A)),9,FALSE))</f>
        <v/>
      </c>
      <c r="G15" s="137" t="str">
        <f t="array" ref="G15">IFERROR(IF(A15="","",VLOOKUP(A15,INDIRECT("HISTÓRICO COBROS!A3:F"&amp;COUNTA('HISTÓRICO COBROS'!A:A)),6,FALSE)),"")</f>
        <v/>
      </c>
      <c r="H15" s="138" t="str">
        <f t="shared" ref="H15:I15" si="16">IF(D15="","",D15+F15)</f>
        <v/>
      </c>
      <c r="I15" s="135" t="str">
        <f t="shared" si="16"/>
        <v/>
      </c>
      <c r="J15" s="140" t="str">
        <f t="shared" si="3"/>
        <v/>
      </c>
      <c r="K15" s="140" t="str">
        <f t="shared" si="4"/>
        <v/>
      </c>
    </row>
    <row r="16" ht="22.5" customHeight="1">
      <c r="A16" s="140"/>
      <c r="B16" s="135" t="str">
        <f t="array" ref="B16">IF(A16="","",VLOOKUP(A16,INDIRECT("CXC!A2:B"&amp;COUNTA(CXC!A:A)),2,FALSE))</f>
        <v/>
      </c>
      <c r="C16" s="136" t="str">
        <f t="array" ref="C16">IF(A16="","",VLOOKUP(A16,INDIRECT("CXC!A2:C"&amp;COUNTA(CXC!A:A)),3,FALSE))</f>
        <v/>
      </c>
      <c r="D16" s="137" t="str">
        <f t="array" ref="D16">IF(A16="","",VLOOKUP(A16,INDIRECT("CXC!A2:H"&amp;COUNTA(CXC!A:A)),8,FALSE))</f>
        <v/>
      </c>
      <c r="E16" s="137" t="str">
        <f t="array" ref="E16">IFERROR(IF(A16="","",VLOOKUP(A16,INDIRECT("HISTÓRICO COBROS!A3:E"&amp;COUNTA('HISTÓRICO COBROS'!A:A)),5,FALSE)),"")</f>
        <v/>
      </c>
      <c r="F16" s="137" t="str">
        <f t="array" ref="F16">IF(A16="","",VLOOKUP(A16,INDIRECT("CXC!A2:I"&amp;COUNTA(CXC!A:A)),9,FALSE))</f>
        <v/>
      </c>
      <c r="G16" s="137" t="str">
        <f t="array" ref="G16">IFERROR(IF(A16="","",VLOOKUP(A16,INDIRECT("HISTÓRICO COBROS!A3:F"&amp;COUNTA('HISTÓRICO COBROS'!A:A)),6,FALSE)),"")</f>
        <v/>
      </c>
      <c r="H16" s="138" t="str">
        <f t="shared" ref="H16:I16" si="17">IF(D16="","",D16+F16)</f>
        <v/>
      </c>
      <c r="I16" s="135" t="str">
        <f t="shared" si="17"/>
        <v/>
      </c>
      <c r="J16" s="140" t="str">
        <f t="shared" si="3"/>
        <v/>
      </c>
      <c r="K16" s="140" t="str">
        <f t="shared" si="4"/>
        <v/>
      </c>
    </row>
    <row r="17" ht="22.5" customHeight="1">
      <c r="A17" s="140"/>
      <c r="B17" s="135" t="str">
        <f t="array" ref="B17">IF(A17="","",VLOOKUP(A17,INDIRECT("CXC!A2:B"&amp;COUNTA(CXC!A:A)),2,FALSE))</f>
        <v/>
      </c>
      <c r="C17" s="136" t="str">
        <f t="array" ref="C17">IF(A17="","",VLOOKUP(A17,INDIRECT("CXC!A2:C"&amp;COUNTA(CXC!A:A)),3,FALSE))</f>
        <v/>
      </c>
      <c r="D17" s="137" t="str">
        <f t="array" ref="D17">IF(A17="","",VLOOKUP(A17,INDIRECT("CXC!A2:H"&amp;COUNTA(CXC!A:A)),8,FALSE))</f>
        <v/>
      </c>
      <c r="E17" s="137" t="str">
        <f t="array" ref="E17">IFERROR(IF(A17="","",VLOOKUP(A17,INDIRECT("HISTÓRICO COBROS!A3:E"&amp;COUNTA('HISTÓRICO COBROS'!A:A)),5,FALSE)),"")</f>
        <v/>
      </c>
      <c r="F17" s="137" t="str">
        <f t="array" ref="F17">IF(A17="","",VLOOKUP(A17,INDIRECT("CXC!A2:I"&amp;COUNTA(CXC!A:A)),9,FALSE))</f>
        <v/>
      </c>
      <c r="G17" s="137" t="str">
        <f t="array" ref="G17">IFERROR(IF(A17="","",VLOOKUP(A17,INDIRECT("HISTÓRICO COBROS!A3:F"&amp;COUNTA('HISTÓRICO COBROS'!A:A)),6,FALSE)),"")</f>
        <v/>
      </c>
      <c r="H17" s="138" t="str">
        <f t="shared" ref="H17:I17" si="18">IF(D17="","",D17+F17)</f>
        <v/>
      </c>
      <c r="I17" s="135" t="str">
        <f t="shared" si="18"/>
        <v/>
      </c>
      <c r="J17" s="140" t="str">
        <f t="shared" si="3"/>
        <v/>
      </c>
      <c r="K17" s="140" t="str">
        <f t="shared" si="4"/>
        <v/>
      </c>
    </row>
    <row r="18" ht="22.5" customHeight="1">
      <c r="A18" s="140"/>
      <c r="B18" s="135" t="str">
        <f t="array" ref="B18">IF(A18="","",VLOOKUP(A18,INDIRECT("CXC!A2:B"&amp;COUNTA(CXC!A:A)),2,FALSE))</f>
        <v/>
      </c>
      <c r="C18" s="136" t="str">
        <f t="array" ref="C18">IF(A18="","",VLOOKUP(A18,INDIRECT("CXC!A2:C"&amp;COUNTA(CXC!A:A)),3,FALSE))</f>
        <v/>
      </c>
      <c r="D18" s="137" t="str">
        <f t="array" ref="D18">IF(A18="","",VLOOKUP(A18,INDIRECT("CXC!A2:H"&amp;COUNTA(CXC!A:A)),8,FALSE))</f>
        <v/>
      </c>
      <c r="E18" s="137" t="str">
        <f t="array" ref="E18">IFERROR(IF(A18="","",VLOOKUP(A18,INDIRECT("HISTÓRICO COBROS!A3:E"&amp;COUNTA('HISTÓRICO COBROS'!A:A)),5,FALSE)),"")</f>
        <v/>
      </c>
      <c r="F18" s="137" t="str">
        <f t="array" ref="F18">IF(A18="","",VLOOKUP(A18,INDIRECT("CXC!A2:I"&amp;COUNTA(CXC!A:A)),9,FALSE))</f>
        <v/>
      </c>
      <c r="G18" s="137" t="str">
        <f t="array" ref="G18">IFERROR(IF(A18="","",VLOOKUP(A18,INDIRECT("HISTÓRICO COBROS!A3:F"&amp;COUNTA('HISTÓRICO COBROS'!A:A)),6,FALSE)),"")</f>
        <v/>
      </c>
      <c r="H18" s="138" t="str">
        <f t="shared" ref="H18:I18" si="19">IF(D18="","",D18+F18)</f>
        <v/>
      </c>
      <c r="I18" s="135" t="str">
        <f t="shared" si="19"/>
        <v/>
      </c>
      <c r="J18" s="140" t="str">
        <f t="shared" si="3"/>
        <v/>
      </c>
      <c r="K18" s="140" t="str">
        <f t="shared" si="4"/>
        <v/>
      </c>
    </row>
    <row r="19" ht="22.5" customHeight="1">
      <c r="A19" s="140"/>
      <c r="B19" s="135" t="str">
        <f t="array" ref="B19">IF(A19="","",VLOOKUP(A19,INDIRECT("CXC!A2:B"&amp;COUNTA(CXC!A:A)),2,FALSE))</f>
        <v/>
      </c>
      <c r="C19" s="136" t="str">
        <f t="array" ref="C19">IF(A19="","",VLOOKUP(A19,INDIRECT("CXC!A2:C"&amp;COUNTA(CXC!A:A)),3,FALSE))</f>
        <v/>
      </c>
      <c r="D19" s="137" t="str">
        <f t="array" ref="D19">IF(A19="","",VLOOKUP(A19,INDIRECT("CXC!A2:H"&amp;COUNTA(CXC!A:A)),8,FALSE))</f>
        <v/>
      </c>
      <c r="E19" s="137" t="str">
        <f t="array" ref="E19">IFERROR(IF(A19="","",VLOOKUP(A19,INDIRECT("HISTÓRICO COBROS!A3:E"&amp;COUNTA('HISTÓRICO COBROS'!A:A)),5,FALSE)),"")</f>
        <v/>
      </c>
      <c r="F19" s="137" t="str">
        <f t="array" ref="F19">IF(A19="","",VLOOKUP(A19,INDIRECT("CXC!A2:I"&amp;COUNTA(CXC!A:A)),9,FALSE))</f>
        <v/>
      </c>
      <c r="G19" s="137" t="str">
        <f t="array" ref="G19">IFERROR(IF(A19="","",VLOOKUP(A19,INDIRECT("HISTÓRICO COBROS!A3:F"&amp;COUNTA('HISTÓRICO COBROS'!A:A)),6,FALSE)),"")</f>
        <v/>
      </c>
      <c r="H19" s="138" t="str">
        <f t="shared" ref="H19:I19" si="20">IF(D19="","",D19+F19)</f>
        <v/>
      </c>
      <c r="I19" s="135" t="str">
        <f t="shared" si="20"/>
        <v/>
      </c>
      <c r="J19" s="140" t="str">
        <f t="shared" si="3"/>
        <v/>
      </c>
      <c r="K19" s="140" t="str">
        <f t="shared" si="4"/>
        <v/>
      </c>
    </row>
    <row r="20" ht="22.5" customHeight="1">
      <c r="A20" s="140"/>
      <c r="B20" s="135" t="str">
        <f t="array" ref="B20">IF(A20="","",VLOOKUP(A20,INDIRECT("CXC!A2:B"&amp;COUNTA(CXC!A:A)),2,FALSE))</f>
        <v/>
      </c>
      <c r="C20" s="136" t="str">
        <f t="array" ref="C20">IF(A20="","",VLOOKUP(A20,INDIRECT("CXC!A2:C"&amp;COUNTA(CXC!A:A)),3,FALSE))</f>
        <v/>
      </c>
      <c r="D20" s="137" t="str">
        <f t="array" ref="D20">IF(A20="","",VLOOKUP(A20,INDIRECT("CXC!A2:H"&amp;COUNTA(CXC!A:A)),8,FALSE))</f>
        <v/>
      </c>
      <c r="E20" s="137" t="str">
        <f t="array" ref="E20">IFERROR(IF(A20="","",VLOOKUP(A20,INDIRECT("HISTÓRICO COBROS!A3:E"&amp;COUNTA('HISTÓRICO COBROS'!A:A)),5,FALSE)),"")</f>
        <v/>
      </c>
      <c r="F20" s="137" t="str">
        <f t="array" ref="F20">IF(A20="","",VLOOKUP(A20,INDIRECT("CXC!A2:I"&amp;COUNTA(CXC!A:A)),9,FALSE))</f>
        <v/>
      </c>
      <c r="G20" s="137" t="str">
        <f t="array" ref="G20">IFERROR(IF(A20="","",VLOOKUP(A20,INDIRECT("HISTÓRICO COBROS!A3:F"&amp;COUNTA('HISTÓRICO COBROS'!A:A)),6,FALSE)),"")</f>
        <v/>
      </c>
      <c r="H20" s="138" t="str">
        <f t="shared" ref="H20:I20" si="21">IF(D20="","",D20+F20)</f>
        <v/>
      </c>
      <c r="I20" s="135" t="str">
        <f t="shared" si="21"/>
        <v/>
      </c>
      <c r="J20" s="140" t="str">
        <f t="shared" si="3"/>
        <v/>
      </c>
      <c r="K20" s="140" t="str">
        <f t="shared" si="4"/>
        <v/>
      </c>
    </row>
    <row r="21" ht="22.5" customHeight="1">
      <c r="A21" s="140"/>
      <c r="B21" s="135" t="str">
        <f t="array" ref="B21">IF(A21="","",VLOOKUP(A21,INDIRECT("CXC!A2:B"&amp;COUNTA(CXC!A:A)),2,FALSE))</f>
        <v/>
      </c>
      <c r="C21" s="136" t="str">
        <f t="array" ref="C21">IF(A21="","",VLOOKUP(A21,INDIRECT("CXC!A2:C"&amp;COUNTA(CXC!A:A)),3,FALSE))</f>
        <v/>
      </c>
      <c r="D21" s="137" t="str">
        <f t="array" ref="D21">IF(A21="","",VLOOKUP(A21,INDIRECT("CXC!A2:H"&amp;COUNTA(CXC!A:A)),8,FALSE))</f>
        <v/>
      </c>
      <c r="E21" s="137" t="str">
        <f t="array" ref="E21">IFERROR(IF(A21="","",VLOOKUP(A21,INDIRECT("HISTÓRICO COBROS!A3:E"&amp;COUNTA('HISTÓRICO COBROS'!A:A)),5,FALSE)),"")</f>
        <v/>
      </c>
      <c r="F21" s="137" t="str">
        <f t="array" ref="F21">IF(A21="","",VLOOKUP(A21,INDIRECT("CXC!A2:I"&amp;COUNTA(CXC!A:A)),9,FALSE))</f>
        <v/>
      </c>
      <c r="G21" s="137" t="str">
        <f t="array" ref="G21">IFERROR(IF(A21="","",VLOOKUP(A21,INDIRECT("HISTÓRICO COBROS!A3:F"&amp;COUNTA('HISTÓRICO COBROS'!A:A)),6,FALSE)),"")</f>
        <v/>
      </c>
      <c r="H21" s="138" t="str">
        <f t="shared" ref="H21:I21" si="22">IF(D21="","",D21+F21)</f>
        <v/>
      </c>
      <c r="I21" s="135" t="str">
        <f t="shared" si="22"/>
        <v/>
      </c>
      <c r="J21" s="140" t="str">
        <f t="shared" si="3"/>
        <v/>
      </c>
      <c r="K21" s="140" t="str">
        <f t="shared" si="4"/>
        <v/>
      </c>
    </row>
    <row r="22" ht="22.5" customHeight="1">
      <c r="A22" s="140"/>
      <c r="B22" s="135" t="str">
        <f t="array" ref="B22">IF(A22="","",VLOOKUP(A22,INDIRECT("CXC!A2:B"&amp;COUNTA(CXC!A:A)),2,FALSE))</f>
        <v/>
      </c>
      <c r="C22" s="136" t="str">
        <f t="array" ref="C22">IF(A22="","",VLOOKUP(A22,INDIRECT("CXC!A2:C"&amp;COUNTA(CXC!A:A)),3,FALSE))</f>
        <v/>
      </c>
      <c r="D22" s="137" t="str">
        <f t="array" ref="D22">IF(A22="","",VLOOKUP(A22,INDIRECT("CXC!A2:H"&amp;COUNTA(CXC!A:A)),8,FALSE))</f>
        <v/>
      </c>
      <c r="E22" s="137" t="str">
        <f t="array" ref="E22">IFERROR(IF(A22="","",VLOOKUP(A22,INDIRECT("HISTÓRICO COBROS!A3:E"&amp;COUNTA('HISTÓRICO COBROS'!A:A)),5,FALSE)),"")</f>
        <v/>
      </c>
      <c r="F22" s="137" t="str">
        <f t="array" ref="F22">IF(A22="","",VLOOKUP(A22,INDIRECT("CXC!A2:I"&amp;COUNTA(CXC!A:A)),9,FALSE))</f>
        <v/>
      </c>
      <c r="G22" s="137" t="str">
        <f t="array" ref="G22">IFERROR(IF(A22="","",VLOOKUP(A22,INDIRECT("HISTÓRICO COBROS!A3:F"&amp;COUNTA('HISTÓRICO COBROS'!A:A)),6,FALSE)),"")</f>
        <v/>
      </c>
      <c r="H22" s="138" t="str">
        <f t="shared" ref="H22:I22" si="23">IF(D22="","",D22+F22)</f>
        <v/>
      </c>
      <c r="I22" s="135" t="str">
        <f t="shared" si="23"/>
        <v/>
      </c>
      <c r="J22" s="140" t="str">
        <f t="shared" si="3"/>
        <v/>
      </c>
      <c r="K22" s="140" t="str">
        <f t="shared" si="4"/>
        <v/>
      </c>
    </row>
    <row r="23" ht="22.5" customHeight="1">
      <c r="A23" s="140"/>
      <c r="B23" s="135" t="str">
        <f t="array" ref="B23">IF(A23="","",VLOOKUP(A23,INDIRECT("CXC!A2:B"&amp;COUNTA(CXC!A:A)),2,FALSE))</f>
        <v/>
      </c>
      <c r="C23" s="136" t="str">
        <f t="array" ref="C23">IF(A23="","",VLOOKUP(A23,INDIRECT("CXC!A2:C"&amp;COUNTA(CXC!A:A)),3,FALSE))</f>
        <v/>
      </c>
      <c r="D23" s="137" t="str">
        <f t="array" ref="D23">IF(A23="","",VLOOKUP(A23,INDIRECT("CXC!A2:H"&amp;COUNTA(CXC!A:A)),8,FALSE))</f>
        <v/>
      </c>
      <c r="E23" s="137" t="str">
        <f t="array" ref="E23">IFERROR(IF(A23="","",VLOOKUP(A23,INDIRECT("HISTÓRICO COBROS!A3:E"&amp;COUNTA('HISTÓRICO COBROS'!A:A)),5,FALSE)),"")</f>
        <v/>
      </c>
      <c r="F23" s="137" t="str">
        <f t="array" ref="F23">IF(A23="","",VLOOKUP(A23,INDIRECT("CXC!A2:I"&amp;COUNTA(CXC!A:A)),9,FALSE))</f>
        <v/>
      </c>
      <c r="G23" s="137" t="str">
        <f t="array" ref="G23">IFERROR(IF(A23="","",VLOOKUP(A23,INDIRECT("HISTÓRICO COBROS!A3:F"&amp;COUNTA('HISTÓRICO COBROS'!A:A)),6,FALSE)),"")</f>
        <v/>
      </c>
      <c r="H23" s="138" t="str">
        <f t="shared" ref="H23:I23" si="24">IF(D23="","",D23+F23)</f>
        <v/>
      </c>
      <c r="I23" s="135" t="str">
        <f t="shared" si="24"/>
        <v/>
      </c>
      <c r="J23" s="140" t="str">
        <f t="shared" si="3"/>
        <v/>
      </c>
      <c r="K23" s="140" t="str">
        <f t="shared" si="4"/>
        <v/>
      </c>
    </row>
    <row r="24" ht="22.5" customHeight="1">
      <c r="A24" s="140"/>
      <c r="B24" s="135" t="str">
        <f t="array" ref="B24">IF(A24="","",VLOOKUP(A24,INDIRECT("CXC!A2:B"&amp;COUNTA(CXC!A:A)),2,FALSE))</f>
        <v/>
      </c>
      <c r="C24" s="136" t="str">
        <f t="array" ref="C24">IF(A24="","",VLOOKUP(A24,INDIRECT("CXC!A2:C"&amp;COUNTA(CXC!A:A)),3,FALSE))</f>
        <v/>
      </c>
      <c r="D24" s="137" t="str">
        <f t="array" ref="D24">IF(A24="","",VLOOKUP(A24,INDIRECT("CXC!A2:H"&amp;COUNTA(CXC!A:A)),8,FALSE))</f>
        <v/>
      </c>
      <c r="E24" s="137" t="str">
        <f t="array" ref="E24">IFERROR(IF(A24="","",VLOOKUP(A24,INDIRECT("HISTÓRICO COBROS!A3:E"&amp;COUNTA('HISTÓRICO COBROS'!A:A)),5,FALSE)),"")</f>
        <v/>
      </c>
      <c r="F24" s="137" t="str">
        <f t="array" ref="F24">IF(A24="","",VLOOKUP(A24,INDIRECT("CXC!A2:I"&amp;COUNTA(CXC!A:A)),9,FALSE))</f>
        <v/>
      </c>
      <c r="G24" s="137" t="str">
        <f t="array" ref="G24">IFERROR(IF(A24="","",VLOOKUP(A24,INDIRECT("HISTÓRICO COBROS!A3:F"&amp;COUNTA('HISTÓRICO COBROS'!A:A)),6,FALSE)),"")</f>
        <v/>
      </c>
      <c r="H24" s="138" t="str">
        <f t="shared" ref="H24:I24" si="25">IF(D24="","",D24+F24)</f>
        <v/>
      </c>
      <c r="I24" s="135" t="str">
        <f t="shared" si="25"/>
        <v/>
      </c>
      <c r="J24" s="140" t="str">
        <f t="shared" si="3"/>
        <v/>
      </c>
      <c r="K24" s="140" t="str">
        <f t="shared" si="4"/>
        <v/>
      </c>
    </row>
    <row r="25" ht="22.5" customHeight="1">
      <c r="A25" s="140"/>
      <c r="B25" s="135" t="str">
        <f t="array" ref="B25">IF(A25="","",VLOOKUP(A25,INDIRECT("CXC!A2:B"&amp;COUNTA(CXC!A:A)),2,FALSE))</f>
        <v/>
      </c>
      <c r="C25" s="136" t="str">
        <f t="array" ref="C25">IF(A25="","",VLOOKUP(A25,INDIRECT("CXC!A2:C"&amp;COUNTA(CXC!A:A)),3,FALSE))</f>
        <v/>
      </c>
      <c r="D25" s="137" t="str">
        <f t="array" ref="D25">IF(A25="","",VLOOKUP(A25,INDIRECT("CXC!A2:H"&amp;COUNTA(CXC!A:A)),8,FALSE))</f>
        <v/>
      </c>
      <c r="E25" s="137" t="str">
        <f t="array" ref="E25">IFERROR(IF(A25="","",VLOOKUP(A25,INDIRECT("HISTÓRICO COBROS!A3:E"&amp;COUNTA('HISTÓRICO COBROS'!A:A)),5,FALSE)),"")</f>
        <v/>
      </c>
      <c r="F25" s="137" t="str">
        <f t="array" ref="F25">IF(A25="","",VLOOKUP(A25,INDIRECT("CXC!A2:I"&amp;COUNTA(CXC!A:A)),9,FALSE))</f>
        <v/>
      </c>
      <c r="G25" s="137" t="str">
        <f t="array" ref="G25">IFERROR(IF(A25="","",VLOOKUP(A25,INDIRECT("HISTÓRICO COBROS!A3:F"&amp;COUNTA('HISTÓRICO COBROS'!A:A)),6,FALSE)),"")</f>
        <v/>
      </c>
      <c r="H25" s="138" t="str">
        <f t="shared" ref="H25:I25" si="26">IF(D25="","",D25+F25)</f>
        <v/>
      </c>
      <c r="I25" s="135" t="str">
        <f t="shared" si="26"/>
        <v/>
      </c>
      <c r="J25" s="140" t="str">
        <f t="shared" si="3"/>
        <v/>
      </c>
      <c r="K25" s="140" t="str">
        <f t="shared" si="4"/>
        <v/>
      </c>
    </row>
    <row r="26" ht="22.5" customHeight="1">
      <c r="A26" s="140"/>
      <c r="B26" s="135" t="str">
        <f t="array" ref="B26">IF(A26="","",VLOOKUP(A26,INDIRECT("CXC!A2:B"&amp;COUNTA(CXC!A:A)),2,FALSE))</f>
        <v/>
      </c>
      <c r="C26" s="136" t="str">
        <f t="array" ref="C26">IF(A26="","",VLOOKUP(A26,INDIRECT("CXC!A2:C"&amp;COUNTA(CXC!A:A)),3,FALSE))</f>
        <v/>
      </c>
      <c r="D26" s="137" t="str">
        <f t="array" ref="D26">IF(A26="","",VLOOKUP(A26,INDIRECT("CXC!A2:H"&amp;COUNTA(CXC!A:A)),8,FALSE))</f>
        <v/>
      </c>
      <c r="E26" s="137" t="str">
        <f t="array" ref="E26">IFERROR(IF(A26="","",VLOOKUP(A26,INDIRECT("HISTÓRICO COBROS!A3:E"&amp;COUNTA('HISTÓRICO COBROS'!A:A)),5,FALSE)),"")</f>
        <v/>
      </c>
      <c r="F26" s="137" t="str">
        <f t="array" ref="F26">IF(A26="","",VLOOKUP(A26,INDIRECT("CXC!A2:I"&amp;COUNTA(CXC!A:A)),9,FALSE))</f>
        <v/>
      </c>
      <c r="G26" s="137" t="str">
        <f t="array" ref="G26">IFERROR(IF(A26="","",VLOOKUP(A26,INDIRECT("HISTÓRICO COBROS!A3:F"&amp;COUNTA('HISTÓRICO COBROS'!A:A)),6,FALSE)),"")</f>
        <v/>
      </c>
      <c r="H26" s="138" t="str">
        <f t="shared" ref="H26:I26" si="27">IF(D26="","",D26+F26)</f>
        <v/>
      </c>
      <c r="I26" s="135" t="str">
        <f t="shared" si="27"/>
        <v/>
      </c>
      <c r="J26" s="140" t="str">
        <f t="shared" si="3"/>
        <v/>
      </c>
      <c r="K26" s="140" t="str">
        <f t="shared" si="4"/>
        <v/>
      </c>
    </row>
    <row r="27" ht="22.5" customHeight="1">
      <c r="A27" s="140"/>
      <c r="B27" s="135" t="str">
        <f t="array" ref="B27">IF(A27="","",VLOOKUP(A27,INDIRECT("CXC!A2:B"&amp;COUNTA(CXC!A:A)),2,FALSE))</f>
        <v/>
      </c>
      <c r="C27" s="136" t="str">
        <f t="array" ref="C27">IF(A27="","",VLOOKUP(A27,INDIRECT("CXC!A2:C"&amp;COUNTA(CXC!A:A)),3,FALSE))</f>
        <v/>
      </c>
      <c r="D27" s="137" t="str">
        <f t="array" ref="D27">IF(A27="","",VLOOKUP(A27,INDIRECT("CXC!A2:H"&amp;COUNTA(CXC!A:A)),8,FALSE))</f>
        <v/>
      </c>
      <c r="E27" s="137" t="str">
        <f t="array" ref="E27">IFERROR(IF(A27="","",VLOOKUP(A27,INDIRECT("HISTÓRICO COBROS!A3:E"&amp;COUNTA('HISTÓRICO COBROS'!A:A)),5,FALSE)),"")</f>
        <v/>
      </c>
      <c r="F27" s="137" t="str">
        <f t="array" ref="F27">IF(A27="","",VLOOKUP(A27,INDIRECT("CXC!A2:I"&amp;COUNTA(CXC!A:A)),9,FALSE))</f>
        <v/>
      </c>
      <c r="G27" s="137" t="str">
        <f t="array" ref="G27">IFERROR(IF(A27="","",VLOOKUP(A27,INDIRECT("HISTÓRICO COBROS!A3:F"&amp;COUNTA('HISTÓRICO COBROS'!A:A)),6,FALSE)),"")</f>
        <v/>
      </c>
      <c r="H27" s="138" t="str">
        <f t="shared" ref="H27:I27" si="28">IF(D27="","",D27+F27)</f>
        <v/>
      </c>
      <c r="I27" s="135" t="str">
        <f t="shared" si="28"/>
        <v/>
      </c>
      <c r="J27" s="140" t="str">
        <f t="shared" si="3"/>
        <v/>
      </c>
      <c r="K27" s="140" t="str">
        <f t="shared" si="4"/>
        <v/>
      </c>
    </row>
    <row r="28" ht="22.5" customHeight="1">
      <c r="A28" s="140"/>
      <c r="B28" s="135" t="str">
        <f t="array" ref="B28">IF(A28="","",VLOOKUP(A28,INDIRECT("CXC!A2:B"&amp;COUNTA(CXC!A:A)),2,FALSE))</f>
        <v/>
      </c>
      <c r="C28" s="136" t="str">
        <f t="array" ref="C28">IF(A28="","",VLOOKUP(A28,INDIRECT("CXC!A2:C"&amp;COUNTA(CXC!A:A)),3,FALSE))</f>
        <v/>
      </c>
      <c r="D28" s="137" t="str">
        <f t="array" ref="D28">IF(A28="","",VLOOKUP(A28,INDIRECT("CXC!A2:H"&amp;COUNTA(CXC!A:A)),8,FALSE))</f>
        <v/>
      </c>
      <c r="E28" s="137" t="str">
        <f t="array" ref="E28">IFERROR(IF(A28="","",VLOOKUP(A28,INDIRECT("HISTÓRICO COBROS!A3:E"&amp;COUNTA('HISTÓRICO COBROS'!A:A)),5,FALSE)),"")</f>
        <v/>
      </c>
      <c r="F28" s="137" t="str">
        <f t="array" ref="F28">IF(A28="","",VLOOKUP(A28,INDIRECT("CXC!A2:I"&amp;COUNTA(CXC!A:A)),9,FALSE))</f>
        <v/>
      </c>
      <c r="G28" s="137" t="str">
        <f t="array" ref="G28">IFERROR(IF(A28="","",VLOOKUP(A28,INDIRECT("HISTÓRICO COBROS!A3:F"&amp;COUNTA('HISTÓRICO COBROS'!A:A)),6,FALSE)),"")</f>
        <v/>
      </c>
      <c r="H28" s="138" t="str">
        <f t="shared" ref="H28:I28" si="29">IF(D28="","",D28+F28)</f>
        <v/>
      </c>
      <c r="I28" s="135" t="str">
        <f t="shared" si="29"/>
        <v/>
      </c>
      <c r="J28" s="140" t="str">
        <f t="shared" si="3"/>
        <v/>
      </c>
      <c r="K28" s="140" t="str">
        <f t="shared" si="4"/>
        <v/>
      </c>
    </row>
    <row r="29" ht="22.5" customHeight="1">
      <c r="A29" s="140"/>
      <c r="B29" s="135" t="str">
        <f t="array" ref="B29">IF(A29="","",VLOOKUP(A29,INDIRECT("CXC!A2:B"&amp;COUNTA(CXC!A:A)),2,FALSE))</f>
        <v/>
      </c>
      <c r="C29" s="136" t="str">
        <f t="array" ref="C29">IF(A29="","",VLOOKUP(A29,INDIRECT("CXC!A2:C"&amp;COUNTA(CXC!A:A)),3,FALSE))</f>
        <v/>
      </c>
      <c r="D29" s="137" t="str">
        <f t="array" ref="D29">IF(A29="","",VLOOKUP(A29,INDIRECT("CXC!A2:H"&amp;COUNTA(CXC!A:A)),8,FALSE))</f>
        <v/>
      </c>
      <c r="E29" s="137" t="str">
        <f t="array" ref="E29">IFERROR(IF(A29="","",VLOOKUP(A29,INDIRECT("HISTÓRICO COBROS!A3:E"&amp;COUNTA('HISTÓRICO COBROS'!A:A)),5,FALSE)),"")</f>
        <v/>
      </c>
      <c r="F29" s="137" t="str">
        <f t="array" ref="F29">IF(A29="","",VLOOKUP(A29,INDIRECT("CXC!A2:I"&amp;COUNTA(CXC!A:A)),9,FALSE))</f>
        <v/>
      </c>
      <c r="G29" s="137" t="str">
        <f t="array" ref="G29">IFERROR(IF(A29="","",VLOOKUP(A29,INDIRECT("HISTÓRICO COBROS!A3:F"&amp;COUNTA('HISTÓRICO COBROS'!A:A)),6,FALSE)),"")</f>
        <v/>
      </c>
      <c r="H29" s="138" t="str">
        <f t="shared" ref="H29:I29" si="30">IF(D29="","",D29+F29)</f>
        <v/>
      </c>
      <c r="I29" s="135" t="str">
        <f t="shared" si="30"/>
        <v/>
      </c>
      <c r="J29" s="140" t="str">
        <f t="shared" si="3"/>
        <v/>
      </c>
      <c r="K29" s="140" t="str">
        <f t="shared" si="4"/>
        <v/>
      </c>
    </row>
    <row r="30" ht="22.5" customHeight="1">
      <c r="A30" s="140"/>
      <c r="B30" s="135" t="str">
        <f t="array" ref="B30">IF(A30="","",VLOOKUP(A30,INDIRECT("CXC!A2:B"&amp;COUNTA(CXC!A:A)),2,FALSE))</f>
        <v/>
      </c>
      <c r="C30" s="136" t="str">
        <f t="array" ref="C30">IF(A30="","",VLOOKUP(A30,INDIRECT("CXC!A2:C"&amp;COUNTA(CXC!A:A)),3,FALSE))</f>
        <v/>
      </c>
      <c r="D30" s="137" t="str">
        <f t="array" ref="D30">IF(A30="","",VLOOKUP(A30,INDIRECT("CXC!A2:H"&amp;COUNTA(CXC!A:A)),8,FALSE))</f>
        <v/>
      </c>
      <c r="E30" s="137" t="str">
        <f t="array" ref="E30">IFERROR(IF(A30="","",VLOOKUP(A30,INDIRECT("HISTÓRICO COBROS!A3:E"&amp;COUNTA('HISTÓRICO COBROS'!A:A)),5,FALSE)),"")</f>
        <v/>
      </c>
      <c r="F30" s="137" t="str">
        <f t="array" ref="F30">IF(A30="","",VLOOKUP(A30,INDIRECT("CXC!A2:I"&amp;COUNTA(CXC!A:A)),9,FALSE))</f>
        <v/>
      </c>
      <c r="G30" s="137" t="str">
        <f t="array" ref="G30">IFERROR(IF(A30="","",VLOOKUP(A30,INDIRECT("HISTÓRICO COBROS!A3:F"&amp;COUNTA('HISTÓRICO COBROS'!A:A)),6,FALSE)),"")</f>
        <v/>
      </c>
      <c r="H30" s="138" t="str">
        <f t="shared" ref="H30:I30" si="31">IF(D30="","",D30+F30)</f>
        <v/>
      </c>
      <c r="I30" s="135" t="str">
        <f t="shared" si="31"/>
        <v/>
      </c>
      <c r="J30" s="140" t="str">
        <f t="shared" si="3"/>
        <v/>
      </c>
      <c r="K30" s="140" t="str">
        <f t="shared" si="4"/>
        <v/>
      </c>
    </row>
    <row r="31" ht="22.5" customHeight="1">
      <c r="A31" s="140"/>
      <c r="B31" s="135" t="str">
        <f t="array" ref="B31">IF(A31="","",VLOOKUP(A31,INDIRECT("CXC!A2:B"&amp;COUNTA(CXC!A:A)),2,FALSE))</f>
        <v/>
      </c>
      <c r="C31" s="136" t="str">
        <f t="array" ref="C31">IF(A31="","",VLOOKUP(A31,INDIRECT("CXC!A2:C"&amp;COUNTA(CXC!A:A)),3,FALSE))</f>
        <v/>
      </c>
      <c r="D31" s="137" t="str">
        <f t="array" ref="D31">IF(A31="","",VLOOKUP(A31,INDIRECT("CXC!A2:H"&amp;COUNTA(CXC!A:A)),8,FALSE))</f>
        <v/>
      </c>
      <c r="E31" s="137" t="str">
        <f t="array" ref="E31">IFERROR(IF(A31="","",VLOOKUP(A31,INDIRECT("HISTÓRICO COBROS!A3:E"&amp;COUNTA('HISTÓRICO COBROS'!A:A)),5,FALSE)),"")</f>
        <v/>
      </c>
      <c r="F31" s="137" t="str">
        <f t="array" ref="F31">IF(A31="","",VLOOKUP(A31,INDIRECT("CXC!A2:I"&amp;COUNTA(CXC!A:A)),9,FALSE))</f>
        <v/>
      </c>
      <c r="G31" s="137" t="str">
        <f t="array" ref="G31">IFERROR(IF(A31="","",VLOOKUP(A31,INDIRECT("HISTÓRICO COBROS!A3:F"&amp;COUNTA('HISTÓRICO COBROS'!A:A)),6,FALSE)),"")</f>
        <v/>
      </c>
      <c r="H31" s="138" t="str">
        <f t="shared" ref="H31:I31" si="32">IF(D31="","",D31+F31)</f>
        <v/>
      </c>
      <c r="I31" s="135" t="str">
        <f t="shared" si="32"/>
        <v/>
      </c>
      <c r="J31" s="140" t="str">
        <f t="shared" si="3"/>
        <v/>
      </c>
      <c r="K31" s="140" t="str">
        <f t="shared" si="4"/>
        <v/>
      </c>
    </row>
    <row r="32" ht="22.5" customHeight="1">
      <c r="A32" s="140"/>
      <c r="B32" s="135" t="str">
        <f t="array" ref="B32">IF(A32="","",VLOOKUP(A32,INDIRECT("CXC!A2:B"&amp;COUNTA(CXC!A:A)),2,FALSE))</f>
        <v/>
      </c>
      <c r="C32" s="136" t="str">
        <f t="array" ref="C32">IF(A32="","",VLOOKUP(A32,INDIRECT("CXC!A2:C"&amp;COUNTA(CXC!A:A)),3,FALSE))</f>
        <v/>
      </c>
      <c r="D32" s="137" t="str">
        <f t="array" ref="D32">IF(A32="","",VLOOKUP(A32,INDIRECT("CXC!A2:H"&amp;COUNTA(CXC!A:A)),8,FALSE))</f>
        <v/>
      </c>
      <c r="E32" s="137" t="str">
        <f t="array" ref="E32">IFERROR(IF(A32="","",VLOOKUP(A32,INDIRECT("HISTÓRICO COBROS!A3:E"&amp;COUNTA('HISTÓRICO COBROS'!A:A)),5,FALSE)),"")</f>
        <v/>
      </c>
      <c r="F32" s="137" t="str">
        <f t="array" ref="F32">IF(A32="","",VLOOKUP(A32,INDIRECT("CXC!A2:I"&amp;COUNTA(CXC!A:A)),9,FALSE))</f>
        <v/>
      </c>
      <c r="G32" s="137" t="str">
        <f t="array" ref="G32">IFERROR(IF(A32="","",VLOOKUP(A32,INDIRECT("HISTÓRICO COBROS!A3:F"&amp;COUNTA('HISTÓRICO COBROS'!A:A)),6,FALSE)),"")</f>
        <v/>
      </c>
      <c r="H32" s="138" t="str">
        <f t="shared" ref="H32:I32" si="33">IF(D32="","",D32+F32)</f>
        <v/>
      </c>
      <c r="I32" s="135" t="str">
        <f t="shared" si="33"/>
        <v/>
      </c>
      <c r="J32" s="140" t="str">
        <f t="shared" si="3"/>
        <v/>
      </c>
      <c r="K32" s="140" t="str">
        <f t="shared" si="4"/>
        <v/>
      </c>
    </row>
    <row r="33" ht="22.5" customHeight="1">
      <c r="A33" s="140"/>
      <c r="B33" s="135" t="str">
        <f t="array" ref="B33">IF(A33="","",VLOOKUP(A33,INDIRECT("CXC!A2:B"&amp;COUNTA(CXC!A:A)),2,FALSE))</f>
        <v/>
      </c>
      <c r="C33" s="136" t="str">
        <f t="array" ref="C33">IF(A33="","",VLOOKUP(A33,INDIRECT("CXC!A2:C"&amp;COUNTA(CXC!A:A)),3,FALSE))</f>
        <v/>
      </c>
      <c r="D33" s="137" t="str">
        <f t="array" ref="D33">IF(A33="","",VLOOKUP(A33,INDIRECT("CXC!A2:H"&amp;COUNTA(CXC!A:A)),8,FALSE))</f>
        <v/>
      </c>
      <c r="E33" s="137" t="str">
        <f t="array" ref="E33">IFERROR(IF(A33="","",VLOOKUP(A33,INDIRECT("HISTÓRICO COBROS!A3:E"&amp;COUNTA('HISTÓRICO COBROS'!A:A)),5,FALSE)),"")</f>
        <v/>
      </c>
      <c r="F33" s="137" t="str">
        <f t="array" ref="F33">IF(A33="","",VLOOKUP(A33,INDIRECT("CXC!A2:I"&amp;COUNTA(CXC!A:A)),9,FALSE))</f>
        <v/>
      </c>
      <c r="G33" s="137" t="str">
        <f t="array" ref="G33">IFERROR(IF(A33="","",VLOOKUP(A33,INDIRECT("HISTÓRICO COBROS!A3:F"&amp;COUNTA('HISTÓRICO COBROS'!A:A)),6,FALSE)),"")</f>
        <v/>
      </c>
      <c r="H33" s="138" t="str">
        <f t="shared" ref="H33:I33" si="34">IF(D33="","",D33+F33)</f>
        <v/>
      </c>
      <c r="I33" s="135" t="str">
        <f t="shared" si="34"/>
        <v/>
      </c>
      <c r="J33" s="140" t="str">
        <f t="shared" si="3"/>
        <v/>
      </c>
      <c r="K33" s="140" t="str">
        <f t="shared" si="4"/>
        <v/>
      </c>
    </row>
    <row r="34" ht="22.5" customHeight="1">
      <c r="A34" s="140"/>
      <c r="B34" s="135" t="str">
        <f t="array" ref="B34">IF(A34="","",VLOOKUP(A34,INDIRECT("CXC!A2:B"&amp;COUNTA(CXC!A:A)),2,FALSE))</f>
        <v/>
      </c>
      <c r="C34" s="136" t="str">
        <f t="array" ref="C34">IF(A34="","",VLOOKUP(A34,INDIRECT("CXC!A2:C"&amp;COUNTA(CXC!A:A)),3,FALSE))</f>
        <v/>
      </c>
      <c r="D34" s="137" t="str">
        <f t="array" ref="D34">IF(A34="","",VLOOKUP(A34,INDIRECT("CXC!A2:H"&amp;COUNTA(CXC!A:A)),8,FALSE))</f>
        <v/>
      </c>
      <c r="E34" s="137" t="str">
        <f t="array" ref="E34">IFERROR(IF(A34="","",VLOOKUP(A34,INDIRECT("HISTÓRICO COBROS!A3:E"&amp;COUNTA('HISTÓRICO COBROS'!A:A)),5,FALSE)),"")</f>
        <v/>
      </c>
      <c r="F34" s="137" t="str">
        <f t="array" ref="F34">IF(A34="","",VLOOKUP(A34,INDIRECT("CXC!A2:I"&amp;COUNTA(CXC!A:A)),9,FALSE))</f>
        <v/>
      </c>
      <c r="G34" s="137" t="str">
        <f t="array" ref="G34">IFERROR(IF(A34="","",VLOOKUP(A34,INDIRECT("HISTÓRICO COBROS!A3:F"&amp;COUNTA('HISTÓRICO COBROS'!A:A)),6,FALSE)),"")</f>
        <v/>
      </c>
      <c r="H34" s="138" t="str">
        <f t="shared" ref="H34:I34" si="35">IF(D34="","",D34+F34)</f>
        <v/>
      </c>
      <c r="I34" s="135" t="str">
        <f t="shared" si="35"/>
        <v/>
      </c>
      <c r="J34" s="140" t="str">
        <f t="shared" si="3"/>
        <v/>
      </c>
      <c r="K34" s="140" t="str">
        <f t="shared" si="4"/>
        <v/>
      </c>
    </row>
    <row r="35" ht="22.5" customHeight="1">
      <c r="A35" s="140"/>
      <c r="B35" s="135" t="str">
        <f t="array" ref="B35">IF(A35="","",VLOOKUP(A35,INDIRECT("CXC!A2:B"&amp;COUNTA(CXC!A:A)),2,FALSE))</f>
        <v/>
      </c>
      <c r="C35" s="136" t="str">
        <f t="array" ref="C35">IF(A35="","",VLOOKUP(A35,INDIRECT("CXC!A2:C"&amp;COUNTA(CXC!A:A)),3,FALSE))</f>
        <v/>
      </c>
      <c r="D35" s="137" t="str">
        <f t="array" ref="D35">IF(A35="","",VLOOKUP(A35,INDIRECT("CXC!A2:H"&amp;COUNTA(CXC!A:A)),8,FALSE))</f>
        <v/>
      </c>
      <c r="E35" s="137" t="str">
        <f t="array" ref="E35">IFERROR(IF(A35="","",VLOOKUP(A35,INDIRECT("HISTÓRICO COBROS!A3:E"&amp;COUNTA('HISTÓRICO COBROS'!A:A)),5,FALSE)),"")</f>
        <v/>
      </c>
      <c r="F35" s="137" t="str">
        <f t="array" ref="F35">IF(A35="","",VLOOKUP(A35,INDIRECT("CXC!A2:I"&amp;COUNTA(CXC!A:A)),9,FALSE))</f>
        <v/>
      </c>
      <c r="G35" s="137" t="str">
        <f t="array" ref="G35">IFERROR(IF(A35="","",VLOOKUP(A35,INDIRECT("HISTÓRICO COBROS!A3:F"&amp;COUNTA('HISTÓRICO COBROS'!A:A)),6,FALSE)),"")</f>
        <v/>
      </c>
      <c r="H35" s="138" t="str">
        <f t="shared" ref="H35:I35" si="36">IF(D35="","",D35+F35)</f>
        <v/>
      </c>
      <c r="I35" s="135" t="str">
        <f t="shared" si="36"/>
        <v/>
      </c>
      <c r="J35" s="140" t="str">
        <f t="shared" si="3"/>
        <v/>
      </c>
      <c r="K35" s="140" t="str">
        <f t="shared" si="4"/>
        <v/>
      </c>
    </row>
    <row r="36" ht="22.5" customHeight="1">
      <c r="A36" s="140"/>
      <c r="B36" s="135" t="str">
        <f t="array" ref="B36">IF(A36="","",VLOOKUP(A36,INDIRECT("CXC!A2:B"&amp;COUNTA(CXC!A:A)),2,FALSE))</f>
        <v/>
      </c>
      <c r="C36" s="136" t="str">
        <f t="array" ref="C36">IF(A36="","",VLOOKUP(A36,INDIRECT("CXC!A2:C"&amp;COUNTA(CXC!A:A)),3,FALSE))</f>
        <v/>
      </c>
      <c r="D36" s="137" t="str">
        <f t="array" ref="D36">IF(A36="","",VLOOKUP(A36,INDIRECT("CXC!A2:H"&amp;COUNTA(CXC!A:A)),8,FALSE))</f>
        <v/>
      </c>
      <c r="E36" s="137" t="str">
        <f t="array" ref="E36">IFERROR(IF(A36="","",VLOOKUP(A36,INDIRECT("HISTÓRICO COBROS!A3:E"&amp;COUNTA('HISTÓRICO COBROS'!A:A)),5,FALSE)),"")</f>
        <v/>
      </c>
      <c r="F36" s="137" t="str">
        <f t="array" ref="F36">IF(A36="","",VLOOKUP(A36,INDIRECT("CXC!A2:I"&amp;COUNTA(CXC!A:A)),9,FALSE))</f>
        <v/>
      </c>
      <c r="G36" s="137" t="str">
        <f t="array" ref="G36">IFERROR(IF(A36="","",VLOOKUP(A36,INDIRECT("HISTÓRICO COBROS!A3:F"&amp;COUNTA('HISTÓRICO COBROS'!A:A)),6,FALSE)),"")</f>
        <v/>
      </c>
      <c r="H36" s="138" t="str">
        <f t="shared" ref="H36:I36" si="37">IF(D36="","",D36+F36)</f>
        <v/>
      </c>
      <c r="I36" s="135" t="str">
        <f t="shared" si="37"/>
        <v/>
      </c>
      <c r="J36" s="140" t="str">
        <f t="shared" si="3"/>
        <v/>
      </c>
      <c r="K36" s="140" t="str">
        <f t="shared" si="4"/>
        <v/>
      </c>
    </row>
    <row r="37" ht="22.5" customHeight="1">
      <c r="A37" s="140"/>
      <c r="B37" s="135" t="str">
        <f t="array" ref="B37">IF(A37="","",VLOOKUP(A37,INDIRECT("CXC!A2:B"&amp;COUNTA(CXC!A:A)),2,FALSE))</f>
        <v/>
      </c>
      <c r="C37" s="136" t="str">
        <f t="array" ref="C37">IF(A37="","",VLOOKUP(A37,INDIRECT("CXC!A2:C"&amp;COUNTA(CXC!A:A)),3,FALSE))</f>
        <v/>
      </c>
      <c r="D37" s="137" t="str">
        <f t="array" ref="D37">IF(A37="","",VLOOKUP(A37,INDIRECT("CXC!A2:H"&amp;COUNTA(CXC!A:A)),8,FALSE))</f>
        <v/>
      </c>
      <c r="E37" s="137" t="str">
        <f t="array" ref="E37">IFERROR(IF(A37="","",VLOOKUP(A37,INDIRECT("HISTÓRICO COBROS!A3:E"&amp;COUNTA('HISTÓRICO COBROS'!A:A)),5,FALSE)),"")</f>
        <v/>
      </c>
      <c r="F37" s="137" t="str">
        <f t="array" ref="F37">IF(A37="","",VLOOKUP(A37,INDIRECT("CXC!A2:I"&amp;COUNTA(CXC!A:A)),9,FALSE))</f>
        <v/>
      </c>
      <c r="G37" s="137" t="str">
        <f t="array" ref="G37">IFERROR(IF(A37="","",VLOOKUP(A37,INDIRECT("HISTÓRICO COBROS!A3:F"&amp;COUNTA('HISTÓRICO COBROS'!A:A)),6,FALSE)),"")</f>
        <v/>
      </c>
      <c r="H37" s="138" t="str">
        <f t="shared" ref="H37:I37" si="38">IF(D37="","",D37+F37)</f>
        <v/>
      </c>
      <c r="I37" s="135" t="str">
        <f t="shared" si="38"/>
        <v/>
      </c>
      <c r="J37" s="140" t="str">
        <f t="shared" si="3"/>
        <v/>
      </c>
      <c r="K37" s="140" t="str">
        <f t="shared" si="4"/>
        <v/>
      </c>
    </row>
    <row r="38" ht="22.5" customHeight="1">
      <c r="A38" s="140"/>
      <c r="B38" s="135" t="str">
        <f t="array" ref="B38">IF(A38="","",VLOOKUP(A38,INDIRECT("CXC!A2:B"&amp;COUNTA(CXC!A:A)),2,FALSE))</f>
        <v/>
      </c>
      <c r="C38" s="136" t="str">
        <f t="array" ref="C38">IF(A38="","",VLOOKUP(A38,INDIRECT("CXC!A2:C"&amp;COUNTA(CXC!A:A)),3,FALSE))</f>
        <v/>
      </c>
      <c r="D38" s="137" t="str">
        <f t="array" ref="D38">IF(A38="","",VLOOKUP(A38,INDIRECT("CXC!A2:H"&amp;COUNTA(CXC!A:A)),8,FALSE))</f>
        <v/>
      </c>
      <c r="E38" s="137" t="str">
        <f t="array" ref="E38">IFERROR(IF(A38="","",VLOOKUP(A38,INDIRECT("HISTÓRICO COBROS!A3:E"&amp;COUNTA('HISTÓRICO COBROS'!A:A)),5,FALSE)),"")</f>
        <v/>
      </c>
      <c r="F38" s="137" t="str">
        <f t="array" ref="F38">IF(A38="","",VLOOKUP(A38,INDIRECT("CXC!A2:I"&amp;COUNTA(CXC!A:A)),9,FALSE))</f>
        <v/>
      </c>
      <c r="G38" s="137" t="str">
        <f t="array" ref="G38">IFERROR(IF(A38="","",VLOOKUP(A38,INDIRECT("HISTÓRICO COBROS!A3:F"&amp;COUNTA('HISTÓRICO COBROS'!A:A)),6,FALSE)),"")</f>
        <v/>
      </c>
      <c r="H38" s="138" t="str">
        <f t="shared" ref="H38:I38" si="39">IF(D38="","",D38+F38)</f>
        <v/>
      </c>
      <c r="I38" s="135" t="str">
        <f t="shared" si="39"/>
        <v/>
      </c>
      <c r="J38" s="140" t="str">
        <f t="shared" si="3"/>
        <v/>
      </c>
      <c r="K38" s="140" t="str">
        <f t="shared" si="4"/>
        <v/>
      </c>
    </row>
    <row r="39" ht="22.5" customHeight="1">
      <c r="A39" s="140"/>
      <c r="B39" s="135" t="str">
        <f t="array" ref="B39">IF(A39="","",VLOOKUP(A39,INDIRECT("CXC!A2:B"&amp;COUNTA(CXC!A:A)),2,FALSE))</f>
        <v/>
      </c>
      <c r="C39" s="136" t="str">
        <f t="array" ref="C39">IF(A39="","",VLOOKUP(A39,INDIRECT("CXC!A2:C"&amp;COUNTA(CXC!A:A)),3,FALSE))</f>
        <v/>
      </c>
      <c r="D39" s="137" t="str">
        <f t="array" ref="D39">IF(A39="","",VLOOKUP(A39,INDIRECT("CXC!A2:H"&amp;COUNTA(CXC!A:A)),8,FALSE))</f>
        <v/>
      </c>
      <c r="E39" s="137" t="str">
        <f t="array" ref="E39">IFERROR(IF(A39="","",VLOOKUP(A39,INDIRECT("HISTÓRICO COBROS!A3:E"&amp;COUNTA('HISTÓRICO COBROS'!A:A)),5,FALSE)),"")</f>
        <v/>
      </c>
      <c r="F39" s="137" t="str">
        <f t="array" ref="F39">IF(A39="","",VLOOKUP(A39,INDIRECT("CXC!A2:I"&amp;COUNTA(CXC!A:A)),9,FALSE))</f>
        <v/>
      </c>
      <c r="G39" s="137" t="str">
        <f t="array" ref="G39">IFERROR(IF(A39="","",VLOOKUP(A39,INDIRECT("HISTÓRICO COBROS!A3:F"&amp;COUNTA('HISTÓRICO COBROS'!A:A)),6,FALSE)),"")</f>
        <v/>
      </c>
      <c r="H39" s="138" t="str">
        <f t="shared" ref="H39:I39" si="40">IF(D39="","",D39+F39)</f>
        <v/>
      </c>
      <c r="I39" s="135" t="str">
        <f t="shared" si="40"/>
        <v/>
      </c>
      <c r="J39" s="140" t="str">
        <f t="shared" si="3"/>
        <v/>
      </c>
      <c r="K39" s="140" t="str">
        <f t="shared" si="4"/>
        <v/>
      </c>
    </row>
    <row r="40" ht="22.5" customHeight="1">
      <c r="A40" s="140"/>
      <c r="B40" s="135" t="str">
        <f t="array" ref="B40">IF(A40="","",VLOOKUP(A40,INDIRECT("CXC!A2:B"&amp;COUNTA(CXC!A:A)),2,FALSE))</f>
        <v/>
      </c>
      <c r="C40" s="136" t="str">
        <f t="array" ref="C40">IF(A40="","",VLOOKUP(A40,INDIRECT("CXC!A2:C"&amp;COUNTA(CXC!A:A)),3,FALSE))</f>
        <v/>
      </c>
      <c r="D40" s="137" t="str">
        <f t="array" ref="D40">IF(A40="","",VLOOKUP(A40,INDIRECT("CXC!A2:H"&amp;COUNTA(CXC!A:A)),8,FALSE))</f>
        <v/>
      </c>
      <c r="E40" s="137" t="str">
        <f t="array" ref="E40">IFERROR(IF(A40="","",VLOOKUP(A40,INDIRECT("HISTÓRICO COBROS!A3:E"&amp;COUNTA('HISTÓRICO COBROS'!A:A)),5,FALSE)),"")</f>
        <v/>
      </c>
      <c r="F40" s="137" t="str">
        <f t="array" ref="F40">IF(A40="","",VLOOKUP(A40,INDIRECT("CXC!A2:I"&amp;COUNTA(CXC!A:A)),9,FALSE))</f>
        <v/>
      </c>
      <c r="G40" s="137" t="str">
        <f t="array" ref="G40">IFERROR(IF(A40="","",VLOOKUP(A40,INDIRECT("HISTÓRICO COBROS!A3:F"&amp;COUNTA('HISTÓRICO COBROS'!A:A)),6,FALSE)),"")</f>
        <v/>
      </c>
      <c r="H40" s="138" t="str">
        <f t="shared" ref="H40:I40" si="41">IF(D40="","",D40+F40)</f>
        <v/>
      </c>
      <c r="I40" s="135" t="str">
        <f t="shared" si="41"/>
        <v/>
      </c>
      <c r="J40" s="140" t="str">
        <f t="shared" si="3"/>
        <v/>
      </c>
      <c r="K40" s="140" t="str">
        <f t="shared" si="4"/>
        <v/>
      </c>
    </row>
    <row r="41" ht="22.5" customHeight="1">
      <c r="A41" s="140"/>
      <c r="B41" s="135" t="str">
        <f t="array" ref="B41">IF(A41="","",VLOOKUP(A41,INDIRECT("CXC!A2:B"&amp;COUNTA(CXC!A:A)),2,FALSE))</f>
        <v/>
      </c>
      <c r="C41" s="136" t="str">
        <f t="array" ref="C41">IF(A41="","",VLOOKUP(A41,INDIRECT("CXC!A2:C"&amp;COUNTA(CXC!A:A)),3,FALSE))</f>
        <v/>
      </c>
      <c r="D41" s="137" t="str">
        <f t="array" ref="D41">IF(A41="","",VLOOKUP(A41,INDIRECT("CXC!A2:H"&amp;COUNTA(CXC!A:A)),8,FALSE))</f>
        <v/>
      </c>
      <c r="E41" s="137" t="str">
        <f t="array" ref="E41">IFERROR(IF(A41="","",VLOOKUP(A41,INDIRECT("HISTÓRICO COBROS!A3:E"&amp;COUNTA('HISTÓRICO COBROS'!A:A)),5,FALSE)),"")</f>
        <v/>
      </c>
      <c r="F41" s="137" t="str">
        <f t="array" ref="F41">IF(A41="","",VLOOKUP(A41,INDIRECT("CXC!A2:I"&amp;COUNTA(CXC!A:A)),9,FALSE))</f>
        <v/>
      </c>
      <c r="G41" s="137" t="str">
        <f t="array" ref="G41">IFERROR(IF(A41="","",VLOOKUP(A41,INDIRECT("HISTÓRICO COBROS!A3:F"&amp;COUNTA('HISTÓRICO COBROS'!A:A)),6,FALSE)),"")</f>
        <v/>
      </c>
      <c r="H41" s="138" t="str">
        <f t="shared" ref="H41:I41" si="42">IF(D41="","",D41+F41)</f>
        <v/>
      </c>
      <c r="I41" s="135" t="str">
        <f t="shared" si="42"/>
        <v/>
      </c>
      <c r="J41" s="140" t="str">
        <f t="shared" si="3"/>
        <v/>
      </c>
      <c r="K41" s="140" t="str">
        <f t="shared" si="4"/>
        <v/>
      </c>
    </row>
    <row r="42" ht="22.5" customHeight="1">
      <c r="A42" s="140"/>
      <c r="B42" s="135" t="str">
        <f t="array" ref="B42">IF(A42="","",VLOOKUP(A42,INDIRECT("CXC!A2:B"&amp;COUNTA(CXC!A:A)),2,FALSE))</f>
        <v/>
      </c>
      <c r="C42" s="136" t="str">
        <f t="array" ref="C42">IF(A42="","",VLOOKUP(A42,INDIRECT("CXC!A2:C"&amp;COUNTA(CXC!A:A)),3,FALSE))</f>
        <v/>
      </c>
      <c r="D42" s="137" t="str">
        <f t="array" ref="D42">IF(A42="","",VLOOKUP(A42,INDIRECT("CXC!A2:H"&amp;COUNTA(CXC!A:A)),8,FALSE))</f>
        <v/>
      </c>
      <c r="E42" s="137" t="str">
        <f t="array" ref="E42">IFERROR(IF(A42="","",VLOOKUP(A42,INDIRECT("HISTÓRICO COBROS!A3:E"&amp;COUNTA('HISTÓRICO COBROS'!A:A)),5,FALSE)),"")</f>
        <v/>
      </c>
      <c r="F42" s="137" t="str">
        <f t="array" ref="F42">IF(A42="","",VLOOKUP(A42,INDIRECT("CXC!A2:I"&amp;COUNTA(CXC!A:A)),9,FALSE))</f>
        <v/>
      </c>
      <c r="G42" s="137" t="str">
        <f t="array" ref="G42">IFERROR(IF(A42="","",VLOOKUP(A42,INDIRECT("HISTÓRICO COBROS!A3:F"&amp;COUNTA('HISTÓRICO COBROS'!A:A)),6,FALSE)),"")</f>
        <v/>
      </c>
      <c r="H42" s="138" t="str">
        <f t="shared" ref="H42:I42" si="43">IF(D42="","",D42+F42)</f>
        <v/>
      </c>
      <c r="I42" s="135" t="str">
        <f t="shared" si="43"/>
        <v/>
      </c>
      <c r="J42" s="140" t="str">
        <f t="shared" si="3"/>
        <v/>
      </c>
      <c r="K42" s="140" t="str">
        <f t="shared" si="4"/>
        <v/>
      </c>
    </row>
    <row r="43" ht="22.5" customHeight="1">
      <c r="A43" s="140"/>
      <c r="B43" s="135" t="str">
        <f t="array" ref="B43">IF(A43="","",VLOOKUP(A43,INDIRECT("CXC!A2:B"&amp;COUNTA(CXC!A:A)),2,FALSE))</f>
        <v/>
      </c>
      <c r="C43" s="136" t="str">
        <f t="array" ref="C43">IF(A43="","",VLOOKUP(A43,INDIRECT("CXC!A2:C"&amp;COUNTA(CXC!A:A)),3,FALSE))</f>
        <v/>
      </c>
      <c r="D43" s="137" t="str">
        <f t="array" ref="D43">IF(A43="","",VLOOKUP(A43,INDIRECT("CXC!A2:H"&amp;COUNTA(CXC!A:A)),8,FALSE))</f>
        <v/>
      </c>
      <c r="E43" s="137" t="str">
        <f t="array" ref="E43">IFERROR(IF(A43="","",VLOOKUP(A43,INDIRECT("HISTÓRICO COBROS!A3:E"&amp;COUNTA('HISTÓRICO COBROS'!A:A)),5,FALSE)),"")</f>
        <v/>
      </c>
      <c r="F43" s="137" t="str">
        <f t="array" ref="F43">IF(A43="","",VLOOKUP(A43,INDIRECT("CXC!A2:I"&amp;COUNTA(CXC!A:A)),9,FALSE))</f>
        <v/>
      </c>
      <c r="G43" s="137" t="str">
        <f t="array" ref="G43">IFERROR(IF(A43="","",VLOOKUP(A43,INDIRECT("HISTÓRICO COBROS!A3:F"&amp;COUNTA('HISTÓRICO COBROS'!A:A)),6,FALSE)),"")</f>
        <v/>
      </c>
      <c r="H43" s="138" t="str">
        <f t="shared" ref="H43:I43" si="44">IF(D43="","",D43+F43)</f>
        <v/>
      </c>
      <c r="I43" s="135" t="str">
        <f t="shared" si="44"/>
        <v/>
      </c>
      <c r="J43" s="140" t="str">
        <f t="shared" si="3"/>
        <v/>
      </c>
      <c r="K43" s="140" t="str">
        <f t="shared" si="4"/>
        <v/>
      </c>
    </row>
    <row r="44" ht="22.5" customHeight="1">
      <c r="A44" s="140"/>
      <c r="B44" s="135" t="str">
        <f t="array" ref="B44">IF(A44="","",VLOOKUP(A44,INDIRECT("CXC!A2:B"&amp;COUNTA(CXC!A:A)),2,FALSE))</f>
        <v/>
      </c>
      <c r="C44" s="136" t="str">
        <f t="array" ref="C44">IF(A44="","",VLOOKUP(A44,INDIRECT("CXC!A2:C"&amp;COUNTA(CXC!A:A)),3,FALSE))</f>
        <v/>
      </c>
      <c r="D44" s="137" t="str">
        <f t="array" ref="D44">IF(A44="","",VLOOKUP(A44,INDIRECT("CXC!A2:H"&amp;COUNTA(CXC!A:A)),8,FALSE))</f>
        <v/>
      </c>
      <c r="E44" s="137" t="str">
        <f t="array" ref="E44">IFERROR(IF(A44="","",VLOOKUP(A44,INDIRECT("HISTÓRICO COBROS!A3:E"&amp;COUNTA('HISTÓRICO COBROS'!A:A)),5,FALSE)),"")</f>
        <v/>
      </c>
      <c r="F44" s="137" t="str">
        <f t="array" ref="F44">IF(A44="","",VLOOKUP(A44,INDIRECT("CXC!A2:I"&amp;COUNTA(CXC!A:A)),9,FALSE))</f>
        <v/>
      </c>
      <c r="G44" s="137" t="str">
        <f t="array" ref="G44">IFERROR(IF(A44="","",VLOOKUP(A44,INDIRECT("HISTÓRICO COBROS!A3:F"&amp;COUNTA('HISTÓRICO COBROS'!A:A)),6,FALSE)),"")</f>
        <v/>
      </c>
      <c r="H44" s="138" t="str">
        <f t="shared" ref="H44:I44" si="45">IF(D44="","",D44+F44)</f>
        <v/>
      </c>
      <c r="I44" s="135" t="str">
        <f t="shared" si="45"/>
        <v/>
      </c>
      <c r="J44" s="140" t="str">
        <f t="shared" si="3"/>
        <v/>
      </c>
      <c r="K44" s="140" t="str">
        <f t="shared" si="4"/>
        <v/>
      </c>
    </row>
    <row r="45" ht="22.5" customHeight="1">
      <c r="A45" s="140"/>
      <c r="B45" s="135" t="str">
        <f t="array" ref="B45">IF(A45="","",VLOOKUP(A45,INDIRECT("CXC!A2:B"&amp;COUNTA(CXC!A:A)),2,FALSE))</f>
        <v/>
      </c>
      <c r="C45" s="136" t="str">
        <f t="array" ref="C45">IF(A45="","",VLOOKUP(A45,INDIRECT("CXC!A2:C"&amp;COUNTA(CXC!A:A)),3,FALSE))</f>
        <v/>
      </c>
      <c r="D45" s="137" t="str">
        <f t="array" ref="D45">IF(A45="","",VLOOKUP(A45,INDIRECT("CXC!A2:H"&amp;COUNTA(CXC!A:A)),8,FALSE))</f>
        <v/>
      </c>
      <c r="E45" s="137" t="str">
        <f t="array" ref="E45">IFERROR(IF(A45="","",VLOOKUP(A45,INDIRECT("HISTÓRICO COBROS!A3:E"&amp;COUNTA('HISTÓRICO COBROS'!A:A)),5,FALSE)),"")</f>
        <v/>
      </c>
      <c r="F45" s="137" t="str">
        <f t="array" ref="F45">IF(A45="","",VLOOKUP(A45,INDIRECT("CXC!A2:I"&amp;COUNTA(CXC!A:A)),9,FALSE))</f>
        <v/>
      </c>
      <c r="G45" s="137" t="str">
        <f t="array" ref="G45">IFERROR(IF(A45="","",VLOOKUP(A45,INDIRECT("HISTÓRICO COBROS!A3:F"&amp;COUNTA('HISTÓRICO COBROS'!A:A)),6,FALSE)),"")</f>
        <v/>
      </c>
      <c r="H45" s="138" t="str">
        <f t="shared" ref="H45:I45" si="46">IF(D45="","",D45+F45)</f>
        <v/>
      </c>
      <c r="I45" s="135" t="str">
        <f t="shared" si="46"/>
        <v/>
      </c>
      <c r="J45" s="140" t="str">
        <f t="shared" si="3"/>
        <v/>
      </c>
      <c r="K45" s="140" t="str">
        <f t="shared" si="4"/>
        <v/>
      </c>
    </row>
    <row r="46" ht="22.5" customHeight="1">
      <c r="A46" s="140"/>
      <c r="B46" s="135" t="str">
        <f t="array" ref="B46">IF(A46="","",VLOOKUP(A46,INDIRECT("CXC!A2:B"&amp;COUNTA(CXC!A:A)),2,FALSE))</f>
        <v/>
      </c>
      <c r="C46" s="136" t="str">
        <f t="array" ref="C46">IF(A46="","",VLOOKUP(A46,INDIRECT("CXC!A2:C"&amp;COUNTA(CXC!A:A)),3,FALSE))</f>
        <v/>
      </c>
      <c r="D46" s="137" t="str">
        <f t="array" ref="D46">IF(A46="","",VLOOKUP(A46,INDIRECT("CXC!A2:H"&amp;COUNTA(CXC!A:A)),8,FALSE))</f>
        <v/>
      </c>
      <c r="E46" s="137" t="str">
        <f t="array" ref="E46">IFERROR(IF(A46="","",VLOOKUP(A46,INDIRECT("HISTÓRICO COBROS!A3:E"&amp;COUNTA('HISTÓRICO COBROS'!A:A)),5,FALSE)),"")</f>
        <v/>
      </c>
      <c r="F46" s="137" t="str">
        <f t="array" ref="F46">IF(A46="","",VLOOKUP(A46,INDIRECT("CXC!A2:I"&amp;COUNTA(CXC!A:A)),9,FALSE))</f>
        <v/>
      </c>
      <c r="G46" s="137" t="str">
        <f t="array" ref="G46">IFERROR(IF(A46="","",VLOOKUP(A46,INDIRECT("HISTÓRICO COBROS!A3:F"&amp;COUNTA('HISTÓRICO COBROS'!A:A)),6,FALSE)),"")</f>
        <v/>
      </c>
      <c r="H46" s="138" t="str">
        <f t="shared" ref="H46:I46" si="47">IF(D46="","",D46+F46)</f>
        <v/>
      </c>
      <c r="I46" s="135" t="str">
        <f t="shared" si="47"/>
        <v/>
      </c>
      <c r="J46" s="140" t="str">
        <f t="shared" si="3"/>
        <v/>
      </c>
      <c r="K46" s="140" t="str">
        <f t="shared" si="4"/>
        <v/>
      </c>
    </row>
    <row r="47" ht="22.5" customHeight="1">
      <c r="A47" s="140"/>
      <c r="B47" s="135" t="str">
        <f t="array" ref="B47">IF(A47="","",VLOOKUP(A47,INDIRECT("CXC!A2:B"&amp;COUNTA(CXC!A:A)),2,FALSE))</f>
        <v/>
      </c>
      <c r="C47" s="136" t="str">
        <f t="array" ref="C47">IF(A47="","",VLOOKUP(A47,INDIRECT("CXC!A2:C"&amp;COUNTA(CXC!A:A)),3,FALSE))</f>
        <v/>
      </c>
      <c r="D47" s="137" t="str">
        <f t="array" ref="D47">IF(A47="","",VLOOKUP(A47,INDIRECT("CXC!A2:H"&amp;COUNTA(CXC!A:A)),8,FALSE))</f>
        <v/>
      </c>
      <c r="E47" s="137" t="str">
        <f t="array" ref="E47">IFERROR(IF(A47="","",VLOOKUP(A47,INDIRECT("HISTÓRICO COBROS!A3:E"&amp;COUNTA('HISTÓRICO COBROS'!A:A)),5,FALSE)),"")</f>
        <v/>
      </c>
      <c r="F47" s="137" t="str">
        <f t="array" ref="F47">IF(A47="","",VLOOKUP(A47,INDIRECT("CXC!A2:I"&amp;COUNTA(CXC!A:A)),9,FALSE))</f>
        <v/>
      </c>
      <c r="G47" s="137" t="str">
        <f t="array" ref="G47">IFERROR(IF(A47="","",VLOOKUP(A47,INDIRECT("HISTÓRICO COBROS!A3:F"&amp;COUNTA('HISTÓRICO COBROS'!A:A)),6,FALSE)),"")</f>
        <v/>
      </c>
      <c r="H47" s="138" t="str">
        <f t="shared" ref="H47:I47" si="48">IF(D47="","",D47+F47)</f>
        <v/>
      </c>
      <c r="I47" s="135" t="str">
        <f t="shared" si="48"/>
        <v/>
      </c>
      <c r="J47" s="140" t="str">
        <f t="shared" si="3"/>
        <v/>
      </c>
      <c r="K47" s="140" t="str">
        <f t="shared" si="4"/>
        <v/>
      </c>
    </row>
    <row r="48" ht="22.5" customHeight="1">
      <c r="A48" s="140"/>
      <c r="B48" s="135" t="str">
        <f t="array" ref="B48">IF(A48="","",VLOOKUP(A48,INDIRECT("CXC!A2:B"&amp;COUNTA(CXC!A:A)),2,FALSE))</f>
        <v/>
      </c>
      <c r="C48" s="136" t="str">
        <f t="array" ref="C48">IF(A48="","",VLOOKUP(A48,INDIRECT("CXC!A2:C"&amp;COUNTA(CXC!A:A)),3,FALSE))</f>
        <v/>
      </c>
      <c r="D48" s="137" t="str">
        <f t="array" ref="D48">IF(A48="","",VLOOKUP(A48,INDIRECT("CXC!A2:H"&amp;COUNTA(CXC!A:A)),8,FALSE))</f>
        <v/>
      </c>
      <c r="E48" s="137" t="str">
        <f t="array" ref="E48">IFERROR(IF(A48="","",VLOOKUP(A48,INDIRECT("HISTÓRICO COBROS!A3:E"&amp;COUNTA('HISTÓRICO COBROS'!A:A)),5,FALSE)),"")</f>
        <v/>
      </c>
      <c r="F48" s="137" t="str">
        <f t="array" ref="F48">IF(A48="","",VLOOKUP(A48,INDIRECT("CXC!A2:I"&amp;COUNTA(CXC!A:A)),9,FALSE))</f>
        <v/>
      </c>
      <c r="G48" s="137" t="str">
        <f t="array" ref="G48">IFERROR(IF(A48="","",VLOOKUP(A48,INDIRECT("HISTÓRICO COBROS!A3:F"&amp;COUNTA('HISTÓRICO COBROS'!A:A)),6,FALSE)),"")</f>
        <v/>
      </c>
      <c r="H48" s="138" t="str">
        <f t="shared" ref="H48:I48" si="49">IF(D48="","",D48+F48)</f>
        <v/>
      </c>
      <c r="I48" s="135" t="str">
        <f t="shared" si="49"/>
        <v/>
      </c>
      <c r="J48" s="140" t="str">
        <f t="shared" si="3"/>
        <v/>
      </c>
      <c r="K48" s="140" t="str">
        <f t="shared" si="4"/>
        <v/>
      </c>
    </row>
    <row r="49" ht="22.5" customHeight="1">
      <c r="A49" s="140"/>
      <c r="B49" s="135" t="str">
        <f t="array" ref="B49">IF(A49="","",VLOOKUP(A49,INDIRECT("CXC!A2:B"&amp;COUNTA(CXC!A:A)),2,FALSE))</f>
        <v/>
      </c>
      <c r="C49" s="136" t="str">
        <f t="array" ref="C49">IF(A49="","",VLOOKUP(A49,INDIRECT("CXC!A2:C"&amp;COUNTA(CXC!A:A)),3,FALSE))</f>
        <v/>
      </c>
      <c r="D49" s="137" t="str">
        <f t="array" ref="D49">IF(A49="","",VLOOKUP(A49,INDIRECT("CXC!A2:H"&amp;COUNTA(CXC!A:A)),8,FALSE))</f>
        <v/>
      </c>
      <c r="E49" s="137" t="str">
        <f t="array" ref="E49">IFERROR(IF(A49="","",VLOOKUP(A49,INDIRECT("HISTÓRICO COBROS!A3:E"&amp;COUNTA('HISTÓRICO COBROS'!A:A)),5,FALSE)),"")</f>
        <v/>
      </c>
      <c r="F49" s="137" t="str">
        <f t="array" ref="F49">IF(A49="","",VLOOKUP(A49,INDIRECT("CXC!A2:I"&amp;COUNTA(CXC!A:A)),9,FALSE))</f>
        <v/>
      </c>
      <c r="G49" s="137" t="str">
        <f t="array" ref="G49">IFERROR(IF(A49="","",VLOOKUP(A49,INDIRECT("HISTÓRICO COBROS!A3:F"&amp;COUNTA('HISTÓRICO COBROS'!A:A)),6,FALSE)),"")</f>
        <v/>
      </c>
      <c r="H49" s="138" t="str">
        <f t="shared" ref="H49:I49" si="50">IF(D49="","",D49+F49)</f>
        <v/>
      </c>
      <c r="I49" s="135" t="str">
        <f t="shared" si="50"/>
        <v/>
      </c>
      <c r="J49" s="140" t="str">
        <f t="shared" si="3"/>
        <v/>
      </c>
      <c r="K49" s="140" t="str">
        <f t="shared" si="4"/>
        <v/>
      </c>
    </row>
    <row r="50" ht="22.5" customHeight="1">
      <c r="A50" s="140"/>
      <c r="B50" s="135" t="str">
        <f t="array" ref="B50">IF(A50="","",VLOOKUP(A50,INDIRECT("CXC!A2:B"&amp;COUNTA(CXC!A:A)),2,FALSE))</f>
        <v/>
      </c>
      <c r="C50" s="136" t="str">
        <f t="array" ref="C50">IF(A50="","",VLOOKUP(A50,INDIRECT("CXC!A2:C"&amp;COUNTA(CXC!A:A)),3,FALSE))</f>
        <v/>
      </c>
      <c r="D50" s="137" t="str">
        <f t="array" ref="D50">IF(A50="","",VLOOKUP(A50,INDIRECT("CXC!A2:H"&amp;COUNTA(CXC!A:A)),8,FALSE))</f>
        <v/>
      </c>
      <c r="E50" s="137" t="str">
        <f t="array" ref="E50">IFERROR(IF(A50="","",VLOOKUP(A50,INDIRECT("HISTÓRICO COBROS!A3:E"&amp;COUNTA('HISTÓRICO COBROS'!A:A)),5,FALSE)),"")</f>
        <v/>
      </c>
      <c r="F50" s="137" t="str">
        <f t="array" ref="F50">IF(A50="","",VLOOKUP(A50,INDIRECT("CXC!A2:I"&amp;COUNTA(CXC!A:A)),9,FALSE))</f>
        <v/>
      </c>
      <c r="G50" s="137" t="str">
        <f t="array" ref="G50">IFERROR(IF(A50="","",VLOOKUP(A50,INDIRECT("HISTÓRICO COBROS!A3:F"&amp;COUNTA('HISTÓRICO COBROS'!A:A)),6,FALSE)),"")</f>
        <v/>
      </c>
      <c r="H50" s="138" t="str">
        <f t="shared" ref="H50:I50" si="51">IF(D50="","",D50+F50)</f>
        <v/>
      </c>
      <c r="I50" s="135" t="str">
        <f t="shared" si="51"/>
        <v/>
      </c>
      <c r="J50" s="140" t="str">
        <f t="shared" si="3"/>
        <v/>
      </c>
      <c r="K50" s="140" t="str">
        <f t="shared" si="4"/>
        <v/>
      </c>
    </row>
    <row r="51" ht="22.5" customHeight="1">
      <c r="A51" s="140"/>
      <c r="B51" s="135" t="str">
        <f t="array" ref="B51">IF(A51="","",VLOOKUP(A51,INDIRECT("CXC!A2:B"&amp;COUNTA(CXC!A:A)),2,FALSE))</f>
        <v/>
      </c>
      <c r="C51" s="136" t="str">
        <f t="array" ref="C51">IF(A51="","",VLOOKUP(A51,INDIRECT("CXC!A2:C"&amp;COUNTA(CXC!A:A)),3,FALSE))</f>
        <v/>
      </c>
      <c r="D51" s="137" t="str">
        <f t="array" ref="D51">IF(A51="","",VLOOKUP(A51,INDIRECT("CXC!A2:H"&amp;COUNTA(CXC!A:A)),8,FALSE))</f>
        <v/>
      </c>
      <c r="E51" s="137" t="str">
        <f t="array" ref="E51">IFERROR(IF(A51="","",VLOOKUP(A51,INDIRECT("HISTÓRICO COBROS!A3:E"&amp;COUNTA('HISTÓRICO COBROS'!A:A)),5,FALSE)),"")</f>
        <v/>
      </c>
      <c r="F51" s="137" t="str">
        <f t="array" ref="F51">IF(A51="","",VLOOKUP(A51,INDIRECT("CXC!A2:I"&amp;COUNTA(CXC!A:A)),9,FALSE))</f>
        <v/>
      </c>
      <c r="G51" s="137" t="str">
        <f t="array" ref="G51">IFERROR(IF(A51="","",VLOOKUP(A51,INDIRECT("HISTÓRICO COBROS!A3:F"&amp;COUNTA('HISTÓRICO COBROS'!A:A)),6,FALSE)),"")</f>
        <v/>
      </c>
      <c r="H51" s="138" t="str">
        <f t="shared" ref="H51:I51" si="52">IF(D51="","",D51+F51)</f>
        <v/>
      </c>
      <c r="I51" s="135" t="str">
        <f t="shared" si="52"/>
        <v/>
      </c>
      <c r="J51" s="140" t="str">
        <f t="shared" si="3"/>
        <v/>
      </c>
      <c r="K51" s="140" t="str">
        <f t="shared" si="4"/>
        <v/>
      </c>
    </row>
    <row r="52" ht="22.5" customHeight="1">
      <c r="A52" s="140"/>
      <c r="B52" s="135" t="str">
        <f t="array" ref="B52">IF(A52="","",VLOOKUP(A52,INDIRECT("CXC!A2:B"&amp;COUNTA(CXC!A:A)),2,FALSE))</f>
        <v/>
      </c>
      <c r="C52" s="136" t="str">
        <f t="array" ref="C52">IF(A52="","",VLOOKUP(A52,INDIRECT("CXC!A2:C"&amp;COUNTA(CXC!A:A)),3,FALSE))</f>
        <v/>
      </c>
      <c r="D52" s="137" t="str">
        <f t="array" ref="D52">IF(A52="","",VLOOKUP(A52,INDIRECT("CXC!A2:H"&amp;COUNTA(CXC!A:A)),8,FALSE))</f>
        <v/>
      </c>
      <c r="E52" s="137" t="str">
        <f t="array" ref="E52">IFERROR(IF(A52="","",VLOOKUP(A52,INDIRECT("HISTÓRICO COBROS!A3:E"&amp;COUNTA('HISTÓRICO COBROS'!A:A)),5,FALSE)),"")</f>
        <v/>
      </c>
      <c r="F52" s="137" t="str">
        <f t="array" ref="F52">IF(A52="","",VLOOKUP(A52,INDIRECT("CXC!A2:I"&amp;COUNTA(CXC!A:A)),9,FALSE))</f>
        <v/>
      </c>
      <c r="G52" s="137" t="str">
        <f t="array" ref="G52">IFERROR(IF(A52="","",VLOOKUP(A52,INDIRECT("HISTÓRICO COBROS!A3:F"&amp;COUNTA('HISTÓRICO COBROS'!A:A)),6,FALSE)),"")</f>
        <v/>
      </c>
      <c r="H52" s="138" t="str">
        <f t="shared" ref="H52:I52" si="53">IF(D52="","",D52+F52)</f>
        <v/>
      </c>
      <c r="I52" s="135" t="str">
        <f t="shared" si="53"/>
        <v/>
      </c>
      <c r="J52" s="140" t="str">
        <f t="shared" si="3"/>
        <v/>
      </c>
      <c r="K52" s="140" t="str">
        <f t="shared" si="4"/>
        <v/>
      </c>
    </row>
    <row r="53" ht="22.5" customHeight="1">
      <c r="A53" s="140"/>
      <c r="B53" s="135" t="str">
        <f t="array" ref="B53">IF(A53="","",VLOOKUP(A53,INDIRECT("CXC!A2:B"&amp;COUNTA(CXC!A:A)),2,FALSE))</f>
        <v/>
      </c>
      <c r="C53" s="136" t="str">
        <f t="array" ref="C53">IF(A53="","",VLOOKUP(A53,INDIRECT("CXC!A2:C"&amp;COUNTA(CXC!A:A)),3,FALSE))</f>
        <v/>
      </c>
      <c r="D53" s="137" t="str">
        <f t="array" ref="D53">IF(A53="","",VLOOKUP(A53,INDIRECT("CXC!A2:H"&amp;COUNTA(CXC!A:A)),8,FALSE))</f>
        <v/>
      </c>
      <c r="E53" s="137" t="str">
        <f t="array" ref="E53">IFERROR(IF(A53="","",VLOOKUP(A53,INDIRECT("HISTÓRICO COBROS!A3:E"&amp;COUNTA('HISTÓRICO COBROS'!A:A)),5,FALSE)),"")</f>
        <v/>
      </c>
      <c r="F53" s="137" t="str">
        <f t="array" ref="F53">IF(A53="","",VLOOKUP(A53,INDIRECT("CXC!A2:I"&amp;COUNTA(CXC!A:A)),9,FALSE))</f>
        <v/>
      </c>
      <c r="G53" s="137" t="str">
        <f t="array" ref="G53">IFERROR(IF(A53="","",VLOOKUP(A53,INDIRECT("HISTÓRICO COBROS!A3:F"&amp;COUNTA('HISTÓRICO COBROS'!A:A)),6,FALSE)),"")</f>
        <v/>
      </c>
      <c r="H53" s="138" t="str">
        <f t="shared" ref="H53:I53" si="54">IF(D53="","",D53+F53)</f>
        <v/>
      </c>
      <c r="I53" s="135" t="str">
        <f t="shared" si="54"/>
        <v/>
      </c>
      <c r="J53" s="140" t="str">
        <f t="shared" si="3"/>
        <v/>
      </c>
      <c r="K53" s="140" t="str">
        <f t="shared" si="4"/>
        <v/>
      </c>
    </row>
    <row r="54" ht="22.5" customHeight="1">
      <c r="A54" s="140"/>
      <c r="B54" s="135" t="str">
        <f t="array" ref="B54">IF(A54="","",VLOOKUP(A54,INDIRECT("CXC!A2:B"&amp;COUNTA(CXC!A:A)),2,FALSE))</f>
        <v/>
      </c>
      <c r="C54" s="136" t="str">
        <f t="array" ref="C54">IF(A54="","",VLOOKUP(A54,INDIRECT("CXC!A2:C"&amp;COUNTA(CXC!A:A)),3,FALSE))</f>
        <v/>
      </c>
      <c r="D54" s="137" t="str">
        <f t="array" ref="D54">IF(A54="","",VLOOKUP(A54,INDIRECT("CXC!A2:H"&amp;COUNTA(CXC!A:A)),8,FALSE))</f>
        <v/>
      </c>
      <c r="E54" s="137" t="str">
        <f t="array" ref="E54">IFERROR(IF(A54="","",VLOOKUP(A54,INDIRECT("HISTÓRICO COBROS!A3:E"&amp;COUNTA('HISTÓRICO COBROS'!A:A)),5,FALSE)),"")</f>
        <v/>
      </c>
      <c r="F54" s="137" t="str">
        <f t="array" ref="F54">IF(A54="","",VLOOKUP(A54,INDIRECT("CXC!A2:I"&amp;COUNTA(CXC!A:A)),9,FALSE))</f>
        <v/>
      </c>
      <c r="G54" s="137" t="str">
        <f t="array" ref="G54">IFERROR(IF(A54="","",VLOOKUP(A54,INDIRECT("HISTÓRICO COBROS!A3:F"&amp;COUNTA('HISTÓRICO COBROS'!A:A)),6,FALSE)),"")</f>
        <v/>
      </c>
      <c r="H54" s="138" t="str">
        <f t="shared" ref="H54:I54" si="55">IF(D54="","",D54+F54)</f>
        <v/>
      </c>
      <c r="I54" s="135" t="str">
        <f t="shared" si="55"/>
        <v/>
      </c>
      <c r="J54" s="140" t="str">
        <f t="shared" si="3"/>
        <v/>
      </c>
      <c r="K54" s="140" t="str">
        <f t="shared" si="4"/>
        <v/>
      </c>
    </row>
    <row r="55" ht="22.5" customHeight="1">
      <c r="A55" s="140"/>
      <c r="B55" s="135" t="str">
        <f t="array" ref="B55">IF(A55="","",VLOOKUP(A55,INDIRECT("CXC!A2:B"&amp;COUNTA(CXC!A:A)),2,FALSE))</f>
        <v/>
      </c>
      <c r="C55" s="136" t="str">
        <f t="array" ref="C55">IF(A55="","",VLOOKUP(A55,INDIRECT("CXC!A2:C"&amp;COUNTA(CXC!A:A)),3,FALSE))</f>
        <v/>
      </c>
      <c r="D55" s="137" t="str">
        <f t="array" ref="D55">IF(A55="","",VLOOKUP(A55,INDIRECT("CXC!A2:H"&amp;COUNTA(CXC!A:A)),8,FALSE))</f>
        <v/>
      </c>
      <c r="E55" s="137" t="str">
        <f t="array" ref="E55">IFERROR(IF(A55="","",VLOOKUP(A55,INDIRECT("HISTÓRICO COBROS!A3:E"&amp;COUNTA('HISTÓRICO COBROS'!A:A)),5,FALSE)),"")</f>
        <v/>
      </c>
      <c r="F55" s="137" t="str">
        <f t="array" ref="F55">IF(A55="","",VLOOKUP(A55,INDIRECT("CXC!A2:I"&amp;COUNTA(CXC!A:A)),9,FALSE))</f>
        <v/>
      </c>
      <c r="G55" s="137" t="str">
        <f t="array" ref="G55">IFERROR(IF(A55="","",VLOOKUP(A55,INDIRECT("HISTÓRICO COBROS!A3:F"&amp;COUNTA('HISTÓRICO COBROS'!A:A)),6,FALSE)),"")</f>
        <v/>
      </c>
      <c r="H55" s="138" t="str">
        <f t="shared" ref="H55:I55" si="56">IF(D55="","",D55+F55)</f>
        <v/>
      </c>
      <c r="I55" s="135" t="str">
        <f t="shared" si="56"/>
        <v/>
      </c>
      <c r="J55" s="140" t="str">
        <f t="shared" si="3"/>
        <v/>
      </c>
      <c r="K55" s="140" t="str">
        <f t="shared" si="4"/>
        <v/>
      </c>
    </row>
    <row r="56" ht="22.5" customHeight="1">
      <c r="A56" s="140"/>
      <c r="B56" s="135" t="str">
        <f t="array" ref="B56">IF(A56="","",VLOOKUP(A56,INDIRECT("CXC!A2:B"&amp;COUNTA(CXC!A:A)),2,FALSE))</f>
        <v/>
      </c>
      <c r="C56" s="136" t="str">
        <f t="array" ref="C56">IF(A56="","",VLOOKUP(A56,INDIRECT("CXC!A2:C"&amp;COUNTA(CXC!A:A)),3,FALSE))</f>
        <v/>
      </c>
      <c r="D56" s="137" t="str">
        <f t="array" ref="D56">IF(A56="","",VLOOKUP(A56,INDIRECT("CXC!A2:H"&amp;COUNTA(CXC!A:A)),8,FALSE))</f>
        <v/>
      </c>
      <c r="E56" s="137" t="str">
        <f t="array" ref="E56">IFERROR(IF(A56="","",VLOOKUP(A56,INDIRECT("HISTÓRICO COBROS!A3:E"&amp;COUNTA('HISTÓRICO COBROS'!A:A)),5,FALSE)),"")</f>
        <v/>
      </c>
      <c r="F56" s="137" t="str">
        <f t="array" ref="F56">IF(A56="","",VLOOKUP(A56,INDIRECT("CXC!A2:I"&amp;COUNTA(CXC!A:A)),9,FALSE))</f>
        <v/>
      </c>
      <c r="G56" s="137" t="str">
        <f t="array" ref="G56">IFERROR(IF(A56="","",VLOOKUP(A56,INDIRECT("HISTÓRICO COBROS!A3:F"&amp;COUNTA('HISTÓRICO COBROS'!A:A)),6,FALSE)),"")</f>
        <v/>
      </c>
      <c r="H56" s="138" t="str">
        <f t="shared" ref="H56:I56" si="57">IF(D56="","",D56+F56)</f>
        <v/>
      </c>
      <c r="I56" s="135" t="str">
        <f t="shared" si="57"/>
        <v/>
      </c>
      <c r="J56" s="140" t="str">
        <f t="shared" si="3"/>
        <v/>
      </c>
      <c r="K56" s="140" t="str">
        <f t="shared" si="4"/>
        <v/>
      </c>
    </row>
    <row r="57" ht="22.5" customHeight="1">
      <c r="A57" s="140"/>
      <c r="B57" s="135" t="str">
        <f t="array" ref="B57">IF(A57="","",VLOOKUP(A57,INDIRECT("CXC!A2:B"&amp;COUNTA(CXC!A:A)),2,FALSE))</f>
        <v/>
      </c>
      <c r="C57" s="136" t="str">
        <f t="array" ref="C57">IF(A57="","",VLOOKUP(A57,INDIRECT("CXC!A2:C"&amp;COUNTA(CXC!A:A)),3,FALSE))</f>
        <v/>
      </c>
      <c r="D57" s="137" t="str">
        <f t="array" ref="D57">IF(A57="","",VLOOKUP(A57,INDIRECT("CXC!A2:H"&amp;COUNTA(CXC!A:A)),8,FALSE))</f>
        <v/>
      </c>
      <c r="E57" s="137" t="str">
        <f t="array" ref="E57">IFERROR(IF(A57="","",VLOOKUP(A57,INDIRECT("HISTÓRICO COBROS!A3:E"&amp;COUNTA('HISTÓRICO COBROS'!A:A)),5,FALSE)),"")</f>
        <v/>
      </c>
      <c r="F57" s="137" t="str">
        <f t="array" ref="F57">IF(A57="","",VLOOKUP(A57,INDIRECT("CXC!A2:I"&amp;COUNTA(CXC!A:A)),9,FALSE))</f>
        <v/>
      </c>
      <c r="G57" s="137" t="str">
        <f t="array" ref="G57">IFERROR(IF(A57="","",VLOOKUP(A57,INDIRECT("HISTÓRICO COBROS!A3:F"&amp;COUNTA('HISTÓRICO COBROS'!A:A)),6,FALSE)),"")</f>
        <v/>
      </c>
      <c r="H57" s="138" t="str">
        <f t="shared" ref="H57:I57" si="58">IF(D57="","",D57+F57)</f>
        <v/>
      </c>
      <c r="I57" s="135" t="str">
        <f t="shared" si="58"/>
        <v/>
      </c>
      <c r="J57" s="140" t="str">
        <f t="shared" si="3"/>
        <v/>
      </c>
      <c r="K57" s="140" t="str">
        <f t="shared" si="4"/>
        <v/>
      </c>
    </row>
    <row r="58" ht="22.5" customHeight="1">
      <c r="A58" s="140"/>
      <c r="B58" s="135" t="str">
        <f t="array" ref="B58">IF(A58="","",VLOOKUP(A58,INDIRECT("CXC!A2:B"&amp;COUNTA(CXC!A:A)),2,FALSE))</f>
        <v/>
      </c>
      <c r="C58" s="136" t="str">
        <f t="array" ref="C58">IF(A58="","",VLOOKUP(A58,INDIRECT("CXC!A2:C"&amp;COUNTA(CXC!A:A)),3,FALSE))</f>
        <v/>
      </c>
      <c r="D58" s="137" t="str">
        <f t="array" ref="D58">IF(A58="","",VLOOKUP(A58,INDIRECT("CXC!A2:H"&amp;COUNTA(CXC!A:A)),8,FALSE))</f>
        <v/>
      </c>
      <c r="E58" s="137" t="str">
        <f t="array" ref="E58">IFERROR(IF(A58="","",VLOOKUP(A58,INDIRECT("HISTÓRICO COBROS!A3:E"&amp;COUNTA('HISTÓRICO COBROS'!A:A)),5,FALSE)),"")</f>
        <v/>
      </c>
      <c r="F58" s="137" t="str">
        <f t="array" ref="F58">IF(A58="","",VLOOKUP(A58,INDIRECT("CXC!A2:I"&amp;COUNTA(CXC!A:A)),9,FALSE))</f>
        <v/>
      </c>
      <c r="G58" s="137" t="str">
        <f t="array" ref="G58">IFERROR(IF(A58="","",VLOOKUP(A58,INDIRECT("HISTÓRICO COBROS!A3:F"&amp;COUNTA('HISTÓRICO COBROS'!A:A)),6,FALSE)),"")</f>
        <v/>
      </c>
      <c r="H58" s="138" t="str">
        <f t="shared" ref="H58:I58" si="59">IF(D58="","",D58+F58)</f>
        <v/>
      </c>
      <c r="I58" s="135" t="str">
        <f t="shared" si="59"/>
        <v/>
      </c>
      <c r="J58" s="140" t="str">
        <f t="shared" si="3"/>
        <v/>
      </c>
      <c r="K58" s="140" t="str">
        <f t="shared" si="4"/>
        <v/>
      </c>
    </row>
    <row r="59" ht="22.5" customHeight="1">
      <c r="A59" s="140"/>
      <c r="B59" s="135" t="str">
        <f t="array" ref="B59">IF(A59="","",VLOOKUP(A59,INDIRECT("CXC!A2:B"&amp;COUNTA(CXC!A:A)),2,FALSE))</f>
        <v/>
      </c>
      <c r="C59" s="136" t="str">
        <f t="array" ref="C59">IF(A59="","",VLOOKUP(A59,INDIRECT("CXC!A2:C"&amp;COUNTA(CXC!A:A)),3,FALSE))</f>
        <v/>
      </c>
      <c r="D59" s="137" t="str">
        <f t="array" ref="D59">IF(A59="","",VLOOKUP(A59,INDIRECT("CXC!A2:H"&amp;COUNTA(CXC!A:A)),8,FALSE))</f>
        <v/>
      </c>
      <c r="E59" s="137" t="str">
        <f t="array" ref="E59">IFERROR(IF(A59="","",VLOOKUP(A59,INDIRECT("HISTÓRICO COBROS!A3:E"&amp;COUNTA('HISTÓRICO COBROS'!A:A)),5,FALSE)),"")</f>
        <v/>
      </c>
      <c r="F59" s="137" t="str">
        <f t="array" ref="F59">IF(A59="","",VLOOKUP(A59,INDIRECT("CXC!A2:I"&amp;COUNTA(CXC!A:A)),9,FALSE))</f>
        <v/>
      </c>
      <c r="G59" s="137" t="str">
        <f t="array" ref="G59">IFERROR(IF(A59="","",VLOOKUP(A59,INDIRECT("HISTÓRICO COBROS!A3:F"&amp;COUNTA('HISTÓRICO COBROS'!A:A)),6,FALSE)),"")</f>
        <v/>
      </c>
      <c r="H59" s="138" t="str">
        <f t="shared" ref="H59:I59" si="60">IF(D59="","",D59+F59)</f>
        <v/>
      </c>
      <c r="I59" s="135" t="str">
        <f t="shared" si="60"/>
        <v/>
      </c>
      <c r="J59" s="140" t="str">
        <f t="shared" si="3"/>
        <v/>
      </c>
      <c r="K59" s="140" t="str">
        <f t="shared" si="4"/>
        <v/>
      </c>
    </row>
    <row r="60" ht="22.5" customHeight="1">
      <c r="A60" s="140"/>
      <c r="B60" s="135" t="str">
        <f t="array" ref="B60">IF(A60="","",VLOOKUP(A60,INDIRECT("CXC!A2:B"&amp;COUNTA(CXC!A:A)),2,FALSE))</f>
        <v/>
      </c>
      <c r="C60" s="136" t="str">
        <f t="array" ref="C60">IF(A60="","",VLOOKUP(A60,INDIRECT("CXC!A2:C"&amp;COUNTA(CXC!A:A)),3,FALSE))</f>
        <v/>
      </c>
      <c r="D60" s="137" t="str">
        <f t="array" ref="D60">IF(A60="","",VLOOKUP(A60,INDIRECT("CXC!A2:H"&amp;COUNTA(CXC!A:A)),8,FALSE))</f>
        <v/>
      </c>
      <c r="E60" s="137" t="str">
        <f t="array" ref="E60">IFERROR(IF(A60="","",VLOOKUP(A60,INDIRECT("HISTÓRICO COBROS!A3:E"&amp;COUNTA('HISTÓRICO COBROS'!A:A)),5,FALSE)),"")</f>
        <v/>
      </c>
      <c r="F60" s="137" t="str">
        <f t="array" ref="F60">IF(A60="","",VLOOKUP(A60,INDIRECT("CXC!A2:I"&amp;COUNTA(CXC!A:A)),9,FALSE))</f>
        <v/>
      </c>
      <c r="G60" s="137" t="str">
        <f t="array" ref="G60">IFERROR(IF(A60="","",VLOOKUP(A60,INDIRECT("HISTÓRICO COBROS!A3:F"&amp;COUNTA('HISTÓRICO COBROS'!A:A)),6,FALSE)),"")</f>
        <v/>
      </c>
      <c r="H60" s="138" t="str">
        <f t="shared" ref="H60:I60" si="61">IF(D60="","",D60+F60)</f>
        <v/>
      </c>
      <c r="I60" s="135" t="str">
        <f t="shared" si="61"/>
        <v/>
      </c>
      <c r="J60" s="140" t="str">
        <f t="shared" si="3"/>
        <v/>
      </c>
      <c r="K60" s="140" t="str">
        <f t="shared" si="4"/>
        <v/>
      </c>
    </row>
    <row r="61" ht="22.5" customHeight="1">
      <c r="A61" s="140"/>
      <c r="B61" s="135" t="str">
        <f t="array" ref="B61">IF(A61="","",VLOOKUP(A61,INDIRECT("CXC!A2:B"&amp;COUNTA(CXC!A:A)),2,FALSE))</f>
        <v/>
      </c>
      <c r="C61" s="136" t="str">
        <f t="array" ref="C61">IF(A61="","",VLOOKUP(A61,INDIRECT("CXC!A2:C"&amp;COUNTA(CXC!A:A)),3,FALSE))</f>
        <v/>
      </c>
      <c r="D61" s="137" t="str">
        <f t="array" ref="D61">IF(A61="","",VLOOKUP(A61,INDIRECT("CXC!A2:H"&amp;COUNTA(CXC!A:A)),8,FALSE))</f>
        <v/>
      </c>
      <c r="E61" s="137" t="str">
        <f t="array" ref="E61">IFERROR(IF(A61="","",VLOOKUP(A61,INDIRECT("HISTÓRICO COBROS!A3:E"&amp;COUNTA('HISTÓRICO COBROS'!A:A)),5,FALSE)),"")</f>
        <v/>
      </c>
      <c r="F61" s="137" t="str">
        <f t="array" ref="F61">IF(A61="","",VLOOKUP(A61,INDIRECT("CXC!A2:I"&amp;COUNTA(CXC!A:A)),9,FALSE))</f>
        <v/>
      </c>
      <c r="G61" s="137" t="str">
        <f t="array" ref="G61">IFERROR(IF(A61="","",VLOOKUP(A61,INDIRECT("HISTÓRICO COBROS!A3:F"&amp;COUNTA('HISTÓRICO COBROS'!A:A)),6,FALSE)),"")</f>
        <v/>
      </c>
      <c r="H61" s="138" t="str">
        <f t="shared" ref="H61:I61" si="62">IF(D61="","",D61+F61)</f>
        <v/>
      </c>
      <c r="I61" s="135" t="str">
        <f t="shared" si="62"/>
        <v/>
      </c>
      <c r="J61" s="140" t="str">
        <f t="shared" si="3"/>
        <v/>
      </c>
      <c r="K61" s="140" t="str">
        <f t="shared" si="4"/>
        <v/>
      </c>
    </row>
    <row r="62" ht="22.5" customHeight="1">
      <c r="A62" s="140"/>
      <c r="B62" s="135" t="str">
        <f t="array" ref="B62">IF(A62="","",VLOOKUP(A62,INDIRECT("CXC!A2:B"&amp;COUNTA(CXC!A:A)),2,FALSE))</f>
        <v/>
      </c>
      <c r="C62" s="136" t="str">
        <f t="array" ref="C62">IF(A62="","",VLOOKUP(A62,INDIRECT("CXC!A2:C"&amp;COUNTA(CXC!A:A)),3,FALSE))</f>
        <v/>
      </c>
      <c r="D62" s="137" t="str">
        <f t="array" ref="D62">IF(A62="","",VLOOKUP(A62,INDIRECT("CXC!A2:H"&amp;COUNTA(CXC!A:A)),8,FALSE))</f>
        <v/>
      </c>
      <c r="E62" s="137" t="str">
        <f t="array" ref="E62">IFERROR(IF(A62="","",VLOOKUP(A62,INDIRECT("HISTÓRICO COBROS!A3:E"&amp;COUNTA('HISTÓRICO COBROS'!A:A)),5,FALSE)),"")</f>
        <v/>
      </c>
      <c r="F62" s="137" t="str">
        <f t="array" ref="F62">IF(A62="","",VLOOKUP(A62,INDIRECT("CXC!A2:I"&amp;COUNTA(CXC!A:A)),9,FALSE))</f>
        <v/>
      </c>
      <c r="G62" s="137" t="str">
        <f t="array" ref="G62">IFERROR(IF(A62="","",VLOOKUP(A62,INDIRECT("HISTÓRICO COBROS!A3:F"&amp;COUNTA('HISTÓRICO COBROS'!A:A)),6,FALSE)),"")</f>
        <v/>
      </c>
      <c r="H62" s="138" t="str">
        <f t="shared" ref="H62:I62" si="63">IF(D62="","",D62+F62)</f>
        <v/>
      </c>
      <c r="I62" s="135" t="str">
        <f t="shared" si="63"/>
        <v/>
      </c>
      <c r="J62" s="140" t="str">
        <f t="shared" si="3"/>
        <v/>
      </c>
      <c r="K62" s="140" t="str">
        <f t="shared" si="4"/>
        <v/>
      </c>
    </row>
    <row r="63" ht="22.5" customHeight="1">
      <c r="A63" s="140"/>
      <c r="B63" s="135" t="str">
        <f t="array" ref="B63">IF(A63="","",VLOOKUP(A63,INDIRECT("CXC!A2:B"&amp;COUNTA(CXC!A:A)),2,FALSE))</f>
        <v/>
      </c>
      <c r="C63" s="136" t="str">
        <f t="array" ref="C63">IF(A63="","",VLOOKUP(A63,INDIRECT("CXC!A2:C"&amp;COUNTA(CXC!A:A)),3,FALSE))</f>
        <v/>
      </c>
      <c r="D63" s="137" t="str">
        <f t="array" ref="D63">IF(A63="","",VLOOKUP(A63,INDIRECT("CXC!A2:H"&amp;COUNTA(CXC!A:A)),8,FALSE))</f>
        <v/>
      </c>
      <c r="E63" s="137" t="str">
        <f t="array" ref="E63">IFERROR(IF(A63="","",VLOOKUP(A63,INDIRECT("HISTÓRICO COBROS!A3:E"&amp;COUNTA('HISTÓRICO COBROS'!A:A)),5,FALSE)),"")</f>
        <v/>
      </c>
      <c r="F63" s="137" t="str">
        <f t="array" ref="F63">IF(A63="","",VLOOKUP(A63,INDIRECT("CXC!A2:I"&amp;COUNTA(CXC!A:A)),9,FALSE))</f>
        <v/>
      </c>
      <c r="G63" s="137" t="str">
        <f t="array" ref="G63">IFERROR(IF(A63="","",VLOOKUP(A63,INDIRECT("HISTÓRICO COBROS!A3:F"&amp;COUNTA('HISTÓRICO COBROS'!A:A)),6,FALSE)),"")</f>
        <v/>
      </c>
      <c r="H63" s="138" t="str">
        <f t="shared" ref="H63:I63" si="64">IF(D63="","",D63+F63)</f>
        <v/>
      </c>
      <c r="I63" s="135" t="str">
        <f t="shared" si="64"/>
        <v/>
      </c>
      <c r="J63" s="140" t="str">
        <f t="shared" si="3"/>
        <v/>
      </c>
      <c r="K63" s="140" t="str">
        <f t="shared" si="4"/>
        <v/>
      </c>
    </row>
    <row r="64" ht="22.5" customHeight="1">
      <c r="A64" s="140"/>
      <c r="B64" s="135" t="str">
        <f t="array" ref="B64">IF(A64="","",VLOOKUP(A64,INDIRECT("CXC!A2:B"&amp;COUNTA(CXC!A:A)),2,FALSE))</f>
        <v/>
      </c>
      <c r="C64" s="136" t="str">
        <f t="array" ref="C64">IF(A64="","",VLOOKUP(A64,INDIRECT("CXC!A2:C"&amp;COUNTA(CXC!A:A)),3,FALSE))</f>
        <v/>
      </c>
      <c r="D64" s="137" t="str">
        <f t="array" ref="D64">IF(A64="","",VLOOKUP(A64,INDIRECT("CXC!A2:H"&amp;COUNTA(CXC!A:A)),8,FALSE))</f>
        <v/>
      </c>
      <c r="E64" s="137" t="str">
        <f t="array" ref="E64">IFERROR(IF(A64="","",VLOOKUP(A64,INDIRECT("HISTÓRICO COBROS!A3:E"&amp;COUNTA('HISTÓRICO COBROS'!A:A)),5,FALSE)),"")</f>
        <v/>
      </c>
      <c r="F64" s="137" t="str">
        <f t="array" ref="F64">IF(A64="","",VLOOKUP(A64,INDIRECT("CXC!A2:I"&amp;COUNTA(CXC!A:A)),9,FALSE))</f>
        <v/>
      </c>
      <c r="G64" s="137" t="str">
        <f t="array" ref="G64">IFERROR(IF(A64="","",VLOOKUP(A64,INDIRECT("HISTÓRICO COBROS!A3:F"&amp;COUNTA('HISTÓRICO COBROS'!A:A)),6,FALSE)),"")</f>
        <v/>
      </c>
      <c r="H64" s="138" t="str">
        <f t="shared" ref="H64:I64" si="65">IF(D64="","",D64+F64)</f>
        <v/>
      </c>
      <c r="I64" s="135" t="str">
        <f t="shared" si="65"/>
        <v/>
      </c>
      <c r="J64" s="140" t="str">
        <f t="shared" si="3"/>
        <v/>
      </c>
      <c r="K64" s="140" t="str">
        <f t="shared" si="4"/>
        <v/>
      </c>
    </row>
    <row r="65" ht="22.5" customHeight="1">
      <c r="A65" s="140"/>
      <c r="B65" s="135" t="str">
        <f t="array" ref="B65">IF(A65="","",VLOOKUP(A65,INDIRECT("CXC!A2:B"&amp;COUNTA(CXC!A:A)),2,FALSE))</f>
        <v/>
      </c>
      <c r="C65" s="136" t="str">
        <f t="array" ref="C65">IF(A65="","",VLOOKUP(A65,INDIRECT("CXC!A2:C"&amp;COUNTA(CXC!A:A)),3,FALSE))</f>
        <v/>
      </c>
      <c r="D65" s="137" t="str">
        <f t="array" ref="D65">IF(A65="","",VLOOKUP(A65,INDIRECT("CXC!A2:H"&amp;COUNTA(CXC!A:A)),8,FALSE))</f>
        <v/>
      </c>
      <c r="E65" s="137" t="str">
        <f t="array" ref="E65">IFERROR(IF(A65="","",VLOOKUP(A65,INDIRECT("HISTÓRICO COBROS!A3:E"&amp;COUNTA('HISTÓRICO COBROS'!A:A)),5,FALSE)),"")</f>
        <v/>
      </c>
      <c r="F65" s="137" t="str">
        <f t="array" ref="F65">IF(A65="","",VLOOKUP(A65,INDIRECT("CXC!A2:I"&amp;COUNTA(CXC!A:A)),9,FALSE))</f>
        <v/>
      </c>
      <c r="G65" s="137" t="str">
        <f t="array" ref="G65">IFERROR(IF(A65="","",VLOOKUP(A65,INDIRECT("HISTÓRICO COBROS!A3:F"&amp;COUNTA('HISTÓRICO COBROS'!A:A)),6,FALSE)),"")</f>
        <v/>
      </c>
      <c r="H65" s="138" t="str">
        <f t="shared" ref="H65:I65" si="66">IF(D65="","",D65+F65)</f>
        <v/>
      </c>
      <c r="I65" s="135" t="str">
        <f t="shared" si="66"/>
        <v/>
      </c>
      <c r="J65" s="140" t="str">
        <f t="shared" si="3"/>
        <v/>
      </c>
      <c r="K65" s="140" t="str">
        <f t="shared" si="4"/>
        <v/>
      </c>
    </row>
    <row r="66" ht="22.5" customHeight="1">
      <c r="A66" s="140"/>
      <c r="B66" s="135" t="str">
        <f t="array" ref="B66">IF(A66="","",VLOOKUP(A66,INDIRECT("CXC!A2:B"&amp;COUNTA(CXC!A:A)),2,FALSE))</f>
        <v/>
      </c>
      <c r="C66" s="136" t="str">
        <f t="array" ref="C66">IF(A66="","",VLOOKUP(A66,INDIRECT("CXC!A2:C"&amp;COUNTA(CXC!A:A)),3,FALSE))</f>
        <v/>
      </c>
      <c r="D66" s="137" t="str">
        <f t="array" ref="D66">IF(A66="","",VLOOKUP(A66,INDIRECT("CXC!A2:H"&amp;COUNTA(CXC!A:A)),8,FALSE))</f>
        <v/>
      </c>
      <c r="E66" s="137" t="str">
        <f t="array" ref="E66">IFERROR(IF(A66="","",VLOOKUP(A66,INDIRECT("HISTÓRICO COBROS!A3:E"&amp;COUNTA('HISTÓRICO COBROS'!A:A)),5,FALSE)),"")</f>
        <v/>
      </c>
      <c r="F66" s="137" t="str">
        <f t="array" ref="F66">IF(A66="","",VLOOKUP(A66,INDIRECT("CXC!A2:I"&amp;COUNTA(CXC!A:A)),9,FALSE))</f>
        <v/>
      </c>
      <c r="G66" s="137" t="str">
        <f t="array" ref="G66">IFERROR(IF(A66="","",VLOOKUP(A66,INDIRECT("HISTÓRICO COBROS!A3:F"&amp;COUNTA('HISTÓRICO COBROS'!A:A)),6,FALSE)),"")</f>
        <v/>
      </c>
      <c r="H66" s="138" t="str">
        <f t="shared" ref="H66:I66" si="67">IF(D66="","",D66+F66)</f>
        <v/>
      </c>
      <c r="I66" s="135" t="str">
        <f t="shared" si="67"/>
        <v/>
      </c>
      <c r="J66" s="140" t="str">
        <f t="shared" si="3"/>
        <v/>
      </c>
      <c r="K66" s="140" t="str">
        <f t="shared" si="4"/>
        <v/>
      </c>
    </row>
    <row r="67" ht="22.5" customHeight="1">
      <c r="A67" s="140"/>
      <c r="B67" s="135" t="str">
        <f t="array" ref="B67">IF(A67="","",VLOOKUP(A67,INDIRECT("CXC!A2:B"&amp;COUNTA(CXC!A:A)),2,FALSE))</f>
        <v/>
      </c>
      <c r="C67" s="136" t="str">
        <f t="array" ref="C67">IF(A67="","",VLOOKUP(A67,INDIRECT("CXC!A2:C"&amp;COUNTA(CXC!A:A)),3,FALSE))</f>
        <v/>
      </c>
      <c r="D67" s="137" t="str">
        <f t="array" ref="D67">IF(A67="","",VLOOKUP(A67,INDIRECT("CXC!A2:H"&amp;COUNTA(CXC!A:A)),8,FALSE))</f>
        <v/>
      </c>
      <c r="E67" s="137" t="str">
        <f t="array" ref="E67">IFERROR(IF(A67="","",VLOOKUP(A67,INDIRECT("HISTÓRICO COBROS!A3:E"&amp;COUNTA('HISTÓRICO COBROS'!A:A)),5,FALSE)),"")</f>
        <v/>
      </c>
      <c r="F67" s="137" t="str">
        <f t="array" ref="F67">IF(A67="","",VLOOKUP(A67,INDIRECT("CXC!A2:I"&amp;COUNTA(CXC!A:A)),9,FALSE))</f>
        <v/>
      </c>
      <c r="G67" s="137" t="str">
        <f t="array" ref="G67">IFERROR(IF(A67="","",VLOOKUP(A67,INDIRECT("HISTÓRICO COBROS!A3:F"&amp;COUNTA('HISTÓRICO COBROS'!A:A)),6,FALSE)),"")</f>
        <v/>
      </c>
      <c r="H67" s="138" t="str">
        <f t="shared" ref="H67:I67" si="68">IF(D67="","",D67+F67)</f>
        <v/>
      </c>
      <c r="I67" s="135" t="str">
        <f t="shared" si="68"/>
        <v/>
      </c>
      <c r="J67" s="140" t="str">
        <f t="shared" si="3"/>
        <v/>
      </c>
      <c r="K67" s="140" t="str">
        <f t="shared" si="4"/>
        <v/>
      </c>
    </row>
    <row r="68" ht="22.5" customHeight="1">
      <c r="A68" s="140"/>
      <c r="B68" s="135" t="str">
        <f t="array" ref="B68">IF(A68="","",VLOOKUP(A68,INDIRECT("CXC!A2:B"&amp;COUNTA(CXC!A:A)),2,FALSE))</f>
        <v/>
      </c>
      <c r="C68" s="136" t="str">
        <f t="array" ref="C68">IF(A68="","",VLOOKUP(A68,INDIRECT("CXC!A2:C"&amp;COUNTA(CXC!A:A)),3,FALSE))</f>
        <v/>
      </c>
      <c r="D68" s="137" t="str">
        <f t="array" ref="D68">IF(A68="","",VLOOKUP(A68,INDIRECT("CXC!A2:H"&amp;COUNTA(CXC!A:A)),8,FALSE))</f>
        <v/>
      </c>
      <c r="E68" s="137" t="str">
        <f t="array" ref="E68">IFERROR(IF(A68="","",VLOOKUP(A68,INDIRECT("HISTÓRICO COBROS!A3:E"&amp;COUNTA('HISTÓRICO COBROS'!A:A)),5,FALSE)),"")</f>
        <v/>
      </c>
      <c r="F68" s="137" t="str">
        <f t="array" ref="F68">IF(A68="","",VLOOKUP(A68,INDIRECT("CXC!A2:I"&amp;COUNTA(CXC!A:A)),9,FALSE))</f>
        <v/>
      </c>
      <c r="G68" s="137" t="str">
        <f t="array" ref="G68">IFERROR(IF(A68="","",VLOOKUP(A68,INDIRECT("HISTÓRICO COBROS!A3:F"&amp;COUNTA('HISTÓRICO COBROS'!A:A)),6,FALSE)),"")</f>
        <v/>
      </c>
      <c r="H68" s="138" t="str">
        <f t="shared" ref="H68:I68" si="69">IF(D68="","",D68+F68)</f>
        <v/>
      </c>
      <c r="I68" s="135" t="str">
        <f t="shared" si="69"/>
        <v/>
      </c>
      <c r="J68" s="140" t="str">
        <f t="shared" si="3"/>
        <v/>
      </c>
      <c r="K68" s="140" t="str">
        <f t="shared" si="4"/>
        <v/>
      </c>
    </row>
    <row r="69" ht="22.5" customHeight="1">
      <c r="A69" s="140"/>
      <c r="B69" s="135" t="str">
        <f t="array" ref="B69">IF(A69="","",VLOOKUP(A69,INDIRECT("CXC!A2:B"&amp;COUNTA(CXC!A:A)),2,FALSE))</f>
        <v/>
      </c>
      <c r="C69" s="136" t="str">
        <f t="array" ref="C69">IF(A69="","",VLOOKUP(A69,INDIRECT("CXC!A2:C"&amp;COUNTA(CXC!A:A)),3,FALSE))</f>
        <v/>
      </c>
      <c r="D69" s="137" t="str">
        <f t="array" ref="D69">IF(A69="","",VLOOKUP(A69,INDIRECT("CXC!A2:H"&amp;COUNTA(CXC!A:A)),8,FALSE))</f>
        <v/>
      </c>
      <c r="E69" s="137" t="str">
        <f t="array" ref="E69">IFERROR(IF(A69="","",VLOOKUP(A69,INDIRECT("HISTÓRICO COBROS!A3:E"&amp;COUNTA('HISTÓRICO COBROS'!A:A)),5,FALSE)),"")</f>
        <v/>
      </c>
      <c r="F69" s="137" t="str">
        <f t="array" ref="F69">IF(A69="","",VLOOKUP(A69,INDIRECT("CXC!A2:I"&amp;COUNTA(CXC!A:A)),9,FALSE))</f>
        <v/>
      </c>
      <c r="G69" s="137" t="str">
        <f t="array" ref="G69">IFERROR(IF(A69="","",VLOOKUP(A69,INDIRECT("HISTÓRICO COBROS!A3:F"&amp;COUNTA('HISTÓRICO COBROS'!A:A)),6,FALSE)),"")</f>
        <v/>
      </c>
      <c r="H69" s="138" t="str">
        <f t="shared" ref="H69:I69" si="70">IF(D69="","",D69+F69)</f>
        <v/>
      </c>
      <c r="I69" s="135" t="str">
        <f t="shared" si="70"/>
        <v/>
      </c>
      <c r="J69" s="140" t="str">
        <f t="shared" si="3"/>
        <v/>
      </c>
      <c r="K69" s="140" t="str">
        <f t="shared" si="4"/>
        <v/>
      </c>
    </row>
    <row r="70" ht="22.5" customHeight="1">
      <c r="A70" s="140"/>
      <c r="B70" s="135" t="str">
        <f t="array" ref="B70">IF(A70="","",VLOOKUP(A70,INDIRECT("CXC!A2:B"&amp;COUNTA(CXC!A:A)),2,FALSE))</f>
        <v/>
      </c>
      <c r="C70" s="136" t="str">
        <f t="array" ref="C70">IF(A70="","",VLOOKUP(A70,INDIRECT("CXC!A2:C"&amp;COUNTA(CXC!A:A)),3,FALSE))</f>
        <v/>
      </c>
      <c r="D70" s="137" t="str">
        <f t="array" ref="D70">IF(A70="","",VLOOKUP(A70,INDIRECT("CXC!A2:H"&amp;COUNTA(CXC!A:A)),8,FALSE))</f>
        <v/>
      </c>
      <c r="E70" s="137" t="str">
        <f t="array" ref="E70">IFERROR(IF(A70="","",VLOOKUP(A70,INDIRECT("HISTÓRICO COBROS!A3:E"&amp;COUNTA('HISTÓRICO COBROS'!A:A)),5,FALSE)),"")</f>
        <v/>
      </c>
      <c r="F70" s="137" t="str">
        <f t="array" ref="F70">IF(A70="","",VLOOKUP(A70,INDIRECT("CXC!A2:I"&amp;COUNTA(CXC!A:A)),9,FALSE))</f>
        <v/>
      </c>
      <c r="G70" s="137" t="str">
        <f t="array" ref="G70">IFERROR(IF(A70="","",VLOOKUP(A70,INDIRECT("HISTÓRICO COBROS!A3:F"&amp;COUNTA('HISTÓRICO COBROS'!A:A)),6,FALSE)),"")</f>
        <v/>
      </c>
      <c r="H70" s="138" t="str">
        <f t="shared" ref="H70:I70" si="71">IF(D70="","",D70+F70)</f>
        <v/>
      </c>
      <c r="I70" s="135" t="str">
        <f t="shared" si="71"/>
        <v/>
      </c>
      <c r="J70" s="140" t="str">
        <f t="shared" si="3"/>
        <v/>
      </c>
      <c r="K70" s="140" t="str">
        <f t="shared" si="4"/>
        <v/>
      </c>
    </row>
    <row r="71" ht="22.5" customHeight="1">
      <c r="A71" s="140"/>
      <c r="B71" s="135" t="str">
        <f t="array" ref="B71">IF(A71="","",VLOOKUP(A71,INDIRECT("CXC!A2:B"&amp;COUNTA(CXC!A:A)),2,FALSE))</f>
        <v/>
      </c>
      <c r="C71" s="136" t="str">
        <f t="array" ref="C71">IF(A71="","",VLOOKUP(A71,INDIRECT("CXC!A2:C"&amp;COUNTA(CXC!A:A)),3,FALSE))</f>
        <v/>
      </c>
      <c r="D71" s="137" t="str">
        <f t="array" ref="D71">IF(A71="","",VLOOKUP(A71,INDIRECT("CXC!A2:H"&amp;COUNTA(CXC!A:A)),8,FALSE))</f>
        <v/>
      </c>
      <c r="E71" s="137" t="str">
        <f t="array" ref="E71">IFERROR(IF(A71="","",VLOOKUP(A71,INDIRECT("HISTÓRICO COBROS!A3:E"&amp;COUNTA('HISTÓRICO COBROS'!A:A)),5,FALSE)),"")</f>
        <v/>
      </c>
      <c r="F71" s="137" t="str">
        <f t="array" ref="F71">IF(A71="","",VLOOKUP(A71,INDIRECT("CXC!A2:I"&amp;COUNTA(CXC!A:A)),9,FALSE))</f>
        <v/>
      </c>
      <c r="G71" s="137" t="str">
        <f t="array" ref="G71">IFERROR(IF(A71="","",VLOOKUP(A71,INDIRECT("HISTÓRICO COBROS!A3:F"&amp;COUNTA('HISTÓRICO COBROS'!A:A)),6,FALSE)),"")</f>
        <v/>
      </c>
      <c r="H71" s="138" t="str">
        <f t="shared" ref="H71:I71" si="72">IF(D71="","",D71+F71)</f>
        <v/>
      </c>
      <c r="I71" s="135" t="str">
        <f t="shared" si="72"/>
        <v/>
      </c>
      <c r="J71" s="140" t="str">
        <f t="shared" si="3"/>
        <v/>
      </c>
      <c r="K71" s="140" t="str">
        <f t="shared" si="4"/>
        <v/>
      </c>
    </row>
    <row r="72" ht="22.5" customHeight="1">
      <c r="A72" s="140"/>
      <c r="B72" s="135" t="str">
        <f t="array" ref="B72">IF(A72="","",VLOOKUP(A72,INDIRECT("CXC!A2:B"&amp;COUNTA(CXC!A:A)),2,FALSE))</f>
        <v/>
      </c>
      <c r="C72" s="136" t="str">
        <f t="array" ref="C72">IF(A72="","",VLOOKUP(A72,INDIRECT("CXC!A2:C"&amp;COUNTA(CXC!A:A)),3,FALSE))</f>
        <v/>
      </c>
      <c r="D72" s="137" t="str">
        <f t="array" ref="D72">IF(A72="","",VLOOKUP(A72,INDIRECT("CXC!A2:H"&amp;COUNTA(CXC!A:A)),8,FALSE))</f>
        <v/>
      </c>
      <c r="E72" s="137" t="str">
        <f t="array" ref="E72">IFERROR(IF(A72="","",VLOOKUP(A72,INDIRECT("HISTÓRICO COBROS!A3:E"&amp;COUNTA('HISTÓRICO COBROS'!A:A)),5,FALSE)),"")</f>
        <v/>
      </c>
      <c r="F72" s="137" t="str">
        <f t="array" ref="F72">IF(A72="","",VLOOKUP(A72,INDIRECT("CXC!A2:I"&amp;COUNTA(CXC!A:A)),9,FALSE))</f>
        <v/>
      </c>
      <c r="G72" s="137" t="str">
        <f t="array" ref="G72">IFERROR(IF(A72="","",VLOOKUP(A72,INDIRECT("HISTÓRICO COBROS!A3:F"&amp;COUNTA('HISTÓRICO COBROS'!A:A)),6,FALSE)),"")</f>
        <v/>
      </c>
      <c r="H72" s="138" t="str">
        <f t="shared" ref="H72:I72" si="73">IF(D72="","",D72+F72)</f>
        <v/>
      </c>
      <c r="I72" s="135" t="str">
        <f t="shared" si="73"/>
        <v/>
      </c>
      <c r="J72" s="140" t="str">
        <f t="shared" si="3"/>
        <v/>
      </c>
      <c r="K72" s="140" t="str">
        <f t="shared" si="4"/>
        <v/>
      </c>
    </row>
    <row r="73" ht="22.5" customHeight="1">
      <c r="A73" s="140"/>
      <c r="B73" s="135" t="str">
        <f t="array" ref="B73">IF(A73="","",VLOOKUP(A73,INDIRECT("CXC!A2:B"&amp;COUNTA(CXC!A:A)),2,FALSE))</f>
        <v/>
      </c>
      <c r="C73" s="136" t="str">
        <f t="array" ref="C73">IF(A73="","",VLOOKUP(A73,INDIRECT("CXC!A2:C"&amp;COUNTA(CXC!A:A)),3,FALSE))</f>
        <v/>
      </c>
      <c r="D73" s="137" t="str">
        <f t="array" ref="D73">IF(A73="","",VLOOKUP(A73,INDIRECT("CXC!A2:H"&amp;COUNTA(CXC!A:A)),8,FALSE))</f>
        <v/>
      </c>
      <c r="E73" s="137" t="str">
        <f t="array" ref="E73">IFERROR(IF(A73="","",VLOOKUP(A73,INDIRECT("HISTÓRICO COBROS!A3:E"&amp;COUNTA('HISTÓRICO COBROS'!A:A)),5,FALSE)),"")</f>
        <v/>
      </c>
      <c r="F73" s="137" t="str">
        <f t="array" ref="F73">IF(A73="","",VLOOKUP(A73,INDIRECT("CXC!A2:I"&amp;COUNTA(CXC!A:A)),9,FALSE))</f>
        <v/>
      </c>
      <c r="G73" s="137" t="str">
        <f t="array" ref="G73">IFERROR(IF(A73="","",VLOOKUP(A73,INDIRECT("HISTÓRICO COBROS!A3:F"&amp;COUNTA('HISTÓRICO COBROS'!A:A)),6,FALSE)),"")</f>
        <v/>
      </c>
      <c r="H73" s="138" t="str">
        <f t="shared" ref="H73:I73" si="74">IF(D73="","",D73+F73)</f>
        <v/>
      </c>
      <c r="I73" s="135" t="str">
        <f t="shared" si="74"/>
        <v/>
      </c>
      <c r="J73" s="140" t="str">
        <f t="shared" si="3"/>
        <v/>
      </c>
      <c r="K73" s="140" t="str">
        <f t="shared" si="4"/>
        <v/>
      </c>
    </row>
    <row r="74" ht="22.5" customHeight="1">
      <c r="A74" s="140"/>
      <c r="B74" s="135" t="str">
        <f t="array" ref="B74">IF(A74="","",VLOOKUP(A74,INDIRECT("CXC!A2:B"&amp;COUNTA(CXC!A:A)),2,FALSE))</f>
        <v/>
      </c>
      <c r="C74" s="136" t="str">
        <f t="array" ref="C74">IF(A74="","",VLOOKUP(A74,INDIRECT("CXC!A2:C"&amp;COUNTA(CXC!A:A)),3,FALSE))</f>
        <v/>
      </c>
      <c r="D74" s="137" t="str">
        <f t="array" ref="D74">IF(A74="","",VLOOKUP(A74,INDIRECT("CXC!A2:H"&amp;COUNTA(CXC!A:A)),8,FALSE))</f>
        <v/>
      </c>
      <c r="E74" s="137" t="str">
        <f t="array" ref="E74">IFERROR(IF(A74="","",VLOOKUP(A74,INDIRECT("HISTÓRICO COBROS!A3:E"&amp;COUNTA('HISTÓRICO COBROS'!A:A)),5,FALSE)),"")</f>
        <v/>
      </c>
      <c r="F74" s="137" t="str">
        <f t="array" ref="F74">IF(A74="","",VLOOKUP(A74,INDIRECT("CXC!A2:I"&amp;COUNTA(CXC!A:A)),9,FALSE))</f>
        <v/>
      </c>
      <c r="G74" s="137" t="str">
        <f t="array" ref="G74">IFERROR(IF(A74="","",VLOOKUP(A74,INDIRECT("HISTÓRICO COBROS!A3:F"&amp;COUNTA('HISTÓRICO COBROS'!A:A)),6,FALSE)),"")</f>
        <v/>
      </c>
      <c r="H74" s="138" t="str">
        <f t="shared" ref="H74:I74" si="75">IF(D74="","",D74+F74)</f>
        <v/>
      </c>
      <c r="I74" s="135" t="str">
        <f t="shared" si="75"/>
        <v/>
      </c>
      <c r="J74" s="140" t="str">
        <f t="shared" si="3"/>
        <v/>
      </c>
      <c r="K74" s="140" t="str">
        <f t="shared" si="4"/>
        <v/>
      </c>
    </row>
    <row r="75" ht="22.5" customHeight="1">
      <c r="A75" s="140"/>
      <c r="B75" s="135" t="str">
        <f t="array" ref="B75">IF(A75="","",VLOOKUP(A75,INDIRECT("CXC!A2:B"&amp;COUNTA(CXC!A:A)),2,FALSE))</f>
        <v/>
      </c>
      <c r="C75" s="136" t="str">
        <f t="array" ref="C75">IF(A75="","",VLOOKUP(A75,INDIRECT("CXC!A2:C"&amp;COUNTA(CXC!A:A)),3,FALSE))</f>
        <v/>
      </c>
      <c r="D75" s="137" t="str">
        <f t="array" ref="D75">IF(A75="","",VLOOKUP(A75,INDIRECT("CXC!A2:H"&amp;COUNTA(CXC!A:A)),8,FALSE))</f>
        <v/>
      </c>
      <c r="E75" s="137" t="str">
        <f t="array" ref="E75">IFERROR(IF(A75="","",VLOOKUP(A75,INDIRECT("HISTÓRICO COBROS!A3:E"&amp;COUNTA('HISTÓRICO COBROS'!A:A)),5,FALSE)),"")</f>
        <v/>
      </c>
      <c r="F75" s="137" t="str">
        <f t="array" ref="F75">IF(A75="","",VLOOKUP(A75,INDIRECT("CXC!A2:I"&amp;COUNTA(CXC!A:A)),9,FALSE))</f>
        <v/>
      </c>
      <c r="G75" s="137" t="str">
        <f t="array" ref="G75">IFERROR(IF(A75="","",VLOOKUP(A75,INDIRECT("HISTÓRICO COBROS!A3:F"&amp;COUNTA('HISTÓRICO COBROS'!A:A)),6,FALSE)),"")</f>
        <v/>
      </c>
      <c r="H75" s="138" t="str">
        <f t="shared" ref="H75:I75" si="76">IF(D75="","",D75+F75)</f>
        <v/>
      </c>
      <c r="I75" s="135" t="str">
        <f t="shared" si="76"/>
        <v/>
      </c>
      <c r="J75" s="140" t="str">
        <f t="shared" si="3"/>
        <v/>
      </c>
      <c r="K75" s="140" t="str">
        <f t="shared" si="4"/>
        <v/>
      </c>
    </row>
    <row r="76" ht="22.5" customHeight="1">
      <c r="A76" s="140"/>
      <c r="B76" s="135" t="str">
        <f t="array" ref="B76">IF(A76="","",VLOOKUP(A76,INDIRECT("CXC!A2:B"&amp;COUNTA(CXC!A:A)),2,FALSE))</f>
        <v/>
      </c>
      <c r="C76" s="136" t="str">
        <f t="array" ref="C76">IF(A76="","",VLOOKUP(A76,INDIRECT("CXC!A2:C"&amp;COUNTA(CXC!A:A)),3,FALSE))</f>
        <v/>
      </c>
      <c r="D76" s="137" t="str">
        <f t="array" ref="D76">IF(A76="","",VLOOKUP(A76,INDIRECT("CXC!A2:H"&amp;COUNTA(CXC!A:A)),8,FALSE))</f>
        <v/>
      </c>
      <c r="E76" s="137" t="str">
        <f t="array" ref="E76">IFERROR(IF(A76="","",VLOOKUP(A76,INDIRECT("HISTÓRICO COBROS!A3:E"&amp;COUNTA('HISTÓRICO COBROS'!A:A)),5,FALSE)),"")</f>
        <v/>
      </c>
      <c r="F76" s="137" t="str">
        <f t="array" ref="F76">IF(A76="","",VLOOKUP(A76,INDIRECT("CXC!A2:I"&amp;COUNTA(CXC!A:A)),9,FALSE))</f>
        <v/>
      </c>
      <c r="G76" s="137" t="str">
        <f t="array" ref="G76">IFERROR(IF(A76="","",VLOOKUP(A76,INDIRECT("HISTÓRICO COBROS!A3:F"&amp;COUNTA('HISTÓRICO COBROS'!A:A)),6,FALSE)),"")</f>
        <v/>
      </c>
      <c r="H76" s="138" t="str">
        <f t="shared" ref="H76:I76" si="77">IF(D76="","",D76+F76)</f>
        <v/>
      </c>
      <c r="I76" s="135" t="str">
        <f t="shared" si="77"/>
        <v/>
      </c>
      <c r="J76" s="140" t="str">
        <f t="shared" si="3"/>
        <v/>
      </c>
      <c r="K76" s="140" t="str">
        <f t="shared" si="4"/>
        <v/>
      </c>
    </row>
    <row r="77" ht="22.5" customHeight="1">
      <c r="A77" s="140"/>
      <c r="B77" s="135" t="str">
        <f t="array" ref="B77">IF(A77="","",VLOOKUP(A77,INDIRECT("CXC!A2:B"&amp;COUNTA(CXC!A:A)),2,FALSE))</f>
        <v/>
      </c>
      <c r="C77" s="136" t="str">
        <f t="array" ref="C77">IF(A77="","",VLOOKUP(A77,INDIRECT("CXC!A2:C"&amp;COUNTA(CXC!A:A)),3,FALSE))</f>
        <v/>
      </c>
      <c r="D77" s="137" t="str">
        <f t="array" ref="D77">IF(A77="","",VLOOKUP(A77,INDIRECT("CXC!A2:H"&amp;COUNTA(CXC!A:A)),8,FALSE))</f>
        <v/>
      </c>
      <c r="E77" s="137" t="str">
        <f t="array" ref="E77">IFERROR(IF(A77="","",VLOOKUP(A77,INDIRECT("HISTÓRICO COBROS!A3:E"&amp;COUNTA('HISTÓRICO COBROS'!A:A)),5,FALSE)),"")</f>
        <v/>
      </c>
      <c r="F77" s="137" t="str">
        <f t="array" ref="F77">IF(A77="","",VLOOKUP(A77,INDIRECT("CXC!A2:I"&amp;COUNTA(CXC!A:A)),9,FALSE))</f>
        <v/>
      </c>
      <c r="G77" s="137" t="str">
        <f t="array" ref="G77">IFERROR(IF(A77="","",VLOOKUP(A77,INDIRECT("HISTÓRICO COBROS!A3:F"&amp;COUNTA('HISTÓRICO COBROS'!A:A)),6,FALSE)),"")</f>
        <v/>
      </c>
      <c r="H77" s="138" t="str">
        <f t="shared" ref="H77:I77" si="78">IF(D77="","",D77+F77)</f>
        <v/>
      </c>
      <c r="I77" s="135" t="str">
        <f t="shared" si="78"/>
        <v/>
      </c>
      <c r="J77" s="140" t="str">
        <f t="shared" si="3"/>
        <v/>
      </c>
      <c r="K77" s="140" t="str">
        <f t="shared" si="4"/>
        <v/>
      </c>
    </row>
    <row r="78" ht="22.5" customHeight="1">
      <c r="A78" s="140"/>
      <c r="B78" s="135" t="str">
        <f t="array" ref="B78">IF(A78="","",VLOOKUP(A78,INDIRECT("CXC!A2:B"&amp;COUNTA(CXC!A:A)),2,FALSE))</f>
        <v/>
      </c>
      <c r="C78" s="136" t="str">
        <f t="array" ref="C78">IF(A78="","",VLOOKUP(A78,INDIRECT("CXC!A2:C"&amp;COUNTA(CXC!A:A)),3,FALSE))</f>
        <v/>
      </c>
      <c r="D78" s="137" t="str">
        <f t="array" ref="D78">IF(A78="","",VLOOKUP(A78,INDIRECT("CXC!A2:H"&amp;COUNTA(CXC!A:A)),8,FALSE))</f>
        <v/>
      </c>
      <c r="E78" s="137" t="str">
        <f t="array" ref="E78">IFERROR(IF(A78="","",VLOOKUP(A78,INDIRECT("HISTÓRICO COBROS!A3:E"&amp;COUNTA('HISTÓRICO COBROS'!A:A)),5,FALSE)),"")</f>
        <v/>
      </c>
      <c r="F78" s="137" t="str">
        <f t="array" ref="F78">IF(A78="","",VLOOKUP(A78,INDIRECT("CXC!A2:I"&amp;COUNTA(CXC!A:A)),9,FALSE))</f>
        <v/>
      </c>
      <c r="G78" s="137" t="str">
        <f t="array" ref="G78">IFERROR(IF(A78="","",VLOOKUP(A78,INDIRECT("HISTÓRICO COBROS!A3:F"&amp;COUNTA('HISTÓRICO COBROS'!A:A)),6,FALSE)),"")</f>
        <v/>
      </c>
      <c r="H78" s="138" t="str">
        <f t="shared" ref="H78:I78" si="79">IF(D78="","",D78+F78)</f>
        <v/>
      </c>
      <c r="I78" s="135" t="str">
        <f t="shared" si="79"/>
        <v/>
      </c>
      <c r="J78" s="140" t="str">
        <f t="shared" si="3"/>
        <v/>
      </c>
      <c r="K78" s="140" t="str">
        <f t="shared" si="4"/>
        <v/>
      </c>
    </row>
    <row r="79" ht="22.5" customHeight="1">
      <c r="A79" s="140"/>
      <c r="B79" s="135" t="str">
        <f t="array" ref="B79">IF(A79="","",VLOOKUP(A79,INDIRECT("CXC!A2:B"&amp;COUNTA(CXC!A:A)),2,FALSE))</f>
        <v/>
      </c>
      <c r="C79" s="136" t="str">
        <f t="array" ref="C79">IF(A79="","",VLOOKUP(A79,INDIRECT("CXC!A2:C"&amp;COUNTA(CXC!A:A)),3,FALSE))</f>
        <v/>
      </c>
      <c r="D79" s="137" t="str">
        <f t="array" ref="D79">IF(A79="","",VLOOKUP(A79,INDIRECT("CXC!A2:H"&amp;COUNTA(CXC!A:A)),8,FALSE))</f>
        <v/>
      </c>
      <c r="E79" s="137" t="str">
        <f t="array" ref="E79">IFERROR(IF(A79="","",VLOOKUP(A79,INDIRECT("HISTÓRICO COBROS!A3:E"&amp;COUNTA('HISTÓRICO COBROS'!A:A)),5,FALSE)),"")</f>
        <v/>
      </c>
      <c r="F79" s="137" t="str">
        <f t="array" ref="F79">IF(A79="","",VLOOKUP(A79,INDIRECT("CXC!A2:I"&amp;COUNTA(CXC!A:A)),9,FALSE))</f>
        <v/>
      </c>
      <c r="G79" s="137" t="str">
        <f t="array" ref="G79">IFERROR(IF(A79="","",VLOOKUP(A79,INDIRECT("HISTÓRICO COBROS!A3:F"&amp;COUNTA('HISTÓRICO COBROS'!A:A)),6,FALSE)),"")</f>
        <v/>
      </c>
      <c r="H79" s="138" t="str">
        <f t="shared" ref="H79:I79" si="80">IF(D79="","",D79+F79)</f>
        <v/>
      </c>
      <c r="I79" s="135" t="str">
        <f t="shared" si="80"/>
        <v/>
      </c>
      <c r="J79" s="140" t="str">
        <f t="shared" si="3"/>
        <v/>
      </c>
      <c r="K79" s="140" t="str">
        <f t="shared" si="4"/>
        <v/>
      </c>
    </row>
    <row r="80" ht="22.5" customHeight="1">
      <c r="A80" s="140"/>
      <c r="B80" s="135" t="str">
        <f t="array" ref="B80">IF(A80="","",VLOOKUP(A80,INDIRECT("CXC!A2:B"&amp;COUNTA(CXC!A:A)),2,FALSE))</f>
        <v/>
      </c>
      <c r="C80" s="136" t="str">
        <f t="array" ref="C80">IF(A80="","",VLOOKUP(A80,INDIRECT("CXC!A2:C"&amp;COUNTA(CXC!A:A)),3,FALSE))</f>
        <v/>
      </c>
      <c r="D80" s="137" t="str">
        <f t="array" ref="D80">IF(A80="","",VLOOKUP(A80,INDIRECT("CXC!A2:H"&amp;COUNTA(CXC!A:A)),8,FALSE))</f>
        <v/>
      </c>
      <c r="E80" s="137" t="str">
        <f t="array" ref="E80">IFERROR(IF(A80="","",VLOOKUP(A80,INDIRECT("HISTÓRICO COBROS!A3:E"&amp;COUNTA('HISTÓRICO COBROS'!A:A)),5,FALSE)),"")</f>
        <v/>
      </c>
      <c r="F80" s="137" t="str">
        <f t="array" ref="F80">IF(A80="","",VLOOKUP(A80,INDIRECT("CXC!A2:I"&amp;COUNTA(CXC!A:A)),9,FALSE))</f>
        <v/>
      </c>
      <c r="G80" s="137" t="str">
        <f t="array" ref="G80">IFERROR(IF(A80="","",VLOOKUP(A80,INDIRECT("HISTÓRICO COBROS!A3:F"&amp;COUNTA('HISTÓRICO COBROS'!A:A)),6,FALSE)),"")</f>
        <v/>
      </c>
      <c r="H80" s="138" t="str">
        <f t="shared" ref="H80:I80" si="81">IF(D80="","",D80+F80)</f>
        <v/>
      </c>
      <c r="I80" s="135" t="str">
        <f t="shared" si="81"/>
        <v/>
      </c>
      <c r="J80" s="140" t="str">
        <f t="shared" si="3"/>
        <v/>
      </c>
      <c r="K80" s="140" t="str">
        <f t="shared" si="4"/>
        <v/>
      </c>
    </row>
    <row r="81" ht="22.5" customHeight="1">
      <c r="A81" s="140"/>
      <c r="B81" s="135" t="str">
        <f t="array" ref="B81">IF(A81="","",VLOOKUP(A81,INDIRECT("CXC!A2:B"&amp;COUNTA(CXC!A:A)),2,FALSE))</f>
        <v/>
      </c>
      <c r="C81" s="136" t="str">
        <f t="array" ref="C81">IF(A81="","",VLOOKUP(A81,INDIRECT("CXC!A2:C"&amp;COUNTA(CXC!A:A)),3,FALSE))</f>
        <v/>
      </c>
      <c r="D81" s="137" t="str">
        <f t="array" ref="D81">IF(A81="","",VLOOKUP(A81,INDIRECT("CXC!A2:H"&amp;COUNTA(CXC!A:A)),8,FALSE))</f>
        <v/>
      </c>
      <c r="E81" s="137" t="str">
        <f t="array" ref="E81">IFERROR(IF(A81="","",VLOOKUP(A81,INDIRECT("HISTÓRICO COBROS!A3:E"&amp;COUNTA('HISTÓRICO COBROS'!A:A)),5,FALSE)),"")</f>
        <v/>
      </c>
      <c r="F81" s="137" t="str">
        <f t="array" ref="F81">IF(A81="","",VLOOKUP(A81,INDIRECT("CXC!A2:I"&amp;COUNTA(CXC!A:A)),9,FALSE))</f>
        <v/>
      </c>
      <c r="G81" s="137" t="str">
        <f t="array" ref="G81">IFERROR(IF(A81="","",VLOOKUP(A81,INDIRECT("HISTÓRICO COBROS!A3:F"&amp;COUNTA('HISTÓRICO COBROS'!A:A)),6,FALSE)),"")</f>
        <v/>
      </c>
      <c r="H81" s="138" t="str">
        <f t="shared" ref="H81:I81" si="82">IF(D81="","",D81+F81)</f>
        <v/>
      </c>
      <c r="I81" s="135" t="str">
        <f t="shared" si="82"/>
        <v/>
      </c>
      <c r="J81" s="140" t="str">
        <f t="shared" si="3"/>
        <v/>
      </c>
      <c r="K81" s="140" t="str">
        <f t="shared" si="4"/>
        <v/>
      </c>
    </row>
    <row r="82" ht="22.5" customHeight="1">
      <c r="A82" s="140"/>
      <c r="B82" s="135" t="str">
        <f t="array" ref="B82">IF(A82="","",VLOOKUP(A82,INDIRECT("CXC!A2:B"&amp;COUNTA(CXC!A:A)),2,FALSE))</f>
        <v/>
      </c>
      <c r="C82" s="136" t="str">
        <f t="array" ref="C82">IF(A82="","",VLOOKUP(A82,INDIRECT("CXC!A2:C"&amp;COUNTA(CXC!A:A)),3,FALSE))</f>
        <v/>
      </c>
      <c r="D82" s="137" t="str">
        <f t="array" ref="D82">IF(A82="","",VLOOKUP(A82,INDIRECT("CXC!A2:H"&amp;COUNTA(CXC!A:A)),8,FALSE))</f>
        <v/>
      </c>
      <c r="E82" s="137" t="str">
        <f t="array" ref="E82">IFERROR(IF(A82="","",VLOOKUP(A82,INDIRECT("HISTÓRICO COBROS!A3:E"&amp;COUNTA('HISTÓRICO COBROS'!A:A)),5,FALSE)),"")</f>
        <v/>
      </c>
      <c r="F82" s="137" t="str">
        <f t="array" ref="F82">IF(A82="","",VLOOKUP(A82,INDIRECT("CXC!A2:I"&amp;COUNTA(CXC!A:A)),9,FALSE))</f>
        <v/>
      </c>
      <c r="G82" s="137" t="str">
        <f t="array" ref="G82">IFERROR(IF(A82="","",VLOOKUP(A82,INDIRECT("HISTÓRICO COBROS!A3:F"&amp;COUNTA('HISTÓRICO COBROS'!A:A)),6,FALSE)),"")</f>
        <v/>
      </c>
      <c r="H82" s="138" t="str">
        <f t="shared" ref="H82:I82" si="83">IF(D82="","",D82+F82)</f>
        <v/>
      </c>
      <c r="I82" s="135" t="str">
        <f t="shared" si="83"/>
        <v/>
      </c>
      <c r="J82" s="140" t="str">
        <f t="shared" si="3"/>
        <v/>
      </c>
      <c r="K82" s="140" t="str">
        <f t="shared" si="4"/>
        <v/>
      </c>
    </row>
    <row r="83" ht="22.5" customHeight="1">
      <c r="A83" s="140"/>
      <c r="B83" s="135" t="str">
        <f t="array" ref="B83">IF(A83="","",VLOOKUP(A83,INDIRECT("CXC!A2:B"&amp;COUNTA(CXC!A:A)),2,FALSE))</f>
        <v/>
      </c>
      <c r="C83" s="136" t="str">
        <f t="array" ref="C83">IF(A83="","",VLOOKUP(A83,INDIRECT("CXC!A2:C"&amp;COUNTA(CXC!A:A)),3,FALSE))</f>
        <v/>
      </c>
      <c r="D83" s="137" t="str">
        <f t="array" ref="D83">IF(A83="","",VLOOKUP(A83,INDIRECT("CXC!A2:H"&amp;COUNTA(CXC!A:A)),8,FALSE))</f>
        <v/>
      </c>
      <c r="E83" s="137" t="str">
        <f t="array" ref="E83">IFERROR(IF(A83="","",VLOOKUP(A83,INDIRECT("HISTÓRICO COBROS!A3:E"&amp;COUNTA('HISTÓRICO COBROS'!A:A)),5,FALSE)),"")</f>
        <v/>
      </c>
      <c r="F83" s="137" t="str">
        <f t="array" ref="F83">IF(A83="","",VLOOKUP(A83,INDIRECT("CXC!A2:I"&amp;COUNTA(CXC!A:A)),9,FALSE))</f>
        <v/>
      </c>
      <c r="G83" s="137" t="str">
        <f t="array" ref="G83">IFERROR(IF(A83="","",VLOOKUP(A83,INDIRECT("HISTÓRICO COBROS!A3:F"&amp;COUNTA('HISTÓRICO COBROS'!A:A)),6,FALSE)),"")</f>
        <v/>
      </c>
      <c r="H83" s="138" t="str">
        <f t="shared" ref="H83:I83" si="84">IF(D83="","",D83+F83)</f>
        <v/>
      </c>
      <c r="I83" s="135" t="str">
        <f t="shared" si="84"/>
        <v/>
      </c>
      <c r="J83" s="140" t="str">
        <f t="shared" si="3"/>
        <v/>
      </c>
      <c r="K83" s="140" t="str">
        <f t="shared" si="4"/>
        <v/>
      </c>
    </row>
    <row r="84" ht="22.5" customHeight="1">
      <c r="A84" s="140"/>
      <c r="B84" s="135" t="str">
        <f t="array" ref="B84">IF(A84="","",VLOOKUP(A84,INDIRECT("CXC!A2:B"&amp;COUNTA(CXC!A:A)),2,FALSE))</f>
        <v/>
      </c>
      <c r="C84" s="136" t="str">
        <f t="array" ref="C84">IF(A84="","",VLOOKUP(A84,INDIRECT("CXC!A2:C"&amp;COUNTA(CXC!A:A)),3,FALSE))</f>
        <v/>
      </c>
      <c r="D84" s="137" t="str">
        <f t="array" ref="D84">IF(A84="","",VLOOKUP(A84,INDIRECT("CXC!A2:H"&amp;COUNTA(CXC!A:A)),8,FALSE))</f>
        <v/>
      </c>
      <c r="E84" s="137" t="str">
        <f t="array" ref="E84">IFERROR(IF(A84="","",VLOOKUP(A84,INDIRECT("HISTÓRICO COBROS!A3:E"&amp;COUNTA('HISTÓRICO COBROS'!A:A)),5,FALSE)),"")</f>
        <v/>
      </c>
      <c r="F84" s="137" t="str">
        <f t="array" ref="F84">IF(A84="","",VLOOKUP(A84,INDIRECT("CXC!A2:I"&amp;COUNTA(CXC!A:A)),9,FALSE))</f>
        <v/>
      </c>
      <c r="G84" s="137" t="str">
        <f t="array" ref="G84">IFERROR(IF(A84="","",VLOOKUP(A84,INDIRECT("HISTÓRICO COBROS!A3:F"&amp;COUNTA('HISTÓRICO COBROS'!A:A)),6,FALSE)),"")</f>
        <v/>
      </c>
      <c r="H84" s="138" t="str">
        <f t="shared" ref="H84:I84" si="85">IF(D84="","",D84+F84)</f>
        <v/>
      </c>
      <c r="I84" s="135" t="str">
        <f t="shared" si="85"/>
        <v/>
      </c>
      <c r="J84" s="140" t="str">
        <f t="shared" si="3"/>
        <v/>
      </c>
      <c r="K84" s="140" t="str">
        <f t="shared" si="4"/>
        <v/>
      </c>
    </row>
    <row r="85" ht="22.5" customHeight="1">
      <c r="A85" s="140"/>
      <c r="B85" s="135" t="str">
        <f t="array" ref="B85">IF(A85="","",VLOOKUP(A85,INDIRECT("CXC!A2:B"&amp;COUNTA(CXC!A:A)),2,FALSE))</f>
        <v/>
      </c>
      <c r="C85" s="136" t="str">
        <f t="array" ref="C85">IF(A85="","",VLOOKUP(A85,INDIRECT("CXC!A2:C"&amp;COUNTA(CXC!A:A)),3,FALSE))</f>
        <v/>
      </c>
      <c r="D85" s="137" t="str">
        <f t="array" ref="D85">IF(A85="","",VLOOKUP(A85,INDIRECT("CXC!A2:H"&amp;COUNTA(CXC!A:A)),8,FALSE))</f>
        <v/>
      </c>
      <c r="E85" s="137" t="str">
        <f t="array" ref="E85">IFERROR(IF(A85="","",VLOOKUP(A85,INDIRECT("HISTÓRICO COBROS!A3:E"&amp;COUNTA('HISTÓRICO COBROS'!A:A)),5,FALSE)),"")</f>
        <v/>
      </c>
      <c r="F85" s="137" t="str">
        <f t="array" ref="F85">IF(A85="","",VLOOKUP(A85,INDIRECT("CXC!A2:I"&amp;COUNTA(CXC!A:A)),9,FALSE))</f>
        <v/>
      </c>
      <c r="G85" s="137" t="str">
        <f t="array" ref="G85">IFERROR(IF(A85="","",VLOOKUP(A85,INDIRECT("HISTÓRICO COBROS!A3:F"&amp;COUNTA('HISTÓRICO COBROS'!A:A)),6,FALSE)),"")</f>
        <v/>
      </c>
      <c r="H85" s="138" t="str">
        <f t="shared" ref="H85:I85" si="86">IF(D85="","",D85+F85)</f>
        <v/>
      </c>
      <c r="I85" s="135" t="str">
        <f t="shared" si="86"/>
        <v/>
      </c>
      <c r="J85" s="140" t="str">
        <f t="shared" si="3"/>
        <v/>
      </c>
      <c r="K85" s="140" t="str">
        <f t="shared" si="4"/>
        <v/>
      </c>
    </row>
    <row r="86" ht="22.5" customHeight="1">
      <c r="A86" s="140"/>
      <c r="B86" s="135" t="str">
        <f t="array" ref="B86">IF(A86="","",VLOOKUP(A86,INDIRECT("CXC!A2:B"&amp;COUNTA(CXC!A:A)),2,FALSE))</f>
        <v/>
      </c>
      <c r="C86" s="136" t="str">
        <f t="array" ref="C86">IF(A86="","",VLOOKUP(A86,INDIRECT("CXC!A2:C"&amp;COUNTA(CXC!A:A)),3,FALSE))</f>
        <v/>
      </c>
      <c r="D86" s="137" t="str">
        <f t="array" ref="D86">IF(A86="","",VLOOKUP(A86,INDIRECT("CXC!A2:H"&amp;COUNTA(CXC!A:A)),8,FALSE))</f>
        <v/>
      </c>
      <c r="E86" s="137" t="str">
        <f t="array" ref="E86">IFERROR(IF(A86="","",VLOOKUP(A86,INDIRECT("HISTÓRICO COBROS!A3:E"&amp;COUNTA('HISTÓRICO COBROS'!A:A)),5,FALSE)),"")</f>
        <v/>
      </c>
      <c r="F86" s="137" t="str">
        <f t="array" ref="F86">IF(A86="","",VLOOKUP(A86,INDIRECT("CXC!A2:I"&amp;COUNTA(CXC!A:A)),9,FALSE))</f>
        <v/>
      </c>
      <c r="G86" s="137" t="str">
        <f t="array" ref="G86">IFERROR(IF(A86="","",VLOOKUP(A86,INDIRECT("HISTÓRICO COBROS!A3:F"&amp;COUNTA('HISTÓRICO COBROS'!A:A)),6,FALSE)),"")</f>
        <v/>
      </c>
      <c r="H86" s="138" t="str">
        <f t="shared" ref="H86:I86" si="87">IF(D86="","",D86+F86)</f>
        <v/>
      </c>
      <c r="I86" s="135" t="str">
        <f t="shared" si="87"/>
        <v/>
      </c>
      <c r="J86" s="140" t="str">
        <f t="shared" si="3"/>
        <v/>
      </c>
      <c r="K86" s="140" t="str">
        <f t="shared" si="4"/>
        <v/>
      </c>
    </row>
    <row r="87" ht="22.5" customHeight="1">
      <c r="A87" s="140"/>
      <c r="B87" s="135" t="str">
        <f t="array" ref="B87">IF(A87="","",VLOOKUP(A87,INDIRECT("CXC!A2:B"&amp;COUNTA(CXC!A:A)),2,FALSE))</f>
        <v/>
      </c>
      <c r="C87" s="136" t="str">
        <f t="array" ref="C87">IF(A87="","",VLOOKUP(A87,INDIRECT("CXC!A2:C"&amp;COUNTA(CXC!A:A)),3,FALSE))</f>
        <v/>
      </c>
      <c r="D87" s="137" t="str">
        <f t="array" ref="D87">IF(A87="","",VLOOKUP(A87,INDIRECT("CXC!A2:H"&amp;COUNTA(CXC!A:A)),8,FALSE))</f>
        <v/>
      </c>
      <c r="E87" s="137" t="str">
        <f t="array" ref="E87">IFERROR(IF(A87="","",VLOOKUP(A87,INDIRECT("HISTÓRICO COBROS!A3:E"&amp;COUNTA('HISTÓRICO COBROS'!A:A)),5,FALSE)),"")</f>
        <v/>
      </c>
      <c r="F87" s="137" t="str">
        <f t="array" ref="F87">IF(A87="","",VLOOKUP(A87,INDIRECT("CXC!A2:I"&amp;COUNTA(CXC!A:A)),9,FALSE))</f>
        <v/>
      </c>
      <c r="G87" s="137" t="str">
        <f t="array" ref="G87">IFERROR(IF(A87="","",VLOOKUP(A87,INDIRECT("HISTÓRICO COBROS!A3:F"&amp;COUNTA('HISTÓRICO COBROS'!A:A)),6,FALSE)),"")</f>
        <v/>
      </c>
      <c r="H87" s="138" t="str">
        <f t="shared" ref="H87:I87" si="88">IF(D87="","",D87+F87)</f>
        <v/>
      </c>
      <c r="I87" s="135" t="str">
        <f t="shared" si="88"/>
        <v/>
      </c>
      <c r="J87" s="140" t="str">
        <f t="shared" si="3"/>
        <v/>
      </c>
      <c r="K87" s="140" t="str">
        <f t="shared" si="4"/>
        <v/>
      </c>
    </row>
    <row r="88" ht="22.5" customHeight="1">
      <c r="A88" s="140"/>
      <c r="B88" s="135" t="str">
        <f t="array" ref="B88">IF(A88="","",VLOOKUP(A88,INDIRECT("CXC!A2:B"&amp;COUNTA(CXC!A:A)),2,FALSE))</f>
        <v/>
      </c>
      <c r="C88" s="136" t="str">
        <f t="array" ref="C88">IF(A88="","",VLOOKUP(A88,INDIRECT("CXC!A2:C"&amp;COUNTA(CXC!A:A)),3,FALSE))</f>
        <v/>
      </c>
      <c r="D88" s="137" t="str">
        <f t="array" ref="D88">IF(A88="","",VLOOKUP(A88,INDIRECT("CXC!A2:H"&amp;COUNTA(CXC!A:A)),8,FALSE))</f>
        <v/>
      </c>
      <c r="E88" s="137" t="str">
        <f t="array" ref="E88">IFERROR(IF(A88="","",VLOOKUP(A88,INDIRECT("HISTÓRICO COBROS!A3:E"&amp;COUNTA('HISTÓRICO COBROS'!A:A)),5,FALSE)),"")</f>
        <v/>
      </c>
      <c r="F88" s="137" t="str">
        <f t="array" ref="F88">IF(A88="","",VLOOKUP(A88,INDIRECT("CXC!A2:I"&amp;COUNTA(CXC!A:A)),9,FALSE))</f>
        <v/>
      </c>
      <c r="G88" s="137" t="str">
        <f t="array" ref="G88">IFERROR(IF(A88="","",VLOOKUP(A88,INDIRECT("HISTÓRICO COBROS!A3:F"&amp;COUNTA('HISTÓRICO COBROS'!A:A)),6,FALSE)),"")</f>
        <v/>
      </c>
      <c r="H88" s="138" t="str">
        <f t="shared" ref="H88:I88" si="89">IF(D88="","",D88+F88)</f>
        <v/>
      </c>
      <c r="I88" s="135" t="str">
        <f t="shared" si="89"/>
        <v/>
      </c>
      <c r="J88" s="140" t="str">
        <f t="shared" si="3"/>
        <v/>
      </c>
      <c r="K88" s="140" t="str">
        <f t="shared" si="4"/>
        <v/>
      </c>
    </row>
    <row r="89" ht="22.5" customHeight="1">
      <c r="A89" s="140"/>
      <c r="B89" s="135" t="str">
        <f t="array" ref="B89">IF(A89="","",VLOOKUP(A89,INDIRECT("CXC!A2:B"&amp;COUNTA(CXC!A:A)),2,FALSE))</f>
        <v/>
      </c>
      <c r="C89" s="136" t="str">
        <f t="array" ref="C89">IF(A89="","",VLOOKUP(A89,INDIRECT("CXC!A2:C"&amp;COUNTA(CXC!A:A)),3,FALSE))</f>
        <v/>
      </c>
      <c r="D89" s="137" t="str">
        <f t="array" ref="D89">IF(A89="","",VLOOKUP(A89,INDIRECT("CXC!A2:H"&amp;COUNTA(CXC!A:A)),8,FALSE))</f>
        <v/>
      </c>
      <c r="E89" s="137" t="str">
        <f t="array" ref="E89">IFERROR(IF(A89="","",VLOOKUP(A89,INDIRECT("HISTÓRICO COBROS!A3:E"&amp;COUNTA('HISTÓRICO COBROS'!A:A)),5,FALSE)),"")</f>
        <v/>
      </c>
      <c r="F89" s="137" t="str">
        <f t="array" ref="F89">IF(A89="","",VLOOKUP(A89,INDIRECT("CXC!A2:I"&amp;COUNTA(CXC!A:A)),9,FALSE))</f>
        <v/>
      </c>
      <c r="G89" s="137" t="str">
        <f t="array" ref="G89">IFERROR(IF(A89="","",VLOOKUP(A89,INDIRECT("HISTÓRICO COBROS!A3:F"&amp;COUNTA('HISTÓRICO COBROS'!A:A)),6,FALSE)),"")</f>
        <v/>
      </c>
      <c r="H89" s="138" t="str">
        <f t="shared" ref="H89:I89" si="90">IF(D89="","",D89+F89)</f>
        <v/>
      </c>
      <c r="I89" s="135" t="str">
        <f t="shared" si="90"/>
        <v/>
      </c>
      <c r="J89" s="140" t="str">
        <f t="shared" si="3"/>
        <v/>
      </c>
      <c r="K89" s="140" t="str">
        <f t="shared" si="4"/>
        <v/>
      </c>
    </row>
    <row r="90" ht="22.5" customHeight="1">
      <c r="A90" s="140"/>
      <c r="B90" s="135" t="str">
        <f t="array" ref="B90">IF(A90="","",VLOOKUP(A90,INDIRECT("CXC!A2:B"&amp;COUNTA(CXC!A:A)),2,FALSE))</f>
        <v/>
      </c>
      <c r="C90" s="136" t="str">
        <f t="array" ref="C90">IF(A90="","",VLOOKUP(A90,INDIRECT("CXC!A2:C"&amp;COUNTA(CXC!A:A)),3,FALSE))</f>
        <v/>
      </c>
      <c r="D90" s="137" t="str">
        <f t="array" ref="D90">IF(A90="","",VLOOKUP(A90,INDIRECT("CXC!A2:H"&amp;COUNTA(CXC!A:A)),8,FALSE))</f>
        <v/>
      </c>
      <c r="E90" s="137" t="str">
        <f t="array" ref="E90">IFERROR(IF(A90="","",VLOOKUP(A90,INDIRECT("HISTÓRICO COBROS!A3:E"&amp;COUNTA('HISTÓRICO COBROS'!A:A)),5,FALSE)),"")</f>
        <v/>
      </c>
      <c r="F90" s="137" t="str">
        <f t="array" ref="F90">IF(A90="","",VLOOKUP(A90,INDIRECT("CXC!A2:I"&amp;COUNTA(CXC!A:A)),9,FALSE))</f>
        <v/>
      </c>
      <c r="G90" s="137" t="str">
        <f t="array" ref="G90">IFERROR(IF(A90="","",VLOOKUP(A90,INDIRECT("HISTÓRICO COBROS!A3:F"&amp;COUNTA('HISTÓRICO COBROS'!A:A)),6,FALSE)),"")</f>
        <v/>
      </c>
      <c r="H90" s="138" t="str">
        <f t="shared" ref="H90:I90" si="91">IF(D90="","",D90+F90)</f>
        <v/>
      </c>
      <c r="I90" s="135" t="str">
        <f t="shared" si="91"/>
        <v/>
      </c>
      <c r="J90" s="140" t="str">
        <f t="shared" si="3"/>
        <v/>
      </c>
      <c r="K90" s="140" t="str">
        <f t="shared" si="4"/>
        <v/>
      </c>
    </row>
    <row r="91" ht="22.5" customHeight="1">
      <c r="A91" s="140"/>
      <c r="B91" s="135" t="str">
        <f t="array" ref="B91">IF(A91="","",VLOOKUP(A91,INDIRECT("CXC!A2:B"&amp;COUNTA(CXC!A:A)),2,FALSE))</f>
        <v/>
      </c>
      <c r="C91" s="136" t="str">
        <f t="array" ref="C91">IF(A91="","",VLOOKUP(A91,INDIRECT("CXC!A2:C"&amp;COUNTA(CXC!A:A)),3,FALSE))</f>
        <v/>
      </c>
      <c r="D91" s="137" t="str">
        <f t="array" ref="D91">IF(A91="","",VLOOKUP(A91,INDIRECT("CXC!A2:H"&amp;COUNTA(CXC!A:A)),8,FALSE))</f>
        <v/>
      </c>
      <c r="E91" s="137" t="str">
        <f t="array" ref="E91">IFERROR(IF(A91="","",VLOOKUP(A91,INDIRECT("HISTÓRICO COBROS!A3:E"&amp;COUNTA('HISTÓRICO COBROS'!A:A)),5,FALSE)),"")</f>
        <v/>
      </c>
      <c r="F91" s="137" t="str">
        <f t="array" ref="F91">IF(A91="","",VLOOKUP(A91,INDIRECT("CXC!A2:I"&amp;COUNTA(CXC!A:A)),9,FALSE))</f>
        <v/>
      </c>
      <c r="G91" s="137" t="str">
        <f t="array" ref="G91">IFERROR(IF(A91="","",VLOOKUP(A91,INDIRECT("HISTÓRICO COBROS!A3:F"&amp;COUNTA('HISTÓRICO COBROS'!A:A)),6,FALSE)),"")</f>
        <v/>
      </c>
      <c r="H91" s="138" t="str">
        <f t="shared" ref="H91:I91" si="92">IF(D91="","",D91+F91)</f>
        <v/>
      </c>
      <c r="I91" s="135" t="str">
        <f t="shared" si="92"/>
        <v/>
      </c>
      <c r="J91" s="140" t="str">
        <f t="shared" si="3"/>
        <v/>
      </c>
      <c r="K91" s="140" t="str">
        <f t="shared" si="4"/>
        <v/>
      </c>
    </row>
    <row r="92" ht="22.5" customHeight="1">
      <c r="A92" s="140"/>
      <c r="B92" s="135" t="str">
        <f t="array" ref="B92">IF(A92="","",VLOOKUP(A92,INDIRECT("CXC!A2:B"&amp;COUNTA(CXC!A:A)),2,FALSE))</f>
        <v/>
      </c>
      <c r="C92" s="136" t="str">
        <f t="array" ref="C92">IF(A92="","",VLOOKUP(A92,INDIRECT("CXC!A2:C"&amp;COUNTA(CXC!A:A)),3,FALSE))</f>
        <v/>
      </c>
      <c r="D92" s="137" t="str">
        <f t="array" ref="D92">IF(A92="","",VLOOKUP(A92,INDIRECT("CXC!A2:H"&amp;COUNTA(CXC!A:A)),8,FALSE))</f>
        <v/>
      </c>
      <c r="E92" s="137" t="str">
        <f t="array" ref="E92">IFERROR(IF(A92="","",VLOOKUP(A92,INDIRECT("HISTÓRICO COBROS!A3:E"&amp;COUNTA('HISTÓRICO COBROS'!A:A)),5,FALSE)),"")</f>
        <v/>
      </c>
      <c r="F92" s="137" t="str">
        <f t="array" ref="F92">IF(A92="","",VLOOKUP(A92,INDIRECT("CXC!A2:I"&amp;COUNTA(CXC!A:A)),9,FALSE))</f>
        <v/>
      </c>
      <c r="G92" s="137" t="str">
        <f t="array" ref="G92">IFERROR(IF(A92="","",VLOOKUP(A92,INDIRECT("HISTÓRICO COBROS!A3:F"&amp;COUNTA('HISTÓRICO COBROS'!A:A)),6,FALSE)),"")</f>
        <v/>
      </c>
      <c r="H92" s="138" t="str">
        <f t="shared" ref="H92:I92" si="93">IF(D92="","",D92+F92)</f>
        <v/>
      </c>
      <c r="I92" s="135" t="str">
        <f t="shared" si="93"/>
        <v/>
      </c>
      <c r="J92" s="140" t="str">
        <f t="shared" si="3"/>
        <v/>
      </c>
      <c r="K92" s="140" t="str">
        <f t="shared" si="4"/>
        <v/>
      </c>
    </row>
    <row r="93" ht="22.5" customHeight="1">
      <c r="A93" s="140"/>
      <c r="B93" s="135" t="str">
        <f t="array" ref="B93">IF(A93="","",VLOOKUP(A93,INDIRECT("CXC!A2:B"&amp;COUNTA(CXC!A:A)),2,FALSE))</f>
        <v/>
      </c>
      <c r="C93" s="136" t="str">
        <f t="array" ref="C93">IF(A93="","",VLOOKUP(A93,INDIRECT("CXC!A2:C"&amp;COUNTA(CXC!A:A)),3,FALSE))</f>
        <v/>
      </c>
      <c r="D93" s="137" t="str">
        <f t="array" ref="D93">IF(A93="","",VLOOKUP(A93,INDIRECT("CXC!A2:H"&amp;COUNTA(CXC!A:A)),8,FALSE))</f>
        <v/>
      </c>
      <c r="E93" s="137" t="str">
        <f t="array" ref="E93">IFERROR(IF(A93="","",VLOOKUP(A93,INDIRECT("HISTÓRICO COBROS!A3:E"&amp;COUNTA('HISTÓRICO COBROS'!A:A)),5,FALSE)),"")</f>
        <v/>
      </c>
      <c r="F93" s="137" t="str">
        <f t="array" ref="F93">IF(A93="","",VLOOKUP(A93,INDIRECT("CXC!A2:I"&amp;COUNTA(CXC!A:A)),9,FALSE))</f>
        <v/>
      </c>
      <c r="G93" s="137" t="str">
        <f t="array" ref="G93">IFERROR(IF(A93="","",VLOOKUP(A93,INDIRECT("HISTÓRICO COBROS!A3:F"&amp;COUNTA('HISTÓRICO COBROS'!A:A)),6,FALSE)),"")</f>
        <v/>
      </c>
      <c r="H93" s="138" t="str">
        <f t="shared" ref="H93:I93" si="94">IF(D93="","",D93+F93)</f>
        <v/>
      </c>
      <c r="I93" s="135" t="str">
        <f t="shared" si="94"/>
        <v/>
      </c>
      <c r="J93" s="140" t="str">
        <f t="shared" si="3"/>
        <v/>
      </c>
      <c r="K93" s="140" t="str">
        <f t="shared" si="4"/>
        <v/>
      </c>
    </row>
    <row r="94" ht="22.5" customHeight="1">
      <c r="A94" s="140"/>
      <c r="B94" s="135" t="str">
        <f t="array" ref="B94">IF(A94="","",VLOOKUP(A94,INDIRECT("CXC!A2:B"&amp;COUNTA(CXC!A:A)),2,FALSE))</f>
        <v/>
      </c>
      <c r="C94" s="136" t="str">
        <f t="array" ref="C94">IF(A94="","",VLOOKUP(A94,INDIRECT("CXC!A2:C"&amp;COUNTA(CXC!A:A)),3,FALSE))</f>
        <v/>
      </c>
      <c r="D94" s="137" t="str">
        <f t="array" ref="D94">IF(A94="","",VLOOKUP(A94,INDIRECT("CXC!A2:H"&amp;COUNTA(CXC!A:A)),8,FALSE))</f>
        <v/>
      </c>
      <c r="E94" s="137" t="str">
        <f t="array" ref="E94">IFERROR(IF(A94="","",VLOOKUP(A94,INDIRECT("HISTÓRICO COBROS!A3:E"&amp;COUNTA('HISTÓRICO COBROS'!A:A)),5,FALSE)),"")</f>
        <v/>
      </c>
      <c r="F94" s="137" t="str">
        <f t="array" ref="F94">IF(A94="","",VLOOKUP(A94,INDIRECT("CXC!A2:I"&amp;COUNTA(CXC!A:A)),9,FALSE))</f>
        <v/>
      </c>
      <c r="G94" s="137" t="str">
        <f t="array" ref="G94">IFERROR(IF(A94="","",VLOOKUP(A94,INDIRECT("HISTÓRICO COBROS!A3:F"&amp;COUNTA('HISTÓRICO COBROS'!A:A)),6,FALSE)),"")</f>
        <v/>
      </c>
      <c r="H94" s="138" t="str">
        <f t="shared" ref="H94:I94" si="95">IF(D94="","",D94+F94)</f>
        <v/>
      </c>
      <c r="I94" s="135" t="str">
        <f t="shared" si="95"/>
        <v/>
      </c>
      <c r="J94" s="140" t="str">
        <f t="shared" si="3"/>
        <v/>
      </c>
      <c r="K94" s="140" t="str">
        <f t="shared" si="4"/>
        <v/>
      </c>
    </row>
    <row r="95" ht="22.5" customHeight="1">
      <c r="A95" s="140"/>
      <c r="B95" s="135" t="str">
        <f t="array" ref="B95">IF(A95="","",VLOOKUP(A95,INDIRECT("CXC!A2:B"&amp;COUNTA(CXC!A:A)),2,FALSE))</f>
        <v/>
      </c>
      <c r="C95" s="136" t="str">
        <f t="array" ref="C95">IF(A95="","",VLOOKUP(A95,INDIRECT("CXC!A2:C"&amp;COUNTA(CXC!A:A)),3,FALSE))</f>
        <v/>
      </c>
      <c r="D95" s="137" t="str">
        <f t="array" ref="D95">IF(A95="","",VLOOKUP(A95,INDIRECT("CXC!A2:H"&amp;COUNTA(CXC!A:A)),8,FALSE))</f>
        <v/>
      </c>
      <c r="E95" s="137" t="str">
        <f t="array" ref="E95">IFERROR(IF(A95="","",VLOOKUP(A95,INDIRECT("HISTÓRICO COBROS!A3:E"&amp;COUNTA('HISTÓRICO COBROS'!A:A)),5,FALSE)),"")</f>
        <v/>
      </c>
      <c r="F95" s="137" t="str">
        <f t="array" ref="F95">IF(A95="","",VLOOKUP(A95,INDIRECT("CXC!A2:I"&amp;COUNTA(CXC!A:A)),9,FALSE))</f>
        <v/>
      </c>
      <c r="G95" s="137" t="str">
        <f t="array" ref="G95">IFERROR(IF(A95="","",VLOOKUP(A95,INDIRECT("HISTÓRICO COBROS!A3:F"&amp;COUNTA('HISTÓRICO COBROS'!A:A)),6,FALSE)),"")</f>
        <v/>
      </c>
      <c r="H95" s="138" t="str">
        <f t="shared" ref="H95:I95" si="96">IF(D95="","",D95+F95)</f>
        <v/>
      </c>
      <c r="I95" s="135" t="str">
        <f t="shared" si="96"/>
        <v/>
      </c>
      <c r="J95" s="140" t="str">
        <f t="shared" si="3"/>
        <v/>
      </c>
      <c r="K95" s="140" t="str">
        <f t="shared" si="4"/>
        <v/>
      </c>
    </row>
    <row r="96" ht="22.5" customHeight="1">
      <c r="A96" s="140"/>
      <c r="B96" s="135" t="str">
        <f t="array" ref="B96">IF(A96="","",VLOOKUP(A96,INDIRECT("CXC!A2:B"&amp;COUNTA(CXC!A:A)),2,FALSE))</f>
        <v/>
      </c>
      <c r="C96" s="136" t="str">
        <f t="array" ref="C96">IF(A96="","",VLOOKUP(A96,INDIRECT("CXC!A2:C"&amp;COUNTA(CXC!A:A)),3,FALSE))</f>
        <v/>
      </c>
      <c r="D96" s="137" t="str">
        <f t="array" ref="D96">IF(A96="","",VLOOKUP(A96,INDIRECT("CXC!A2:H"&amp;COUNTA(CXC!A:A)),8,FALSE))</f>
        <v/>
      </c>
      <c r="E96" s="137" t="str">
        <f t="array" ref="E96">IFERROR(IF(A96="","",VLOOKUP(A96,INDIRECT("HISTÓRICO COBROS!A3:E"&amp;COUNTA('HISTÓRICO COBROS'!A:A)),5,FALSE)),"")</f>
        <v/>
      </c>
      <c r="F96" s="137" t="str">
        <f t="array" ref="F96">IF(A96="","",VLOOKUP(A96,INDIRECT("CXC!A2:I"&amp;COUNTA(CXC!A:A)),9,FALSE))</f>
        <v/>
      </c>
      <c r="G96" s="137" t="str">
        <f t="array" ref="G96">IFERROR(IF(A96="","",VLOOKUP(A96,INDIRECT("HISTÓRICO COBROS!A3:F"&amp;COUNTA('HISTÓRICO COBROS'!A:A)),6,FALSE)),"")</f>
        <v/>
      </c>
      <c r="H96" s="138" t="str">
        <f t="shared" ref="H96:I96" si="97">IF(D96="","",D96+F96)</f>
        <v/>
      </c>
      <c r="I96" s="135" t="str">
        <f t="shared" si="97"/>
        <v/>
      </c>
      <c r="J96" s="140" t="str">
        <f t="shared" si="3"/>
        <v/>
      </c>
      <c r="K96" s="140" t="str">
        <f t="shared" si="4"/>
        <v/>
      </c>
    </row>
    <row r="97" ht="22.5" customHeight="1">
      <c r="A97" s="140"/>
      <c r="B97" s="135" t="str">
        <f t="array" ref="B97">IF(A97="","",VLOOKUP(A97,INDIRECT("CXC!A2:B"&amp;COUNTA(CXC!A:A)),2,FALSE))</f>
        <v/>
      </c>
      <c r="C97" s="136" t="str">
        <f t="array" ref="C97">IF(A97="","",VLOOKUP(A97,INDIRECT("CXC!A2:C"&amp;COUNTA(CXC!A:A)),3,FALSE))</f>
        <v/>
      </c>
      <c r="D97" s="137" t="str">
        <f t="array" ref="D97">IF(A97="","",VLOOKUP(A97,INDIRECT("CXC!A2:H"&amp;COUNTA(CXC!A:A)),8,FALSE))</f>
        <v/>
      </c>
      <c r="E97" s="137" t="str">
        <f t="array" ref="E97">IFERROR(IF(A97="","",VLOOKUP(A97,INDIRECT("HISTÓRICO COBROS!A3:E"&amp;COUNTA('HISTÓRICO COBROS'!A:A)),5,FALSE)),"")</f>
        <v/>
      </c>
      <c r="F97" s="137" t="str">
        <f t="array" ref="F97">IF(A97="","",VLOOKUP(A97,INDIRECT("CXC!A2:I"&amp;COUNTA(CXC!A:A)),9,FALSE))</f>
        <v/>
      </c>
      <c r="G97" s="137" t="str">
        <f t="array" ref="G97">IFERROR(IF(A97="","",VLOOKUP(A97,INDIRECT("HISTÓRICO COBROS!A3:F"&amp;COUNTA('HISTÓRICO COBROS'!A:A)),6,FALSE)),"")</f>
        <v/>
      </c>
      <c r="H97" s="138" t="str">
        <f t="shared" ref="H97:I97" si="98">IF(D97="","",D97+F97)</f>
        <v/>
      </c>
      <c r="I97" s="135" t="str">
        <f t="shared" si="98"/>
        <v/>
      </c>
      <c r="J97" s="140" t="str">
        <f t="shared" si="3"/>
        <v/>
      </c>
      <c r="K97" s="140" t="str">
        <f t="shared" si="4"/>
        <v/>
      </c>
    </row>
    <row r="98" ht="22.5" customHeight="1">
      <c r="A98" s="140"/>
      <c r="B98" s="135" t="str">
        <f t="array" ref="B98">IF(A98="","",VLOOKUP(A98,INDIRECT("CXC!A2:B"&amp;COUNTA(CXC!A:A)),2,FALSE))</f>
        <v/>
      </c>
      <c r="C98" s="136" t="str">
        <f t="array" ref="C98">IF(A98="","",VLOOKUP(A98,INDIRECT("CXC!A2:C"&amp;COUNTA(CXC!A:A)),3,FALSE))</f>
        <v/>
      </c>
      <c r="D98" s="137" t="str">
        <f t="array" ref="D98">IF(A98="","",VLOOKUP(A98,INDIRECT("CXC!A2:H"&amp;COUNTA(CXC!A:A)),8,FALSE))</f>
        <v/>
      </c>
      <c r="E98" s="137" t="str">
        <f t="array" ref="E98">IFERROR(IF(A98="","",VLOOKUP(A98,INDIRECT("HISTÓRICO COBROS!A3:E"&amp;COUNTA('HISTÓRICO COBROS'!A:A)),5,FALSE)),"")</f>
        <v/>
      </c>
      <c r="F98" s="137" t="str">
        <f t="array" ref="F98">IF(A98="","",VLOOKUP(A98,INDIRECT("CXC!A2:I"&amp;COUNTA(CXC!A:A)),9,FALSE))</f>
        <v/>
      </c>
      <c r="G98" s="137" t="str">
        <f t="array" ref="G98">IFERROR(IF(A98="","",VLOOKUP(A98,INDIRECT("HISTÓRICO COBROS!A3:F"&amp;COUNTA('HISTÓRICO COBROS'!A:A)),6,FALSE)),"")</f>
        <v/>
      </c>
      <c r="H98" s="138" t="str">
        <f t="shared" ref="H98:I98" si="99">IF(D98="","",D98+F98)</f>
        <v/>
      </c>
      <c r="I98" s="135" t="str">
        <f t="shared" si="99"/>
        <v/>
      </c>
      <c r="J98" s="140" t="str">
        <f t="shared" si="3"/>
        <v/>
      </c>
      <c r="K98" s="140" t="str">
        <f t="shared" si="4"/>
        <v/>
      </c>
    </row>
    <row r="99" ht="22.5" customHeight="1">
      <c r="A99" s="140"/>
      <c r="B99" s="135" t="str">
        <f t="array" ref="B99">IF(A99="","",VLOOKUP(A99,INDIRECT("CXC!A2:B"&amp;COUNTA(CXC!A:A)),2,FALSE))</f>
        <v/>
      </c>
      <c r="C99" s="136" t="str">
        <f t="array" ref="C99">IF(A99="","",VLOOKUP(A99,INDIRECT("CXC!A2:C"&amp;COUNTA(CXC!A:A)),3,FALSE))</f>
        <v/>
      </c>
      <c r="D99" s="137" t="str">
        <f t="array" ref="D99">IF(A99="","",VLOOKUP(A99,INDIRECT("CXC!A2:H"&amp;COUNTA(CXC!A:A)),8,FALSE))</f>
        <v/>
      </c>
      <c r="E99" s="137" t="str">
        <f t="array" ref="E99">IFERROR(IF(A99="","",VLOOKUP(A99,INDIRECT("HISTÓRICO COBROS!A3:E"&amp;COUNTA('HISTÓRICO COBROS'!A:A)),5,FALSE)),"")</f>
        <v/>
      </c>
      <c r="F99" s="137" t="str">
        <f t="array" ref="F99">IF(A99="","",VLOOKUP(A99,INDIRECT("CXC!A2:I"&amp;COUNTA(CXC!A:A)),9,FALSE))</f>
        <v/>
      </c>
      <c r="G99" s="137" t="str">
        <f t="array" ref="G99">IFERROR(IF(A99="","",VLOOKUP(A99,INDIRECT("HISTÓRICO COBROS!A3:F"&amp;COUNTA('HISTÓRICO COBROS'!A:A)),6,FALSE)),"")</f>
        <v/>
      </c>
      <c r="H99" s="138" t="str">
        <f t="shared" ref="H99:I99" si="100">IF(D99="","",D99+F99)</f>
        <v/>
      </c>
      <c r="I99" s="135" t="str">
        <f t="shared" si="100"/>
        <v/>
      </c>
      <c r="J99" s="140" t="str">
        <f t="shared" si="3"/>
        <v/>
      </c>
      <c r="K99" s="140" t="str">
        <f t="shared" si="4"/>
        <v/>
      </c>
    </row>
    <row r="100" ht="22.5" customHeight="1">
      <c r="A100" s="140"/>
      <c r="B100" s="135" t="str">
        <f t="array" ref="B100">IF(A100="","",VLOOKUP(A100,INDIRECT("CXC!A2:B"&amp;COUNTA(CXC!A:A)),2,FALSE))</f>
        <v/>
      </c>
      <c r="C100" s="136" t="str">
        <f t="array" ref="C100">IF(A100="","",VLOOKUP(A100,INDIRECT("CXC!A2:C"&amp;COUNTA(CXC!A:A)),3,FALSE))</f>
        <v/>
      </c>
      <c r="D100" s="137" t="str">
        <f t="array" ref="D100">IF(A100="","",VLOOKUP(A100,INDIRECT("CXC!A2:H"&amp;COUNTA(CXC!A:A)),8,FALSE))</f>
        <v/>
      </c>
      <c r="E100" s="137" t="str">
        <f t="array" ref="E100">IFERROR(IF(A100="","",VLOOKUP(A100,INDIRECT("HISTÓRICO COBROS!A3:E"&amp;COUNTA('HISTÓRICO COBROS'!A:A)),5,FALSE)),"")</f>
        <v/>
      </c>
      <c r="F100" s="137" t="str">
        <f t="array" ref="F100">IF(A100="","",VLOOKUP(A100,INDIRECT("CXC!A2:I"&amp;COUNTA(CXC!A:A)),9,FALSE))</f>
        <v/>
      </c>
      <c r="G100" s="137" t="str">
        <f t="array" ref="G100">IFERROR(IF(A100="","",VLOOKUP(A100,INDIRECT("HISTÓRICO COBROS!A3:F"&amp;COUNTA('HISTÓRICO COBROS'!A:A)),6,FALSE)),"")</f>
        <v/>
      </c>
      <c r="H100" s="138" t="str">
        <f t="shared" ref="H100:I100" si="101">IF(D100="","",D100+F100)</f>
        <v/>
      </c>
      <c r="I100" s="135" t="str">
        <f t="shared" si="101"/>
        <v/>
      </c>
      <c r="J100" s="140" t="str">
        <f t="shared" si="3"/>
        <v/>
      </c>
      <c r="K100" s="140" t="str">
        <f t="shared" si="4"/>
        <v/>
      </c>
    </row>
    <row r="101" ht="22.5" customHeight="1">
      <c r="A101" s="140"/>
      <c r="B101" s="135" t="str">
        <f t="array" ref="B101">IF(A101="","",VLOOKUP(A101,INDIRECT("CXC!A2:B"&amp;COUNTA(CXC!A:A)),2,FALSE))</f>
        <v/>
      </c>
      <c r="C101" s="136" t="str">
        <f t="array" ref="C101">IF(A101="","",VLOOKUP(A101,INDIRECT("CXC!A2:C"&amp;COUNTA(CXC!A:A)),3,FALSE))</f>
        <v/>
      </c>
      <c r="D101" s="137" t="str">
        <f t="array" ref="D101">IF(A101="","",VLOOKUP(A101,INDIRECT("CXC!A2:H"&amp;COUNTA(CXC!A:A)),8,FALSE))</f>
        <v/>
      </c>
      <c r="E101" s="137" t="str">
        <f t="array" ref="E101">IFERROR(IF(A101="","",VLOOKUP(A101,INDIRECT("HISTÓRICO COBROS!A3:E"&amp;COUNTA('HISTÓRICO COBROS'!A:A)),5,FALSE)),"")</f>
        <v/>
      </c>
      <c r="F101" s="137" t="str">
        <f t="array" ref="F101">IF(A101="","",VLOOKUP(A101,INDIRECT("CXC!A2:I"&amp;COUNTA(CXC!A:A)),9,FALSE))</f>
        <v/>
      </c>
      <c r="G101" s="137" t="str">
        <f t="array" ref="G101">IFERROR(IF(A101="","",VLOOKUP(A101,INDIRECT("HISTÓRICO COBROS!A3:F"&amp;COUNTA('HISTÓRICO COBROS'!A:A)),6,FALSE)),"")</f>
        <v/>
      </c>
      <c r="H101" s="138" t="str">
        <f t="shared" ref="H101:I101" si="102">IF(D101="","",D101+F101)</f>
        <v/>
      </c>
      <c r="I101" s="135" t="str">
        <f t="shared" si="102"/>
        <v/>
      </c>
      <c r="J101" s="140" t="str">
        <f t="shared" si="3"/>
        <v/>
      </c>
      <c r="K101" s="140" t="str">
        <f t="shared" si="4"/>
        <v/>
      </c>
    </row>
    <row r="102" ht="22.5" customHeight="1">
      <c r="A102" s="140"/>
      <c r="B102" s="135" t="str">
        <f t="array" ref="B102">IF(A102="","",VLOOKUP(A102,INDIRECT("CXC!A2:B"&amp;COUNTA(CXC!A:A)),2,FALSE))</f>
        <v/>
      </c>
      <c r="C102" s="136" t="str">
        <f t="array" ref="C102">IF(A102="","",VLOOKUP(A102,INDIRECT("CXC!A2:C"&amp;COUNTA(CXC!A:A)),3,FALSE))</f>
        <v/>
      </c>
      <c r="D102" s="137" t="str">
        <f t="array" ref="D102">IF(A102="","",VLOOKUP(A102,INDIRECT("CXC!A2:H"&amp;COUNTA(CXC!A:A)),8,FALSE))</f>
        <v/>
      </c>
      <c r="E102" s="137" t="str">
        <f t="array" ref="E102">IFERROR(IF(A102="","",VLOOKUP(A102,INDIRECT("HISTÓRICO COBROS!A3:E"&amp;COUNTA('HISTÓRICO COBROS'!A:A)),5,FALSE)),"")</f>
        <v/>
      </c>
      <c r="F102" s="137" t="str">
        <f t="array" ref="F102">IF(A102="","",VLOOKUP(A102,INDIRECT("CXC!A2:I"&amp;COUNTA(CXC!A:A)),9,FALSE))</f>
        <v/>
      </c>
      <c r="G102" s="137" t="str">
        <f t="array" ref="G102">IFERROR(IF(A102="","",VLOOKUP(A102,INDIRECT("HISTÓRICO COBROS!A3:F"&amp;COUNTA('HISTÓRICO COBROS'!A:A)),6,FALSE)),"")</f>
        <v/>
      </c>
      <c r="H102" s="138" t="str">
        <f t="shared" ref="H102:I102" si="103">IF(D102="","",D102+F102)</f>
        <v/>
      </c>
      <c r="I102" s="135" t="str">
        <f t="shared" si="103"/>
        <v/>
      </c>
      <c r="J102" s="140" t="str">
        <f t="shared" si="3"/>
        <v/>
      </c>
      <c r="K102" s="140" t="str">
        <f t="shared" si="4"/>
        <v/>
      </c>
    </row>
    <row r="103" ht="22.5" customHeight="1">
      <c r="A103" s="140"/>
      <c r="B103" s="135" t="str">
        <f t="array" ref="B103">IF(A103="","",VLOOKUP(A103,INDIRECT("CXC!A2:B"&amp;COUNTA(CXC!A:A)),2,FALSE))</f>
        <v/>
      </c>
      <c r="C103" s="136" t="str">
        <f t="array" ref="C103">IF(A103="","",VLOOKUP(A103,INDIRECT("CXC!A2:C"&amp;COUNTA(CXC!A:A)),3,FALSE))</f>
        <v/>
      </c>
      <c r="D103" s="137" t="str">
        <f t="array" ref="D103">IF(A103="","",VLOOKUP(A103,INDIRECT("CXC!A2:H"&amp;COUNTA(CXC!A:A)),8,FALSE))</f>
        <v/>
      </c>
      <c r="E103" s="137" t="str">
        <f t="array" ref="E103">IFERROR(IF(A103="","",VLOOKUP(A103,INDIRECT("HISTÓRICO COBROS!A3:E"&amp;COUNTA('HISTÓRICO COBROS'!A:A)),5,FALSE)),"")</f>
        <v/>
      </c>
      <c r="F103" s="137" t="str">
        <f t="array" ref="F103">IF(A103="","",VLOOKUP(A103,INDIRECT("CXC!A2:I"&amp;COUNTA(CXC!A:A)),9,FALSE))</f>
        <v/>
      </c>
      <c r="G103" s="137" t="str">
        <f t="array" ref="G103">IFERROR(IF(A103="","",VLOOKUP(A103,INDIRECT("HISTÓRICO COBROS!A3:F"&amp;COUNTA('HISTÓRICO COBROS'!A:A)),6,FALSE)),"")</f>
        <v/>
      </c>
      <c r="H103" s="138" t="str">
        <f t="shared" ref="H103:I103" si="104">IF(D103="","",D103+F103)</f>
        <v/>
      </c>
      <c r="I103" s="135" t="str">
        <f t="shared" si="104"/>
        <v/>
      </c>
      <c r="J103" s="140" t="str">
        <f t="shared" si="3"/>
        <v/>
      </c>
      <c r="K103" s="140" t="str">
        <f t="shared" si="4"/>
        <v/>
      </c>
    </row>
    <row r="104" ht="22.5" customHeight="1">
      <c r="A104" s="140"/>
      <c r="B104" s="135" t="str">
        <f t="array" ref="B104">IF(A104="","",VLOOKUP(A104,INDIRECT("CXC!A2:B"&amp;COUNTA(CXC!A:A)),2,FALSE))</f>
        <v/>
      </c>
      <c r="C104" s="136" t="str">
        <f t="array" ref="C104">IF(A104="","",VLOOKUP(A104,INDIRECT("CXC!A2:C"&amp;COUNTA(CXC!A:A)),3,FALSE))</f>
        <v/>
      </c>
      <c r="D104" s="137" t="str">
        <f t="array" ref="D104">IF(A104="","",VLOOKUP(A104,INDIRECT("CXC!A2:H"&amp;COUNTA(CXC!A:A)),8,FALSE))</f>
        <v/>
      </c>
      <c r="E104" s="137" t="str">
        <f t="array" ref="E104">IFERROR(IF(A104="","",VLOOKUP(A104,INDIRECT("HISTÓRICO COBROS!A3:E"&amp;COUNTA('HISTÓRICO COBROS'!A:A)),5,FALSE)),"")</f>
        <v/>
      </c>
      <c r="F104" s="137" t="str">
        <f t="array" ref="F104">IF(A104="","",VLOOKUP(A104,INDIRECT("CXC!A2:I"&amp;COUNTA(CXC!A:A)),9,FALSE))</f>
        <v/>
      </c>
      <c r="G104" s="137" t="str">
        <f t="array" ref="G104">IFERROR(IF(A104="","",VLOOKUP(A104,INDIRECT("HISTÓRICO COBROS!A3:F"&amp;COUNTA('HISTÓRICO COBROS'!A:A)),6,FALSE)),"")</f>
        <v/>
      </c>
      <c r="H104" s="138" t="str">
        <f t="shared" ref="H104:I104" si="105">IF(D104="","",D104+F104)</f>
        <v/>
      </c>
      <c r="I104" s="135" t="str">
        <f t="shared" si="105"/>
        <v/>
      </c>
      <c r="J104" s="140" t="str">
        <f t="shared" si="3"/>
        <v/>
      </c>
      <c r="K104" s="140" t="str">
        <f t="shared" si="4"/>
        <v/>
      </c>
    </row>
    <row r="105" ht="22.5" customHeight="1">
      <c r="A105" s="140"/>
      <c r="B105" s="135" t="str">
        <f t="array" ref="B105">IF(A105="","",VLOOKUP(A105,INDIRECT("CXC!A2:B"&amp;COUNTA(CXC!A:A)),2,FALSE))</f>
        <v/>
      </c>
      <c r="C105" s="136" t="str">
        <f t="array" ref="C105">IF(A105="","",VLOOKUP(A105,INDIRECT("CXC!A2:C"&amp;COUNTA(CXC!A:A)),3,FALSE))</f>
        <v/>
      </c>
      <c r="D105" s="137" t="str">
        <f t="array" ref="D105">IF(A105="","",VLOOKUP(A105,INDIRECT("CXC!A2:H"&amp;COUNTA(CXC!A:A)),8,FALSE))</f>
        <v/>
      </c>
      <c r="E105" s="137" t="str">
        <f t="array" ref="E105">IFERROR(IF(A105="","",VLOOKUP(A105,INDIRECT("HISTÓRICO COBROS!A3:E"&amp;COUNTA('HISTÓRICO COBROS'!A:A)),5,FALSE)),"")</f>
        <v/>
      </c>
      <c r="F105" s="137" t="str">
        <f t="array" ref="F105">IF(A105="","",VLOOKUP(A105,INDIRECT("CXC!A2:I"&amp;COUNTA(CXC!A:A)),9,FALSE))</f>
        <v/>
      </c>
      <c r="G105" s="137" t="str">
        <f t="array" ref="G105">IFERROR(IF(A105="","",VLOOKUP(A105,INDIRECT("HISTÓRICO COBROS!A3:F"&amp;COUNTA('HISTÓRICO COBROS'!A:A)),6,FALSE)),"")</f>
        <v/>
      </c>
      <c r="H105" s="138" t="str">
        <f t="shared" ref="H105:I105" si="106">IF(D105="","",D105+F105)</f>
        <v/>
      </c>
      <c r="I105" s="135" t="str">
        <f t="shared" si="106"/>
        <v/>
      </c>
      <c r="J105" s="140" t="str">
        <f t="shared" si="3"/>
        <v/>
      </c>
      <c r="K105" s="140" t="str">
        <f t="shared" si="4"/>
        <v/>
      </c>
    </row>
    <row r="106" ht="22.5" customHeight="1">
      <c r="A106" s="140"/>
      <c r="B106" s="135" t="str">
        <f t="array" ref="B106">IF(A106="","",VLOOKUP(A106,INDIRECT("CXC!A2:B"&amp;COUNTA(CXC!A:A)),2,FALSE))</f>
        <v/>
      </c>
      <c r="C106" s="136" t="str">
        <f t="array" ref="C106">IF(A106="","",VLOOKUP(A106,INDIRECT("CXC!A2:C"&amp;COUNTA(CXC!A:A)),3,FALSE))</f>
        <v/>
      </c>
      <c r="D106" s="137" t="str">
        <f t="array" ref="D106">IF(A106="","",VLOOKUP(A106,INDIRECT("CXC!A2:H"&amp;COUNTA(CXC!A:A)),8,FALSE))</f>
        <v/>
      </c>
      <c r="E106" s="137" t="str">
        <f t="array" ref="E106">IFERROR(IF(A106="","",VLOOKUP(A106,INDIRECT("HISTÓRICO COBROS!A3:E"&amp;COUNTA('HISTÓRICO COBROS'!A:A)),5,FALSE)),"")</f>
        <v/>
      </c>
      <c r="F106" s="137" t="str">
        <f t="array" ref="F106">IF(A106="","",VLOOKUP(A106,INDIRECT("CXC!A2:I"&amp;COUNTA(CXC!A:A)),9,FALSE))</f>
        <v/>
      </c>
      <c r="G106" s="137" t="str">
        <f t="array" ref="G106">IFERROR(IF(A106="","",VLOOKUP(A106,INDIRECT("HISTÓRICO COBROS!A3:F"&amp;COUNTA('HISTÓRICO COBROS'!A:A)),6,FALSE)),"")</f>
        <v/>
      </c>
      <c r="H106" s="138" t="str">
        <f t="shared" ref="H106:I106" si="107">IF(D106="","",D106+F106)</f>
        <v/>
      </c>
      <c r="I106" s="135" t="str">
        <f t="shared" si="107"/>
        <v/>
      </c>
      <c r="J106" s="140" t="str">
        <f t="shared" si="3"/>
        <v/>
      </c>
      <c r="K106" s="140" t="str">
        <f t="shared" si="4"/>
        <v/>
      </c>
    </row>
    <row r="107" ht="22.5" customHeight="1">
      <c r="A107" s="140"/>
      <c r="B107" s="135" t="str">
        <f t="array" ref="B107">IF(A107="","",VLOOKUP(A107,INDIRECT("CXC!A2:B"&amp;COUNTA(CXC!A:A)),2,FALSE))</f>
        <v/>
      </c>
      <c r="C107" s="136" t="str">
        <f t="array" ref="C107">IF(A107="","",VLOOKUP(A107,INDIRECT("CXC!A2:C"&amp;COUNTA(CXC!A:A)),3,FALSE))</f>
        <v/>
      </c>
      <c r="D107" s="137" t="str">
        <f t="array" ref="D107">IF(A107="","",VLOOKUP(A107,INDIRECT("CXC!A2:H"&amp;COUNTA(CXC!A:A)),8,FALSE))</f>
        <v/>
      </c>
      <c r="E107" s="137" t="str">
        <f t="array" ref="E107">IFERROR(IF(A107="","",VLOOKUP(A107,INDIRECT("HISTÓRICO COBROS!A3:E"&amp;COUNTA('HISTÓRICO COBROS'!A:A)),5,FALSE)),"")</f>
        <v/>
      </c>
      <c r="F107" s="137" t="str">
        <f t="array" ref="F107">IF(A107="","",VLOOKUP(A107,INDIRECT("CXC!A2:I"&amp;COUNTA(CXC!A:A)),9,FALSE))</f>
        <v/>
      </c>
      <c r="G107" s="137" t="str">
        <f t="array" ref="G107">IFERROR(IF(A107="","",VLOOKUP(A107,INDIRECT("HISTÓRICO COBROS!A3:F"&amp;COUNTA('HISTÓRICO COBROS'!A:A)),6,FALSE)),"")</f>
        <v/>
      </c>
      <c r="H107" s="138" t="str">
        <f t="shared" ref="H107:I107" si="108">IF(D107="","",D107+F107)</f>
        <v/>
      </c>
      <c r="I107" s="135" t="str">
        <f t="shared" si="108"/>
        <v/>
      </c>
      <c r="J107" s="140" t="str">
        <f t="shared" si="3"/>
        <v/>
      </c>
      <c r="K107" s="140" t="str">
        <f t="shared" si="4"/>
        <v/>
      </c>
    </row>
    <row r="108" ht="22.5" customHeight="1">
      <c r="A108" s="140"/>
      <c r="B108" s="135" t="str">
        <f t="array" ref="B108">IF(A108="","",VLOOKUP(A108,INDIRECT("CXC!A2:B"&amp;COUNTA(CXC!A:A)),2,FALSE))</f>
        <v/>
      </c>
      <c r="C108" s="136" t="str">
        <f t="array" ref="C108">IF(A108="","",VLOOKUP(A108,INDIRECT("CXC!A2:C"&amp;COUNTA(CXC!A:A)),3,FALSE))</f>
        <v/>
      </c>
      <c r="D108" s="137" t="str">
        <f t="array" ref="D108">IF(A108="","",VLOOKUP(A108,INDIRECT("CXC!A2:H"&amp;COUNTA(CXC!A:A)),8,FALSE))</f>
        <v/>
      </c>
      <c r="E108" s="137" t="str">
        <f t="array" ref="E108">IFERROR(IF(A108="","",VLOOKUP(A108,INDIRECT("HISTÓRICO COBROS!A3:E"&amp;COUNTA('HISTÓRICO COBROS'!A:A)),5,FALSE)),"")</f>
        <v/>
      </c>
      <c r="F108" s="137" t="str">
        <f t="array" ref="F108">IF(A108="","",VLOOKUP(A108,INDIRECT("CXC!A2:I"&amp;COUNTA(CXC!A:A)),9,FALSE))</f>
        <v/>
      </c>
      <c r="G108" s="137" t="str">
        <f t="array" ref="G108">IFERROR(IF(A108="","",VLOOKUP(A108,INDIRECT("HISTÓRICO COBROS!A3:F"&amp;COUNTA('HISTÓRICO COBROS'!A:A)),6,FALSE)),"")</f>
        <v/>
      </c>
      <c r="H108" s="138" t="str">
        <f t="shared" ref="H108:I108" si="109">IF(D108="","",D108+F108)</f>
        <v/>
      </c>
      <c r="I108" s="135" t="str">
        <f t="shared" si="109"/>
        <v/>
      </c>
      <c r="J108" s="140" t="str">
        <f t="shared" si="3"/>
        <v/>
      </c>
      <c r="K108" s="140" t="str">
        <f t="shared" si="4"/>
        <v/>
      </c>
    </row>
    <row r="109" ht="22.5" customHeight="1">
      <c r="A109" s="140"/>
      <c r="B109" s="135" t="str">
        <f t="array" ref="B109">IF(A109="","",VLOOKUP(A109,INDIRECT("CXC!A2:B"&amp;COUNTA(CXC!A:A)),2,FALSE))</f>
        <v/>
      </c>
      <c r="C109" s="136" t="str">
        <f t="array" ref="C109">IF(A109="","",VLOOKUP(A109,INDIRECT("CXC!A2:C"&amp;COUNTA(CXC!A:A)),3,FALSE))</f>
        <v/>
      </c>
      <c r="D109" s="137" t="str">
        <f t="array" ref="D109">IF(A109="","",VLOOKUP(A109,INDIRECT("CXC!A2:H"&amp;COUNTA(CXC!A:A)),8,FALSE))</f>
        <v/>
      </c>
      <c r="E109" s="137" t="str">
        <f t="array" ref="E109">IFERROR(IF(A109="","",VLOOKUP(A109,INDIRECT("HISTÓRICO COBROS!A3:E"&amp;COUNTA('HISTÓRICO COBROS'!A:A)),5,FALSE)),"")</f>
        <v/>
      </c>
      <c r="F109" s="137" t="str">
        <f t="array" ref="F109">IF(A109="","",VLOOKUP(A109,INDIRECT("CXC!A2:I"&amp;COUNTA(CXC!A:A)),9,FALSE))</f>
        <v/>
      </c>
      <c r="G109" s="137" t="str">
        <f t="array" ref="G109">IFERROR(IF(A109="","",VLOOKUP(A109,INDIRECT("HISTÓRICO COBROS!A3:F"&amp;COUNTA('HISTÓRICO COBROS'!A:A)),6,FALSE)),"")</f>
        <v/>
      </c>
      <c r="H109" s="138" t="str">
        <f t="shared" ref="H109:I109" si="110">IF(D109="","",D109+F109)</f>
        <v/>
      </c>
      <c r="I109" s="135" t="str">
        <f t="shared" si="110"/>
        <v/>
      </c>
      <c r="J109" s="140" t="str">
        <f t="shared" si="3"/>
        <v/>
      </c>
      <c r="K109" s="140" t="str">
        <f t="shared" si="4"/>
        <v/>
      </c>
    </row>
    <row r="110" ht="22.5" customHeight="1">
      <c r="A110" s="140"/>
      <c r="B110" s="135" t="str">
        <f t="array" ref="B110">IF(A110="","",VLOOKUP(A110,INDIRECT("CXC!A2:B"&amp;COUNTA(CXC!A:A)),2,FALSE))</f>
        <v/>
      </c>
      <c r="C110" s="136" t="str">
        <f t="array" ref="C110">IF(A110="","",VLOOKUP(A110,INDIRECT("CXC!A2:C"&amp;COUNTA(CXC!A:A)),3,FALSE))</f>
        <v/>
      </c>
      <c r="D110" s="137" t="str">
        <f t="array" ref="D110">IF(A110="","",VLOOKUP(A110,INDIRECT("CXC!A2:H"&amp;COUNTA(CXC!A:A)),8,FALSE))</f>
        <v/>
      </c>
      <c r="E110" s="137" t="str">
        <f t="array" ref="E110">IFERROR(IF(A110="","",VLOOKUP(A110,INDIRECT("HISTÓRICO COBROS!A3:E"&amp;COUNTA('HISTÓRICO COBROS'!A:A)),5,FALSE)),"")</f>
        <v/>
      </c>
      <c r="F110" s="137" t="str">
        <f t="array" ref="F110">IF(A110="","",VLOOKUP(A110,INDIRECT("CXC!A2:I"&amp;COUNTA(CXC!A:A)),9,FALSE))</f>
        <v/>
      </c>
      <c r="G110" s="137" t="str">
        <f t="array" ref="G110">IFERROR(IF(A110="","",VLOOKUP(A110,INDIRECT("HISTÓRICO COBROS!A3:F"&amp;COUNTA('HISTÓRICO COBROS'!A:A)),6,FALSE)),"")</f>
        <v/>
      </c>
      <c r="H110" s="138" t="str">
        <f t="shared" ref="H110:I110" si="111">IF(D110="","",D110+F110)</f>
        <v/>
      </c>
      <c r="I110" s="135" t="str">
        <f t="shared" si="111"/>
        <v/>
      </c>
      <c r="J110" s="140" t="str">
        <f t="shared" si="3"/>
        <v/>
      </c>
      <c r="K110" s="140" t="str">
        <f t="shared" si="4"/>
        <v/>
      </c>
    </row>
    <row r="111" ht="22.5" customHeight="1">
      <c r="A111" s="140"/>
      <c r="B111" s="135" t="str">
        <f t="array" ref="B111">IF(A111="","",VLOOKUP(A111,INDIRECT("CXC!A2:B"&amp;COUNTA(CXC!A:A)),2,FALSE))</f>
        <v/>
      </c>
      <c r="C111" s="136" t="str">
        <f t="array" ref="C111">IF(A111="","",VLOOKUP(A111,INDIRECT("CXC!A2:C"&amp;COUNTA(CXC!A:A)),3,FALSE))</f>
        <v/>
      </c>
      <c r="D111" s="137" t="str">
        <f t="array" ref="D111">IF(A111="","",VLOOKUP(A111,INDIRECT("CXC!A2:H"&amp;COUNTA(CXC!A:A)),8,FALSE))</f>
        <v/>
      </c>
      <c r="E111" s="137" t="str">
        <f t="array" ref="E111">IFERROR(IF(A111="","",VLOOKUP(A111,INDIRECT("HISTÓRICO COBROS!A3:E"&amp;COUNTA('HISTÓRICO COBROS'!A:A)),5,FALSE)),"")</f>
        <v/>
      </c>
      <c r="F111" s="137" t="str">
        <f t="array" ref="F111">IF(A111="","",VLOOKUP(A111,INDIRECT("CXC!A2:I"&amp;COUNTA(CXC!A:A)),9,FALSE))</f>
        <v/>
      </c>
      <c r="G111" s="137" t="str">
        <f t="array" ref="G111">IFERROR(IF(A111="","",VLOOKUP(A111,INDIRECT("HISTÓRICO COBROS!A3:F"&amp;COUNTA('HISTÓRICO COBROS'!A:A)),6,FALSE)),"")</f>
        <v/>
      </c>
      <c r="H111" s="138" t="str">
        <f t="shared" ref="H111:I111" si="112">IF(D111="","",D111+F111)</f>
        <v/>
      </c>
      <c r="I111" s="135" t="str">
        <f t="shared" si="112"/>
        <v/>
      </c>
      <c r="J111" s="140" t="str">
        <f t="shared" si="3"/>
        <v/>
      </c>
      <c r="K111" s="140" t="str">
        <f t="shared" si="4"/>
        <v/>
      </c>
    </row>
    <row r="112" ht="22.5" customHeight="1">
      <c r="A112" s="140"/>
      <c r="B112" s="135" t="str">
        <f t="array" ref="B112">IF(A112="","",VLOOKUP(A112,INDIRECT("CXC!A2:B"&amp;COUNTA(CXC!A:A)),2,FALSE))</f>
        <v/>
      </c>
      <c r="C112" s="136" t="str">
        <f t="array" ref="C112">IF(A112="","",VLOOKUP(A112,INDIRECT("CXC!A2:C"&amp;COUNTA(CXC!A:A)),3,FALSE))</f>
        <v/>
      </c>
      <c r="D112" s="137" t="str">
        <f t="array" ref="D112">IF(A112="","",VLOOKUP(A112,INDIRECT("CXC!A2:H"&amp;COUNTA(CXC!A:A)),8,FALSE))</f>
        <v/>
      </c>
      <c r="E112" s="137" t="str">
        <f t="array" ref="E112">IFERROR(IF(A112="","",VLOOKUP(A112,INDIRECT("HISTÓRICO COBROS!A3:E"&amp;COUNTA('HISTÓRICO COBROS'!A:A)),5,FALSE)),"")</f>
        <v/>
      </c>
      <c r="F112" s="137" t="str">
        <f t="array" ref="F112">IF(A112="","",VLOOKUP(A112,INDIRECT("CXC!A2:I"&amp;COUNTA(CXC!A:A)),9,FALSE))</f>
        <v/>
      </c>
      <c r="G112" s="137" t="str">
        <f t="array" ref="G112">IFERROR(IF(A112="","",VLOOKUP(A112,INDIRECT("HISTÓRICO COBROS!A3:F"&amp;COUNTA('HISTÓRICO COBROS'!A:A)),6,FALSE)),"")</f>
        <v/>
      </c>
      <c r="H112" s="138" t="str">
        <f t="shared" ref="H112:I112" si="113">IF(D112="","",D112+F112)</f>
        <v/>
      </c>
      <c r="I112" s="135" t="str">
        <f t="shared" si="113"/>
        <v/>
      </c>
      <c r="J112" s="140" t="str">
        <f t="shared" si="3"/>
        <v/>
      </c>
      <c r="K112" s="140" t="str">
        <f t="shared" si="4"/>
        <v/>
      </c>
    </row>
    <row r="113" ht="22.5" customHeight="1">
      <c r="A113" s="140"/>
      <c r="B113" s="135" t="str">
        <f t="array" ref="B113">IF(A113="","",VLOOKUP(A113,INDIRECT("CXC!A2:B"&amp;COUNTA(CXC!A:A)),2,FALSE))</f>
        <v/>
      </c>
      <c r="C113" s="136" t="str">
        <f t="array" ref="C113">IF(A113="","",VLOOKUP(A113,INDIRECT("CXC!A2:C"&amp;COUNTA(CXC!A:A)),3,FALSE))</f>
        <v/>
      </c>
      <c r="D113" s="137" t="str">
        <f t="array" ref="D113">IF(A113="","",VLOOKUP(A113,INDIRECT("CXC!A2:H"&amp;COUNTA(CXC!A:A)),8,FALSE))</f>
        <v/>
      </c>
      <c r="E113" s="137" t="str">
        <f t="array" ref="E113">IFERROR(IF(A113="","",VLOOKUP(A113,INDIRECT("HISTÓRICO COBROS!A3:E"&amp;COUNTA('HISTÓRICO COBROS'!A:A)),5,FALSE)),"")</f>
        <v/>
      </c>
      <c r="F113" s="137" t="str">
        <f t="array" ref="F113">IF(A113="","",VLOOKUP(A113,INDIRECT("CXC!A2:I"&amp;COUNTA(CXC!A:A)),9,FALSE))</f>
        <v/>
      </c>
      <c r="G113" s="137" t="str">
        <f t="array" ref="G113">IFERROR(IF(A113="","",VLOOKUP(A113,INDIRECT("HISTÓRICO COBROS!A3:F"&amp;COUNTA('HISTÓRICO COBROS'!A:A)),6,FALSE)),"")</f>
        <v/>
      </c>
      <c r="H113" s="138" t="str">
        <f t="shared" ref="H113:I113" si="114">IF(D113="","",D113+F113)</f>
        <v/>
      </c>
      <c r="I113" s="135" t="str">
        <f t="shared" si="114"/>
        <v/>
      </c>
      <c r="J113" s="140" t="str">
        <f t="shared" si="3"/>
        <v/>
      </c>
      <c r="K113" s="140" t="str">
        <f t="shared" si="4"/>
        <v/>
      </c>
    </row>
    <row r="114" ht="22.5" customHeight="1">
      <c r="A114" s="140"/>
      <c r="B114" s="135" t="str">
        <f t="array" ref="B114">IF(A114="","",VLOOKUP(A114,INDIRECT("CXC!A2:B"&amp;COUNTA(CXC!A:A)),2,FALSE))</f>
        <v/>
      </c>
      <c r="C114" s="136" t="str">
        <f t="array" ref="C114">IF(A114="","",VLOOKUP(A114,INDIRECT("CXC!A2:C"&amp;COUNTA(CXC!A:A)),3,FALSE))</f>
        <v/>
      </c>
      <c r="D114" s="137" t="str">
        <f t="array" ref="D114">IF(A114="","",VLOOKUP(A114,INDIRECT("CXC!A2:H"&amp;COUNTA(CXC!A:A)),8,FALSE))</f>
        <v/>
      </c>
      <c r="E114" s="137" t="str">
        <f t="array" ref="E114">IFERROR(IF(A114="","",VLOOKUP(A114,INDIRECT("HISTÓRICO COBROS!A3:E"&amp;COUNTA('HISTÓRICO COBROS'!A:A)),5,FALSE)),"")</f>
        <v/>
      </c>
      <c r="F114" s="137" t="str">
        <f t="array" ref="F114">IF(A114="","",VLOOKUP(A114,INDIRECT("CXC!A2:I"&amp;COUNTA(CXC!A:A)),9,FALSE))</f>
        <v/>
      </c>
      <c r="G114" s="137" t="str">
        <f t="array" ref="G114">IFERROR(IF(A114="","",VLOOKUP(A114,INDIRECT("HISTÓRICO COBROS!A3:F"&amp;COUNTA('HISTÓRICO COBROS'!A:A)),6,FALSE)),"")</f>
        <v/>
      </c>
      <c r="H114" s="138" t="str">
        <f t="shared" ref="H114:I114" si="115">IF(D114="","",D114+F114)</f>
        <v/>
      </c>
      <c r="I114" s="135" t="str">
        <f t="shared" si="115"/>
        <v/>
      </c>
      <c r="J114" s="140" t="str">
        <f t="shared" si="3"/>
        <v/>
      </c>
      <c r="K114" s="140" t="str">
        <f t="shared" si="4"/>
        <v/>
      </c>
    </row>
    <row r="115" ht="22.5" customHeight="1">
      <c r="A115" s="140"/>
      <c r="B115" s="135" t="str">
        <f t="array" ref="B115">IF(A115="","",VLOOKUP(A115,INDIRECT("CXC!A2:B"&amp;COUNTA(CXC!A:A)),2,FALSE))</f>
        <v/>
      </c>
      <c r="C115" s="136" t="str">
        <f t="array" ref="C115">IF(A115="","",VLOOKUP(A115,INDIRECT("CXC!A2:C"&amp;COUNTA(CXC!A:A)),3,FALSE))</f>
        <v/>
      </c>
      <c r="D115" s="137" t="str">
        <f t="array" ref="D115">IF(A115="","",VLOOKUP(A115,INDIRECT("CXC!A2:H"&amp;COUNTA(CXC!A:A)),8,FALSE))</f>
        <v/>
      </c>
      <c r="E115" s="137" t="str">
        <f t="array" ref="E115">IFERROR(IF(A115="","",VLOOKUP(A115,INDIRECT("HISTÓRICO COBROS!A3:E"&amp;COUNTA('HISTÓRICO COBROS'!A:A)),5,FALSE)),"")</f>
        <v/>
      </c>
      <c r="F115" s="137" t="str">
        <f t="array" ref="F115">IF(A115="","",VLOOKUP(A115,INDIRECT("CXC!A2:I"&amp;COUNTA(CXC!A:A)),9,FALSE))</f>
        <v/>
      </c>
      <c r="G115" s="137" t="str">
        <f t="array" ref="G115">IFERROR(IF(A115="","",VLOOKUP(A115,INDIRECT("HISTÓRICO COBROS!A3:F"&amp;COUNTA('HISTÓRICO COBROS'!A:A)),6,FALSE)),"")</f>
        <v/>
      </c>
      <c r="H115" s="138" t="str">
        <f t="shared" ref="H115:I115" si="116">IF(D115="","",D115+F115)</f>
        <v/>
      </c>
      <c r="I115" s="135" t="str">
        <f t="shared" si="116"/>
        <v/>
      </c>
      <c r="J115" s="140" t="str">
        <f t="shared" si="3"/>
        <v/>
      </c>
      <c r="K115" s="140" t="str">
        <f t="shared" si="4"/>
        <v/>
      </c>
    </row>
    <row r="116" ht="22.5" customHeight="1">
      <c r="A116" s="140"/>
      <c r="B116" s="135" t="str">
        <f t="array" ref="B116">IF(A116="","",VLOOKUP(A116,INDIRECT("CXC!A2:B"&amp;COUNTA(CXC!A:A)),2,FALSE))</f>
        <v/>
      </c>
      <c r="C116" s="136" t="str">
        <f t="array" ref="C116">IF(A116="","",VLOOKUP(A116,INDIRECT("CXC!A2:C"&amp;COUNTA(CXC!A:A)),3,FALSE))</f>
        <v/>
      </c>
      <c r="D116" s="137" t="str">
        <f t="array" ref="D116">IF(A116="","",VLOOKUP(A116,INDIRECT("CXC!A2:H"&amp;COUNTA(CXC!A:A)),8,FALSE))</f>
        <v/>
      </c>
      <c r="E116" s="137" t="str">
        <f t="array" ref="E116">IFERROR(IF(A116="","",VLOOKUP(A116,INDIRECT("HISTÓRICO COBROS!A3:E"&amp;COUNTA('HISTÓRICO COBROS'!A:A)),5,FALSE)),"")</f>
        <v/>
      </c>
      <c r="F116" s="137" t="str">
        <f t="array" ref="F116">IF(A116="","",VLOOKUP(A116,INDIRECT("CXC!A2:I"&amp;COUNTA(CXC!A:A)),9,FALSE))</f>
        <v/>
      </c>
      <c r="G116" s="137" t="str">
        <f t="array" ref="G116">IFERROR(IF(A116="","",VLOOKUP(A116,INDIRECT("HISTÓRICO COBROS!A3:F"&amp;COUNTA('HISTÓRICO COBROS'!A:A)),6,FALSE)),"")</f>
        <v/>
      </c>
      <c r="H116" s="138" t="str">
        <f t="shared" ref="H116:I116" si="117">IF(D116="","",D116+F116)</f>
        <v/>
      </c>
      <c r="I116" s="135" t="str">
        <f t="shared" si="117"/>
        <v/>
      </c>
      <c r="J116" s="140" t="str">
        <f t="shared" si="3"/>
        <v/>
      </c>
      <c r="K116" s="140" t="str">
        <f t="shared" si="4"/>
        <v/>
      </c>
    </row>
    <row r="117" ht="22.5" customHeight="1">
      <c r="A117" s="140"/>
      <c r="B117" s="135" t="str">
        <f t="array" ref="B117">IF(A117="","",VLOOKUP(A117,INDIRECT("CXC!A2:B"&amp;COUNTA(CXC!A:A)),2,FALSE))</f>
        <v/>
      </c>
      <c r="C117" s="136" t="str">
        <f t="array" ref="C117">IF(A117="","",VLOOKUP(A117,INDIRECT("CXC!A2:C"&amp;COUNTA(CXC!A:A)),3,FALSE))</f>
        <v/>
      </c>
      <c r="D117" s="137" t="str">
        <f t="array" ref="D117">IF(A117="","",VLOOKUP(A117,INDIRECT("CXC!A2:H"&amp;COUNTA(CXC!A:A)),8,FALSE))</f>
        <v/>
      </c>
      <c r="E117" s="137" t="str">
        <f t="array" ref="E117">IFERROR(IF(A117="","",VLOOKUP(A117,INDIRECT("HISTÓRICO COBROS!A3:E"&amp;COUNTA('HISTÓRICO COBROS'!A:A)),5,FALSE)),"")</f>
        <v/>
      </c>
      <c r="F117" s="137" t="str">
        <f t="array" ref="F117">IF(A117="","",VLOOKUP(A117,INDIRECT("CXC!A2:I"&amp;COUNTA(CXC!A:A)),9,FALSE))</f>
        <v/>
      </c>
      <c r="G117" s="137" t="str">
        <f t="array" ref="G117">IFERROR(IF(A117="","",VLOOKUP(A117,INDIRECT("HISTÓRICO COBROS!A3:F"&amp;COUNTA('HISTÓRICO COBROS'!A:A)),6,FALSE)),"")</f>
        <v/>
      </c>
      <c r="H117" s="138" t="str">
        <f t="shared" ref="H117:I117" si="118">IF(D117="","",D117+F117)</f>
        <v/>
      </c>
      <c r="I117" s="135" t="str">
        <f t="shared" si="118"/>
        <v/>
      </c>
      <c r="J117" s="140" t="str">
        <f t="shared" si="3"/>
        <v/>
      </c>
      <c r="K117" s="140" t="str">
        <f t="shared" si="4"/>
        <v/>
      </c>
    </row>
    <row r="118" ht="22.5" customHeight="1">
      <c r="A118" s="140"/>
      <c r="B118" s="135" t="str">
        <f t="array" ref="B118">IF(A118="","",VLOOKUP(A118,INDIRECT("CXC!A2:B"&amp;COUNTA(CXC!A:A)),2,FALSE))</f>
        <v/>
      </c>
      <c r="C118" s="136" t="str">
        <f t="array" ref="C118">IF(A118="","",VLOOKUP(A118,INDIRECT("CXC!A2:C"&amp;COUNTA(CXC!A:A)),3,FALSE))</f>
        <v/>
      </c>
      <c r="D118" s="137" t="str">
        <f t="array" ref="D118">IF(A118="","",VLOOKUP(A118,INDIRECT("CXC!A2:H"&amp;COUNTA(CXC!A:A)),8,FALSE))</f>
        <v/>
      </c>
      <c r="E118" s="137" t="str">
        <f t="array" ref="E118">IFERROR(IF(A118="","",VLOOKUP(A118,INDIRECT("HISTÓRICO COBROS!A3:E"&amp;COUNTA('HISTÓRICO COBROS'!A:A)),5,FALSE)),"")</f>
        <v/>
      </c>
      <c r="F118" s="137" t="str">
        <f t="array" ref="F118">IF(A118="","",VLOOKUP(A118,INDIRECT("CXC!A2:I"&amp;COUNTA(CXC!A:A)),9,FALSE))</f>
        <v/>
      </c>
      <c r="G118" s="137" t="str">
        <f t="array" ref="G118">IFERROR(IF(A118="","",VLOOKUP(A118,INDIRECT("HISTÓRICO COBROS!A3:F"&amp;COUNTA('HISTÓRICO COBROS'!A:A)),6,FALSE)),"")</f>
        <v/>
      </c>
      <c r="H118" s="138" t="str">
        <f t="shared" ref="H118:I118" si="119">IF(D118="","",D118+F118)</f>
        <v/>
      </c>
      <c r="I118" s="135" t="str">
        <f t="shared" si="119"/>
        <v/>
      </c>
      <c r="J118" s="140" t="str">
        <f t="shared" si="3"/>
        <v/>
      </c>
      <c r="K118" s="140" t="str">
        <f t="shared" si="4"/>
        <v/>
      </c>
    </row>
    <row r="119" ht="22.5" customHeight="1">
      <c r="A119" s="140"/>
      <c r="B119" s="135" t="str">
        <f t="array" ref="B119">IF(A119="","",VLOOKUP(A119,INDIRECT("CXC!A2:B"&amp;COUNTA(CXC!A:A)),2,FALSE))</f>
        <v/>
      </c>
      <c r="C119" s="136" t="str">
        <f t="array" ref="C119">IF(A119="","",VLOOKUP(A119,INDIRECT("CXC!A2:C"&amp;COUNTA(CXC!A:A)),3,FALSE))</f>
        <v/>
      </c>
      <c r="D119" s="137" t="str">
        <f t="array" ref="D119">IF(A119="","",VLOOKUP(A119,INDIRECT("CXC!A2:H"&amp;COUNTA(CXC!A:A)),8,FALSE))</f>
        <v/>
      </c>
      <c r="E119" s="137" t="str">
        <f t="array" ref="E119">IFERROR(IF(A119="","",VLOOKUP(A119,INDIRECT("HISTÓRICO COBROS!A3:E"&amp;COUNTA('HISTÓRICO COBROS'!A:A)),5,FALSE)),"")</f>
        <v/>
      </c>
      <c r="F119" s="137" t="str">
        <f t="array" ref="F119">IF(A119="","",VLOOKUP(A119,INDIRECT("CXC!A2:I"&amp;COUNTA(CXC!A:A)),9,FALSE))</f>
        <v/>
      </c>
      <c r="G119" s="137" t="str">
        <f t="array" ref="G119">IFERROR(IF(A119="","",VLOOKUP(A119,INDIRECT("HISTÓRICO COBROS!A3:F"&amp;COUNTA('HISTÓRICO COBROS'!A:A)),6,FALSE)),"")</f>
        <v/>
      </c>
      <c r="H119" s="138" t="str">
        <f t="shared" ref="H119:I119" si="120">IF(D119="","",D119+F119)</f>
        <v/>
      </c>
      <c r="I119" s="135" t="str">
        <f t="shared" si="120"/>
        <v/>
      </c>
      <c r="J119" s="140" t="str">
        <f t="shared" si="3"/>
        <v/>
      </c>
      <c r="K119" s="140" t="str">
        <f t="shared" si="4"/>
        <v/>
      </c>
    </row>
    <row r="120" ht="22.5" customHeight="1">
      <c r="A120" s="140"/>
      <c r="B120" s="135" t="str">
        <f t="array" ref="B120">IF(A120="","",VLOOKUP(A120,INDIRECT("CXC!A2:B"&amp;COUNTA(CXC!A:A)),2,FALSE))</f>
        <v/>
      </c>
      <c r="C120" s="136" t="str">
        <f t="array" ref="C120">IF(A120="","",VLOOKUP(A120,INDIRECT("CXC!A2:C"&amp;COUNTA(CXC!A:A)),3,FALSE))</f>
        <v/>
      </c>
      <c r="D120" s="137" t="str">
        <f t="array" ref="D120">IF(A120="","",VLOOKUP(A120,INDIRECT("CXC!A2:H"&amp;COUNTA(CXC!A:A)),8,FALSE))</f>
        <v/>
      </c>
      <c r="E120" s="137" t="str">
        <f t="array" ref="E120">IFERROR(IF(A120="","",VLOOKUP(A120,INDIRECT("HISTÓRICO COBROS!A3:E"&amp;COUNTA('HISTÓRICO COBROS'!A:A)),5,FALSE)),"")</f>
        <v/>
      </c>
      <c r="F120" s="137" t="str">
        <f t="array" ref="F120">IF(A120="","",VLOOKUP(A120,INDIRECT("CXC!A2:I"&amp;COUNTA(CXC!A:A)),9,FALSE))</f>
        <v/>
      </c>
      <c r="G120" s="137" t="str">
        <f t="array" ref="G120">IFERROR(IF(A120="","",VLOOKUP(A120,INDIRECT("HISTÓRICO COBROS!A3:F"&amp;COUNTA('HISTÓRICO COBROS'!A:A)),6,FALSE)),"")</f>
        <v/>
      </c>
      <c r="H120" s="138" t="str">
        <f t="shared" ref="H120:I120" si="121">IF(D120="","",D120+F120)</f>
        <v/>
      </c>
      <c r="I120" s="135" t="str">
        <f t="shared" si="121"/>
        <v/>
      </c>
      <c r="J120" s="140" t="str">
        <f t="shared" si="3"/>
        <v/>
      </c>
      <c r="K120" s="140" t="str">
        <f t="shared" si="4"/>
        <v/>
      </c>
    </row>
    <row r="121" ht="22.5" customHeight="1">
      <c r="A121" s="140"/>
      <c r="B121" s="135" t="str">
        <f t="array" ref="B121">IF(A121="","",VLOOKUP(A121,INDIRECT("CXC!A2:B"&amp;COUNTA(CXC!A:A)),2,FALSE))</f>
        <v/>
      </c>
      <c r="C121" s="136" t="str">
        <f t="array" ref="C121">IF(A121="","",VLOOKUP(A121,INDIRECT("CXC!A2:C"&amp;COUNTA(CXC!A:A)),3,FALSE))</f>
        <v/>
      </c>
      <c r="D121" s="137" t="str">
        <f t="array" ref="D121">IF(A121="","",VLOOKUP(A121,INDIRECT("CXC!A2:H"&amp;COUNTA(CXC!A:A)),8,FALSE))</f>
        <v/>
      </c>
      <c r="E121" s="137" t="str">
        <f t="array" ref="E121">IFERROR(IF(A121="","",VLOOKUP(A121,INDIRECT("HISTÓRICO COBROS!A3:E"&amp;COUNTA('HISTÓRICO COBROS'!A:A)),5,FALSE)),"")</f>
        <v/>
      </c>
      <c r="F121" s="137" t="str">
        <f t="array" ref="F121">IF(A121="","",VLOOKUP(A121,INDIRECT("CXC!A2:I"&amp;COUNTA(CXC!A:A)),9,FALSE))</f>
        <v/>
      </c>
      <c r="G121" s="137" t="str">
        <f t="array" ref="G121">IFERROR(IF(A121="","",VLOOKUP(A121,INDIRECT("HISTÓRICO COBROS!A3:F"&amp;COUNTA('HISTÓRICO COBROS'!A:A)),6,FALSE)),"")</f>
        <v/>
      </c>
      <c r="H121" s="138" t="str">
        <f t="shared" ref="H121:I121" si="122">IF(D121="","",D121+F121)</f>
        <v/>
      </c>
      <c r="I121" s="135" t="str">
        <f t="shared" si="122"/>
        <v/>
      </c>
      <c r="J121" s="140" t="str">
        <f t="shared" si="3"/>
        <v/>
      </c>
      <c r="K121" s="140" t="str">
        <f t="shared" si="4"/>
        <v/>
      </c>
    </row>
    <row r="122" ht="22.5" customHeight="1">
      <c r="A122" s="140"/>
      <c r="B122" s="135" t="str">
        <f t="array" ref="B122">IF(A122="","",VLOOKUP(A122,INDIRECT("CXC!A2:B"&amp;COUNTA(CXC!A:A)),2,FALSE))</f>
        <v/>
      </c>
      <c r="C122" s="136" t="str">
        <f t="array" ref="C122">IF(A122="","",VLOOKUP(A122,INDIRECT("CXC!A2:C"&amp;COUNTA(CXC!A:A)),3,FALSE))</f>
        <v/>
      </c>
      <c r="D122" s="137" t="str">
        <f t="array" ref="D122">IF(A122="","",VLOOKUP(A122,INDIRECT("CXC!A2:H"&amp;COUNTA(CXC!A:A)),8,FALSE))</f>
        <v/>
      </c>
      <c r="E122" s="137" t="str">
        <f t="array" ref="E122">IFERROR(IF(A122="","",VLOOKUP(A122,INDIRECT("HISTÓRICO COBROS!A3:E"&amp;COUNTA('HISTÓRICO COBROS'!A:A)),5,FALSE)),"")</f>
        <v/>
      </c>
      <c r="F122" s="137" t="str">
        <f t="array" ref="F122">IF(A122="","",VLOOKUP(A122,INDIRECT("CXC!A2:I"&amp;COUNTA(CXC!A:A)),9,FALSE))</f>
        <v/>
      </c>
      <c r="G122" s="137" t="str">
        <f t="array" ref="G122">IFERROR(IF(A122="","",VLOOKUP(A122,INDIRECT("HISTÓRICO COBROS!A3:F"&amp;COUNTA('HISTÓRICO COBROS'!A:A)),6,FALSE)),"")</f>
        <v/>
      </c>
      <c r="H122" s="138" t="str">
        <f t="shared" ref="H122:I122" si="123">IF(D122="","",D122+F122)</f>
        <v/>
      </c>
      <c r="I122" s="135" t="str">
        <f t="shared" si="123"/>
        <v/>
      </c>
      <c r="J122" s="140" t="str">
        <f t="shared" si="3"/>
        <v/>
      </c>
      <c r="K122" s="140" t="str">
        <f t="shared" si="4"/>
        <v/>
      </c>
    </row>
    <row r="123" ht="22.5" customHeight="1">
      <c r="A123" s="140"/>
      <c r="B123" s="135" t="str">
        <f t="array" ref="B123">IF(A123="","",VLOOKUP(A123,INDIRECT("CXC!A2:B"&amp;COUNTA(CXC!A:A)),2,FALSE))</f>
        <v/>
      </c>
      <c r="C123" s="136" t="str">
        <f t="array" ref="C123">IF(A123="","",VLOOKUP(A123,INDIRECT("CXC!A2:C"&amp;COUNTA(CXC!A:A)),3,FALSE))</f>
        <v/>
      </c>
      <c r="D123" s="137" t="str">
        <f t="array" ref="D123">IF(A123="","",VLOOKUP(A123,INDIRECT("CXC!A2:H"&amp;COUNTA(CXC!A:A)),8,FALSE))</f>
        <v/>
      </c>
      <c r="E123" s="137" t="str">
        <f t="array" ref="E123">IFERROR(IF(A123="","",VLOOKUP(A123,INDIRECT("HISTÓRICO COBROS!A3:E"&amp;COUNTA('HISTÓRICO COBROS'!A:A)),5,FALSE)),"")</f>
        <v/>
      </c>
      <c r="F123" s="137" t="str">
        <f t="array" ref="F123">IF(A123="","",VLOOKUP(A123,INDIRECT("CXC!A2:I"&amp;COUNTA(CXC!A:A)),9,FALSE))</f>
        <v/>
      </c>
      <c r="G123" s="137" t="str">
        <f t="array" ref="G123">IFERROR(IF(A123="","",VLOOKUP(A123,INDIRECT("HISTÓRICO COBROS!A3:F"&amp;COUNTA('HISTÓRICO COBROS'!A:A)),6,FALSE)),"")</f>
        <v/>
      </c>
      <c r="H123" s="138" t="str">
        <f t="shared" ref="H123:I123" si="124">IF(D123="","",D123+F123)</f>
        <v/>
      </c>
      <c r="I123" s="135" t="str">
        <f t="shared" si="124"/>
        <v/>
      </c>
      <c r="J123" s="140" t="str">
        <f t="shared" si="3"/>
        <v/>
      </c>
      <c r="K123" s="140" t="str">
        <f t="shared" si="4"/>
        <v/>
      </c>
    </row>
    <row r="124" ht="22.5" customHeight="1">
      <c r="A124" s="140"/>
      <c r="B124" s="135" t="str">
        <f t="array" ref="B124">IF(A124="","",VLOOKUP(A124,INDIRECT("CXC!A2:B"&amp;COUNTA(CXC!A:A)),2,FALSE))</f>
        <v/>
      </c>
      <c r="C124" s="136" t="str">
        <f t="array" ref="C124">IF(A124="","",VLOOKUP(A124,INDIRECT("CXC!A2:C"&amp;COUNTA(CXC!A:A)),3,FALSE))</f>
        <v/>
      </c>
      <c r="D124" s="137" t="str">
        <f t="array" ref="D124">IF(A124="","",VLOOKUP(A124,INDIRECT("CXC!A2:H"&amp;COUNTA(CXC!A:A)),8,FALSE))</f>
        <v/>
      </c>
      <c r="E124" s="137" t="str">
        <f t="array" ref="E124">IFERROR(IF(A124="","",VLOOKUP(A124,INDIRECT("HISTÓRICO COBROS!A3:E"&amp;COUNTA('HISTÓRICO COBROS'!A:A)),5,FALSE)),"")</f>
        <v/>
      </c>
      <c r="F124" s="137" t="str">
        <f t="array" ref="F124">IF(A124="","",VLOOKUP(A124,INDIRECT("CXC!A2:I"&amp;COUNTA(CXC!A:A)),9,FALSE))</f>
        <v/>
      </c>
      <c r="G124" s="137" t="str">
        <f t="array" ref="G124">IFERROR(IF(A124="","",VLOOKUP(A124,INDIRECT("HISTÓRICO COBROS!A3:F"&amp;COUNTA('HISTÓRICO COBROS'!A:A)),6,FALSE)),"")</f>
        <v/>
      </c>
      <c r="H124" s="138" t="str">
        <f t="shared" ref="H124:I124" si="125">IF(D124="","",D124+F124)</f>
        <v/>
      </c>
      <c r="I124" s="135" t="str">
        <f t="shared" si="125"/>
        <v/>
      </c>
      <c r="J124" s="140" t="str">
        <f t="shared" si="3"/>
        <v/>
      </c>
      <c r="K124" s="140" t="str">
        <f t="shared" si="4"/>
        <v/>
      </c>
    </row>
    <row r="125" ht="22.5" customHeight="1">
      <c r="A125" s="140"/>
      <c r="B125" s="135" t="str">
        <f t="array" ref="B125">IF(A125="","",VLOOKUP(A125,INDIRECT("CXC!A2:B"&amp;COUNTA(CXC!A:A)),2,FALSE))</f>
        <v/>
      </c>
      <c r="C125" s="136" t="str">
        <f t="array" ref="C125">IF(A125="","",VLOOKUP(A125,INDIRECT("CXC!A2:C"&amp;COUNTA(CXC!A:A)),3,FALSE))</f>
        <v/>
      </c>
      <c r="D125" s="137" t="str">
        <f t="array" ref="D125">IF(A125="","",VLOOKUP(A125,INDIRECT("CXC!A2:H"&amp;COUNTA(CXC!A:A)),8,FALSE))</f>
        <v/>
      </c>
      <c r="E125" s="137" t="str">
        <f t="array" ref="E125">IFERROR(IF(A125="","",VLOOKUP(A125,INDIRECT("HISTÓRICO COBROS!A3:E"&amp;COUNTA('HISTÓRICO COBROS'!A:A)),5,FALSE)),"")</f>
        <v/>
      </c>
      <c r="F125" s="137" t="str">
        <f t="array" ref="F125">IF(A125="","",VLOOKUP(A125,INDIRECT("CXC!A2:I"&amp;COUNTA(CXC!A:A)),9,FALSE))</f>
        <v/>
      </c>
      <c r="G125" s="137" t="str">
        <f t="array" ref="G125">IFERROR(IF(A125="","",VLOOKUP(A125,INDIRECT("HISTÓRICO COBROS!A3:F"&amp;COUNTA('HISTÓRICO COBROS'!A:A)),6,FALSE)),"")</f>
        <v/>
      </c>
      <c r="H125" s="138" t="str">
        <f t="shared" ref="H125:I125" si="126">IF(D125="","",D125+F125)</f>
        <v/>
      </c>
      <c r="I125" s="135" t="str">
        <f t="shared" si="126"/>
        <v/>
      </c>
      <c r="J125" s="140" t="str">
        <f t="shared" si="3"/>
        <v/>
      </c>
      <c r="K125" s="140" t="str">
        <f t="shared" si="4"/>
        <v/>
      </c>
    </row>
    <row r="126" ht="22.5" customHeight="1">
      <c r="A126" s="140"/>
      <c r="B126" s="135" t="str">
        <f t="array" ref="B126">IF(A126="","",VLOOKUP(A126,INDIRECT("CXC!A2:B"&amp;COUNTA(CXC!A:A)),2,FALSE))</f>
        <v/>
      </c>
      <c r="C126" s="136" t="str">
        <f t="array" ref="C126">IF(A126="","",VLOOKUP(A126,INDIRECT("CXC!A2:C"&amp;COUNTA(CXC!A:A)),3,FALSE))</f>
        <v/>
      </c>
      <c r="D126" s="137" t="str">
        <f t="array" ref="D126">IF(A126="","",VLOOKUP(A126,INDIRECT("CXC!A2:H"&amp;COUNTA(CXC!A:A)),8,FALSE))</f>
        <v/>
      </c>
      <c r="E126" s="137" t="str">
        <f t="array" ref="E126">IFERROR(IF(A126="","",VLOOKUP(A126,INDIRECT("HISTÓRICO COBROS!A3:E"&amp;COUNTA('HISTÓRICO COBROS'!A:A)),5,FALSE)),"")</f>
        <v/>
      </c>
      <c r="F126" s="137" t="str">
        <f t="array" ref="F126">IF(A126="","",VLOOKUP(A126,INDIRECT("CXC!A2:I"&amp;COUNTA(CXC!A:A)),9,FALSE))</f>
        <v/>
      </c>
      <c r="G126" s="137" t="str">
        <f t="array" ref="G126">IFERROR(IF(A126="","",VLOOKUP(A126,INDIRECT("HISTÓRICO COBROS!A3:F"&amp;COUNTA('HISTÓRICO COBROS'!A:A)),6,FALSE)),"")</f>
        <v/>
      </c>
      <c r="H126" s="138" t="str">
        <f t="shared" ref="H126:I126" si="127">IF(D126="","",D126+F126)</f>
        <v/>
      </c>
      <c r="I126" s="135" t="str">
        <f t="shared" si="127"/>
        <v/>
      </c>
      <c r="J126" s="140" t="str">
        <f t="shared" si="3"/>
        <v/>
      </c>
      <c r="K126" s="140" t="str">
        <f t="shared" si="4"/>
        <v/>
      </c>
    </row>
    <row r="127" ht="22.5" customHeight="1">
      <c r="A127" s="140"/>
      <c r="B127" s="135" t="str">
        <f t="array" ref="B127">IF(A127="","",VLOOKUP(A127,INDIRECT("CXC!A2:B"&amp;COUNTA(CXC!A:A)),2,FALSE))</f>
        <v/>
      </c>
      <c r="C127" s="136" t="str">
        <f t="array" ref="C127">IF(A127="","",VLOOKUP(A127,INDIRECT("CXC!A2:C"&amp;COUNTA(CXC!A:A)),3,FALSE))</f>
        <v/>
      </c>
      <c r="D127" s="137" t="str">
        <f t="array" ref="D127">IF(A127="","",VLOOKUP(A127,INDIRECT("CXC!A2:H"&amp;COUNTA(CXC!A:A)),8,FALSE))</f>
        <v/>
      </c>
      <c r="E127" s="137" t="str">
        <f t="array" ref="E127">IFERROR(IF(A127="","",VLOOKUP(A127,INDIRECT("HISTÓRICO COBROS!A3:E"&amp;COUNTA('HISTÓRICO COBROS'!A:A)),5,FALSE)),"")</f>
        <v/>
      </c>
      <c r="F127" s="137" t="str">
        <f t="array" ref="F127">IF(A127="","",VLOOKUP(A127,INDIRECT("CXC!A2:I"&amp;COUNTA(CXC!A:A)),9,FALSE))</f>
        <v/>
      </c>
      <c r="G127" s="137" t="str">
        <f t="array" ref="G127">IFERROR(IF(A127="","",VLOOKUP(A127,INDIRECT("HISTÓRICO COBROS!A3:F"&amp;COUNTA('HISTÓRICO COBROS'!A:A)),6,FALSE)),"")</f>
        <v/>
      </c>
      <c r="H127" s="138" t="str">
        <f t="shared" ref="H127:I127" si="128">IF(D127="","",D127+F127)</f>
        <v/>
      </c>
      <c r="I127" s="135" t="str">
        <f t="shared" si="128"/>
        <v/>
      </c>
      <c r="J127" s="140" t="str">
        <f t="shared" si="3"/>
        <v/>
      </c>
      <c r="K127" s="140" t="str">
        <f t="shared" si="4"/>
        <v/>
      </c>
    </row>
    <row r="128" ht="22.5" customHeight="1">
      <c r="A128" s="140"/>
      <c r="B128" s="135" t="str">
        <f t="array" ref="B128">IF(A128="","",VLOOKUP(A128,INDIRECT("CXC!A2:B"&amp;COUNTA(CXC!A:A)),2,FALSE))</f>
        <v/>
      </c>
      <c r="C128" s="136" t="str">
        <f t="array" ref="C128">IF(A128="","",VLOOKUP(A128,INDIRECT("CXC!A2:C"&amp;COUNTA(CXC!A:A)),3,FALSE))</f>
        <v/>
      </c>
      <c r="D128" s="137" t="str">
        <f t="array" ref="D128">IF(A128="","",VLOOKUP(A128,INDIRECT("CXC!A2:H"&amp;COUNTA(CXC!A:A)),8,FALSE))</f>
        <v/>
      </c>
      <c r="E128" s="137" t="str">
        <f t="array" ref="E128">IFERROR(IF(A128="","",VLOOKUP(A128,INDIRECT("HISTÓRICO COBROS!A3:E"&amp;COUNTA('HISTÓRICO COBROS'!A:A)),5,FALSE)),"")</f>
        <v/>
      </c>
      <c r="F128" s="137" t="str">
        <f t="array" ref="F128">IF(A128="","",VLOOKUP(A128,INDIRECT("CXC!A2:I"&amp;COUNTA(CXC!A:A)),9,FALSE))</f>
        <v/>
      </c>
      <c r="G128" s="137" t="str">
        <f t="array" ref="G128">IFERROR(IF(A128="","",VLOOKUP(A128,INDIRECT("HISTÓRICO COBROS!A3:F"&amp;COUNTA('HISTÓRICO COBROS'!A:A)),6,FALSE)),"")</f>
        <v/>
      </c>
      <c r="H128" s="138" t="str">
        <f t="shared" ref="H128:I128" si="129">IF(D128="","",D128+F128)</f>
        <v/>
      </c>
      <c r="I128" s="135" t="str">
        <f t="shared" si="129"/>
        <v/>
      </c>
      <c r="J128" s="140" t="str">
        <f t="shared" si="3"/>
        <v/>
      </c>
      <c r="K128" s="140" t="str">
        <f t="shared" si="4"/>
        <v/>
      </c>
    </row>
    <row r="129" ht="22.5" customHeight="1">
      <c r="A129" s="140"/>
      <c r="B129" s="135" t="str">
        <f t="array" ref="B129">IF(A129="","",VLOOKUP(A129,INDIRECT("CXC!A2:B"&amp;COUNTA(CXC!A:A)),2,FALSE))</f>
        <v/>
      </c>
      <c r="C129" s="136" t="str">
        <f t="array" ref="C129">IF(A129="","",VLOOKUP(A129,INDIRECT("CXC!A2:C"&amp;COUNTA(CXC!A:A)),3,FALSE))</f>
        <v/>
      </c>
      <c r="D129" s="137" t="str">
        <f t="array" ref="D129">IF(A129="","",VLOOKUP(A129,INDIRECT("CXC!A2:H"&amp;COUNTA(CXC!A:A)),8,FALSE))</f>
        <v/>
      </c>
      <c r="E129" s="137" t="str">
        <f t="array" ref="E129">IFERROR(IF(A129="","",VLOOKUP(A129,INDIRECT("HISTÓRICO COBROS!A3:E"&amp;COUNTA('HISTÓRICO COBROS'!A:A)),5,FALSE)),"")</f>
        <v/>
      </c>
      <c r="F129" s="137" t="str">
        <f t="array" ref="F129">IF(A129="","",VLOOKUP(A129,INDIRECT("CXC!A2:I"&amp;COUNTA(CXC!A:A)),9,FALSE))</f>
        <v/>
      </c>
      <c r="G129" s="137" t="str">
        <f t="array" ref="G129">IFERROR(IF(A129="","",VLOOKUP(A129,INDIRECT("HISTÓRICO COBROS!A3:F"&amp;COUNTA('HISTÓRICO COBROS'!A:A)),6,FALSE)),"")</f>
        <v/>
      </c>
      <c r="H129" s="138" t="str">
        <f t="shared" ref="H129:I129" si="130">IF(D129="","",D129+F129)</f>
        <v/>
      </c>
      <c r="I129" s="135" t="str">
        <f t="shared" si="130"/>
        <v/>
      </c>
      <c r="J129" s="140" t="str">
        <f t="shared" si="3"/>
        <v/>
      </c>
      <c r="K129" s="140" t="str">
        <f t="shared" si="4"/>
        <v/>
      </c>
    </row>
    <row r="130" ht="22.5" customHeight="1">
      <c r="A130" s="140"/>
      <c r="B130" s="135" t="str">
        <f t="array" ref="B130">IF(A130="","",VLOOKUP(A130,INDIRECT("CXC!A2:B"&amp;COUNTA(CXC!A:A)),2,FALSE))</f>
        <v/>
      </c>
      <c r="C130" s="136" t="str">
        <f t="array" ref="C130">IF(A130="","",VLOOKUP(A130,INDIRECT("CXC!A2:C"&amp;COUNTA(CXC!A:A)),3,FALSE))</f>
        <v/>
      </c>
      <c r="D130" s="137" t="str">
        <f t="array" ref="D130">IF(A130="","",VLOOKUP(A130,INDIRECT("CXC!A2:H"&amp;COUNTA(CXC!A:A)),8,FALSE))</f>
        <v/>
      </c>
      <c r="E130" s="137" t="str">
        <f t="array" ref="E130">IFERROR(IF(A130="","",VLOOKUP(A130,INDIRECT("HISTÓRICO COBROS!A3:E"&amp;COUNTA('HISTÓRICO COBROS'!A:A)),5,FALSE)),"")</f>
        <v/>
      </c>
      <c r="F130" s="137" t="str">
        <f t="array" ref="F130">IF(A130="","",VLOOKUP(A130,INDIRECT("CXC!A2:I"&amp;COUNTA(CXC!A:A)),9,FALSE))</f>
        <v/>
      </c>
      <c r="G130" s="137" t="str">
        <f t="array" ref="G130">IFERROR(IF(A130="","",VLOOKUP(A130,INDIRECT("HISTÓRICO COBROS!A3:F"&amp;COUNTA('HISTÓRICO COBROS'!A:A)),6,FALSE)),"")</f>
        <v/>
      </c>
      <c r="H130" s="138" t="str">
        <f t="shared" ref="H130:I130" si="131">IF(D130="","",D130+F130)</f>
        <v/>
      </c>
      <c r="I130" s="135" t="str">
        <f t="shared" si="131"/>
        <v/>
      </c>
      <c r="J130" s="140" t="str">
        <f t="shared" si="3"/>
        <v/>
      </c>
      <c r="K130" s="140" t="str">
        <f t="shared" si="4"/>
        <v/>
      </c>
    </row>
    <row r="131" ht="22.5" customHeight="1">
      <c r="A131" s="140"/>
      <c r="B131" s="135" t="str">
        <f t="array" ref="B131">IF(A131="","",VLOOKUP(A131,INDIRECT("CXC!A2:B"&amp;COUNTA(CXC!A:A)),2,FALSE))</f>
        <v/>
      </c>
      <c r="C131" s="136" t="str">
        <f t="array" ref="C131">IF(A131="","",VLOOKUP(A131,INDIRECT("CXC!A2:C"&amp;COUNTA(CXC!A:A)),3,FALSE))</f>
        <v/>
      </c>
      <c r="D131" s="137" t="str">
        <f t="array" ref="D131">IF(A131="","",VLOOKUP(A131,INDIRECT("CXC!A2:H"&amp;COUNTA(CXC!A:A)),8,FALSE))</f>
        <v/>
      </c>
      <c r="E131" s="137" t="str">
        <f t="array" ref="E131">IFERROR(IF(A131="","",VLOOKUP(A131,INDIRECT("HISTÓRICO COBROS!A3:E"&amp;COUNTA('HISTÓRICO COBROS'!A:A)),5,FALSE)),"")</f>
        <v/>
      </c>
      <c r="F131" s="137" t="str">
        <f t="array" ref="F131">IF(A131="","",VLOOKUP(A131,INDIRECT("CXC!A2:I"&amp;COUNTA(CXC!A:A)),9,FALSE))</f>
        <v/>
      </c>
      <c r="G131" s="137" t="str">
        <f t="array" ref="G131">IFERROR(IF(A131="","",VLOOKUP(A131,INDIRECT("HISTÓRICO COBROS!A3:F"&amp;COUNTA('HISTÓRICO COBROS'!A:A)),6,FALSE)),"")</f>
        <v/>
      </c>
      <c r="H131" s="138" t="str">
        <f t="shared" ref="H131:I131" si="132">IF(D131="","",D131+F131)</f>
        <v/>
      </c>
      <c r="I131" s="135" t="str">
        <f t="shared" si="132"/>
        <v/>
      </c>
      <c r="J131" s="140" t="str">
        <f t="shared" si="3"/>
        <v/>
      </c>
      <c r="K131" s="140" t="str">
        <f t="shared" si="4"/>
        <v/>
      </c>
    </row>
    <row r="132" ht="22.5" customHeight="1">
      <c r="A132" s="140"/>
      <c r="B132" s="135" t="str">
        <f t="array" ref="B132">IF(A132="","",VLOOKUP(A132,INDIRECT("CXC!A2:B"&amp;COUNTA(CXC!A:A)),2,FALSE))</f>
        <v/>
      </c>
      <c r="C132" s="136" t="str">
        <f t="array" ref="C132">IF(A132="","",VLOOKUP(A132,INDIRECT("CXC!A2:C"&amp;COUNTA(CXC!A:A)),3,FALSE))</f>
        <v/>
      </c>
      <c r="D132" s="137" t="str">
        <f t="array" ref="D132">IF(A132="","",VLOOKUP(A132,INDIRECT("CXC!A2:H"&amp;COUNTA(CXC!A:A)),8,FALSE))</f>
        <v/>
      </c>
      <c r="E132" s="137" t="str">
        <f t="array" ref="E132">IFERROR(IF(A132="","",VLOOKUP(A132,INDIRECT("HISTÓRICO COBROS!A3:E"&amp;COUNTA('HISTÓRICO COBROS'!A:A)),5,FALSE)),"")</f>
        <v/>
      </c>
      <c r="F132" s="137" t="str">
        <f t="array" ref="F132">IF(A132="","",VLOOKUP(A132,INDIRECT("CXC!A2:I"&amp;COUNTA(CXC!A:A)),9,FALSE))</f>
        <v/>
      </c>
      <c r="G132" s="137" t="str">
        <f t="array" ref="G132">IFERROR(IF(A132="","",VLOOKUP(A132,INDIRECT("HISTÓRICO COBROS!A3:F"&amp;COUNTA('HISTÓRICO COBROS'!A:A)),6,FALSE)),"")</f>
        <v/>
      </c>
      <c r="H132" s="138" t="str">
        <f t="shared" ref="H132:I132" si="133">IF(D132="","",D132+F132)</f>
        <v/>
      </c>
      <c r="I132" s="135" t="str">
        <f t="shared" si="133"/>
        <v/>
      </c>
      <c r="J132" s="140" t="str">
        <f t="shared" si="3"/>
        <v/>
      </c>
      <c r="K132" s="140" t="str">
        <f t="shared" si="4"/>
        <v/>
      </c>
    </row>
    <row r="133" ht="22.5" customHeight="1">
      <c r="A133" s="140"/>
      <c r="B133" s="135" t="str">
        <f t="array" ref="B133">IF(A133="","",VLOOKUP(A133,INDIRECT("CXC!A2:B"&amp;COUNTA(CXC!A:A)),2,FALSE))</f>
        <v/>
      </c>
      <c r="C133" s="136" t="str">
        <f t="array" ref="C133">IF(A133="","",VLOOKUP(A133,INDIRECT("CXC!A2:C"&amp;COUNTA(CXC!A:A)),3,FALSE))</f>
        <v/>
      </c>
      <c r="D133" s="137" t="str">
        <f t="array" ref="D133">IF(A133="","",VLOOKUP(A133,INDIRECT("CXC!A2:H"&amp;COUNTA(CXC!A:A)),8,FALSE))</f>
        <v/>
      </c>
      <c r="E133" s="137" t="str">
        <f t="array" ref="E133">IFERROR(IF(A133="","",VLOOKUP(A133,INDIRECT("HISTÓRICO COBROS!A3:E"&amp;COUNTA('HISTÓRICO COBROS'!A:A)),5,FALSE)),"")</f>
        <v/>
      </c>
      <c r="F133" s="137" t="str">
        <f t="array" ref="F133">IF(A133="","",VLOOKUP(A133,INDIRECT("CXC!A2:I"&amp;COUNTA(CXC!A:A)),9,FALSE))</f>
        <v/>
      </c>
      <c r="G133" s="137" t="str">
        <f t="array" ref="G133">IFERROR(IF(A133="","",VLOOKUP(A133,INDIRECT("HISTÓRICO COBROS!A3:F"&amp;COUNTA('HISTÓRICO COBROS'!A:A)),6,FALSE)),"")</f>
        <v/>
      </c>
      <c r="H133" s="138" t="str">
        <f t="shared" ref="H133:I133" si="134">IF(D133="","",D133+F133)</f>
        <v/>
      </c>
      <c r="I133" s="135" t="str">
        <f t="shared" si="134"/>
        <v/>
      </c>
      <c r="J133" s="140" t="str">
        <f t="shared" si="3"/>
        <v/>
      </c>
      <c r="K133" s="140" t="str">
        <f t="shared" si="4"/>
        <v/>
      </c>
    </row>
    <row r="134" ht="22.5" customHeight="1">
      <c r="A134" s="140"/>
      <c r="B134" s="135" t="str">
        <f t="array" ref="B134">IF(A134="","",VLOOKUP(A134,INDIRECT("CXC!A2:B"&amp;COUNTA(CXC!A:A)),2,FALSE))</f>
        <v/>
      </c>
      <c r="C134" s="136" t="str">
        <f t="array" ref="C134">IF(A134="","",VLOOKUP(A134,INDIRECT("CXC!A2:C"&amp;COUNTA(CXC!A:A)),3,FALSE))</f>
        <v/>
      </c>
      <c r="D134" s="137" t="str">
        <f t="array" ref="D134">IF(A134="","",VLOOKUP(A134,INDIRECT("CXC!A2:H"&amp;COUNTA(CXC!A:A)),8,FALSE))</f>
        <v/>
      </c>
      <c r="E134" s="137" t="str">
        <f t="array" ref="E134">IFERROR(IF(A134="","",VLOOKUP(A134,INDIRECT("HISTÓRICO COBROS!A3:E"&amp;COUNTA('HISTÓRICO COBROS'!A:A)),5,FALSE)),"")</f>
        <v/>
      </c>
      <c r="F134" s="137" t="str">
        <f t="array" ref="F134">IF(A134="","",VLOOKUP(A134,INDIRECT("CXC!A2:I"&amp;COUNTA(CXC!A:A)),9,FALSE))</f>
        <v/>
      </c>
      <c r="G134" s="137" t="str">
        <f t="array" ref="G134">IFERROR(IF(A134="","",VLOOKUP(A134,INDIRECT("HISTÓRICO COBROS!A3:F"&amp;COUNTA('HISTÓRICO COBROS'!A:A)),6,FALSE)),"")</f>
        <v/>
      </c>
      <c r="H134" s="138" t="str">
        <f t="shared" ref="H134:I134" si="135">IF(D134="","",D134+F134)</f>
        <v/>
      </c>
      <c r="I134" s="135" t="str">
        <f t="shared" si="135"/>
        <v/>
      </c>
      <c r="J134" s="140" t="str">
        <f t="shared" si="3"/>
        <v/>
      </c>
      <c r="K134" s="140" t="str">
        <f t="shared" si="4"/>
        <v/>
      </c>
    </row>
    <row r="135" ht="22.5" customHeight="1">
      <c r="A135" s="140"/>
      <c r="B135" s="135" t="str">
        <f t="array" ref="B135">IF(A135="","",VLOOKUP(A135,INDIRECT("CXC!A2:B"&amp;COUNTA(CXC!A:A)),2,FALSE))</f>
        <v/>
      </c>
      <c r="C135" s="136" t="str">
        <f t="array" ref="C135">IF(A135="","",VLOOKUP(A135,INDIRECT("CXC!A2:C"&amp;COUNTA(CXC!A:A)),3,FALSE))</f>
        <v/>
      </c>
      <c r="D135" s="137" t="str">
        <f t="array" ref="D135">IF(A135="","",VLOOKUP(A135,INDIRECT("CXC!A2:H"&amp;COUNTA(CXC!A:A)),8,FALSE))</f>
        <v/>
      </c>
      <c r="E135" s="137" t="str">
        <f t="array" ref="E135">IFERROR(IF(A135="","",VLOOKUP(A135,INDIRECT("HISTÓRICO COBROS!A3:E"&amp;COUNTA('HISTÓRICO COBROS'!A:A)),5,FALSE)),"")</f>
        <v/>
      </c>
      <c r="F135" s="137" t="str">
        <f t="array" ref="F135">IF(A135="","",VLOOKUP(A135,INDIRECT("CXC!A2:I"&amp;COUNTA(CXC!A:A)),9,FALSE))</f>
        <v/>
      </c>
      <c r="G135" s="137" t="str">
        <f t="array" ref="G135">IFERROR(IF(A135="","",VLOOKUP(A135,INDIRECT("HISTÓRICO COBROS!A3:F"&amp;COUNTA('HISTÓRICO COBROS'!A:A)),6,FALSE)),"")</f>
        <v/>
      </c>
      <c r="H135" s="138" t="str">
        <f t="shared" ref="H135:I135" si="136">IF(D135="","",D135+F135)</f>
        <v/>
      </c>
      <c r="I135" s="135" t="str">
        <f t="shared" si="136"/>
        <v/>
      </c>
      <c r="J135" s="140" t="str">
        <f t="shared" si="3"/>
        <v/>
      </c>
      <c r="K135" s="140" t="str">
        <f t="shared" si="4"/>
        <v/>
      </c>
    </row>
    <row r="136" ht="22.5" customHeight="1">
      <c r="A136" s="140"/>
      <c r="B136" s="135" t="str">
        <f t="array" ref="B136">IF(A136="","",VLOOKUP(A136,INDIRECT("CXC!A2:B"&amp;COUNTA(CXC!A:A)),2,FALSE))</f>
        <v/>
      </c>
      <c r="C136" s="136" t="str">
        <f t="array" ref="C136">IF(A136="","",VLOOKUP(A136,INDIRECT("CXC!A2:C"&amp;COUNTA(CXC!A:A)),3,FALSE))</f>
        <v/>
      </c>
      <c r="D136" s="137" t="str">
        <f t="array" ref="D136">IF(A136="","",VLOOKUP(A136,INDIRECT("CXC!A2:H"&amp;COUNTA(CXC!A:A)),8,FALSE))</f>
        <v/>
      </c>
      <c r="E136" s="137" t="str">
        <f t="array" ref="E136">IFERROR(IF(A136="","",VLOOKUP(A136,INDIRECT("HISTÓRICO COBROS!A3:E"&amp;COUNTA('HISTÓRICO COBROS'!A:A)),5,FALSE)),"")</f>
        <v/>
      </c>
      <c r="F136" s="137" t="str">
        <f t="array" ref="F136">IF(A136="","",VLOOKUP(A136,INDIRECT("CXC!A2:I"&amp;COUNTA(CXC!A:A)),9,FALSE))</f>
        <v/>
      </c>
      <c r="G136" s="137" t="str">
        <f t="array" ref="G136">IFERROR(IF(A136="","",VLOOKUP(A136,INDIRECT("HISTÓRICO COBROS!A3:F"&amp;COUNTA('HISTÓRICO COBROS'!A:A)),6,FALSE)),"")</f>
        <v/>
      </c>
      <c r="H136" s="138" t="str">
        <f t="shared" ref="H136:I136" si="137">IF(D136="","",D136+F136)</f>
        <v/>
      </c>
      <c r="I136" s="135" t="str">
        <f t="shared" si="137"/>
        <v/>
      </c>
      <c r="J136" s="140" t="str">
        <f t="shared" si="3"/>
        <v/>
      </c>
      <c r="K136" s="140" t="str">
        <f t="shared" si="4"/>
        <v/>
      </c>
    </row>
    <row r="137" ht="22.5" customHeight="1">
      <c r="A137" s="140"/>
      <c r="B137" s="135" t="str">
        <f t="array" ref="B137">IF(A137="","",VLOOKUP(A137,INDIRECT("CXC!A2:B"&amp;COUNTA(CXC!A:A)),2,FALSE))</f>
        <v/>
      </c>
      <c r="C137" s="136" t="str">
        <f t="array" ref="C137">IF(A137="","",VLOOKUP(A137,INDIRECT("CXC!A2:C"&amp;COUNTA(CXC!A:A)),3,FALSE))</f>
        <v/>
      </c>
      <c r="D137" s="137" t="str">
        <f t="array" ref="D137">IF(A137="","",VLOOKUP(A137,INDIRECT("CXC!A2:H"&amp;COUNTA(CXC!A:A)),8,FALSE))</f>
        <v/>
      </c>
      <c r="E137" s="137" t="str">
        <f t="array" ref="E137">IFERROR(IF(A137="","",VLOOKUP(A137,INDIRECT("HISTÓRICO COBROS!A3:E"&amp;COUNTA('HISTÓRICO COBROS'!A:A)),5,FALSE)),"")</f>
        <v/>
      </c>
      <c r="F137" s="137" t="str">
        <f t="array" ref="F137">IF(A137="","",VLOOKUP(A137,INDIRECT("CXC!A2:I"&amp;COUNTA(CXC!A:A)),9,FALSE))</f>
        <v/>
      </c>
      <c r="G137" s="137" t="str">
        <f t="array" ref="G137">IFERROR(IF(A137="","",VLOOKUP(A137,INDIRECT("HISTÓRICO COBROS!A3:F"&amp;COUNTA('HISTÓRICO COBROS'!A:A)),6,FALSE)),"")</f>
        <v/>
      </c>
      <c r="H137" s="138" t="str">
        <f t="shared" ref="H137:I137" si="138">IF(D137="","",D137+F137)</f>
        <v/>
      </c>
      <c r="I137" s="135" t="str">
        <f t="shared" si="138"/>
        <v/>
      </c>
      <c r="J137" s="140" t="str">
        <f t="shared" si="3"/>
        <v/>
      </c>
      <c r="K137" s="140" t="str">
        <f t="shared" si="4"/>
        <v/>
      </c>
    </row>
    <row r="138" ht="22.5" customHeight="1">
      <c r="A138" s="140"/>
      <c r="B138" s="135" t="str">
        <f t="array" ref="B138">IF(A138="","",VLOOKUP(A138,INDIRECT("CXC!A2:B"&amp;COUNTA(CXC!A:A)),2,FALSE))</f>
        <v/>
      </c>
      <c r="C138" s="136" t="str">
        <f t="array" ref="C138">IF(A138="","",VLOOKUP(A138,INDIRECT("CXC!A2:C"&amp;COUNTA(CXC!A:A)),3,FALSE))</f>
        <v/>
      </c>
      <c r="D138" s="137" t="str">
        <f t="array" ref="D138">IF(A138="","",VLOOKUP(A138,INDIRECT("CXC!A2:H"&amp;COUNTA(CXC!A:A)),8,FALSE))</f>
        <v/>
      </c>
      <c r="E138" s="137" t="str">
        <f t="array" ref="E138">IFERROR(IF(A138="","",VLOOKUP(A138,INDIRECT("HISTÓRICO COBROS!A3:E"&amp;COUNTA('HISTÓRICO COBROS'!A:A)),5,FALSE)),"")</f>
        <v/>
      </c>
      <c r="F138" s="137" t="str">
        <f t="array" ref="F138">IF(A138="","",VLOOKUP(A138,INDIRECT("CXC!A2:I"&amp;COUNTA(CXC!A:A)),9,FALSE))</f>
        <v/>
      </c>
      <c r="G138" s="137" t="str">
        <f t="array" ref="G138">IFERROR(IF(A138="","",VLOOKUP(A138,INDIRECT("HISTÓRICO COBROS!A3:F"&amp;COUNTA('HISTÓRICO COBROS'!A:A)),6,FALSE)),"")</f>
        <v/>
      </c>
      <c r="H138" s="138" t="str">
        <f t="shared" ref="H138:I138" si="139">IF(D138="","",D138+F138)</f>
        <v/>
      </c>
      <c r="I138" s="135" t="str">
        <f t="shared" si="139"/>
        <v/>
      </c>
      <c r="J138" s="140" t="str">
        <f t="shared" si="3"/>
        <v/>
      </c>
      <c r="K138" s="140" t="str">
        <f t="shared" si="4"/>
        <v/>
      </c>
    </row>
    <row r="139" ht="22.5" customHeight="1">
      <c r="A139" s="140"/>
      <c r="B139" s="135" t="str">
        <f t="array" ref="B139">IF(A139="","",VLOOKUP(A139,INDIRECT("CXC!A2:B"&amp;COUNTA(CXC!A:A)),2,FALSE))</f>
        <v/>
      </c>
      <c r="C139" s="136" t="str">
        <f t="array" ref="C139">IF(A139="","",VLOOKUP(A139,INDIRECT("CXC!A2:C"&amp;COUNTA(CXC!A:A)),3,FALSE))</f>
        <v/>
      </c>
      <c r="D139" s="137" t="str">
        <f t="array" ref="D139">IF(A139="","",VLOOKUP(A139,INDIRECT("CXC!A2:H"&amp;COUNTA(CXC!A:A)),8,FALSE))</f>
        <v/>
      </c>
      <c r="E139" s="137" t="str">
        <f t="array" ref="E139">IFERROR(IF(A139="","",VLOOKUP(A139,INDIRECT("HISTÓRICO COBROS!A3:E"&amp;COUNTA('HISTÓRICO COBROS'!A:A)),5,FALSE)),"")</f>
        <v/>
      </c>
      <c r="F139" s="137" t="str">
        <f t="array" ref="F139">IF(A139="","",VLOOKUP(A139,INDIRECT("CXC!A2:I"&amp;COUNTA(CXC!A:A)),9,FALSE))</f>
        <v/>
      </c>
      <c r="G139" s="137" t="str">
        <f t="array" ref="G139">IFERROR(IF(A139="","",VLOOKUP(A139,INDIRECT("HISTÓRICO COBROS!A3:F"&amp;COUNTA('HISTÓRICO COBROS'!A:A)),6,FALSE)),"")</f>
        <v/>
      </c>
      <c r="H139" s="138" t="str">
        <f t="shared" ref="H139:I139" si="140">IF(D139="","",D139+F139)</f>
        <v/>
      </c>
      <c r="I139" s="135" t="str">
        <f t="shared" si="140"/>
        <v/>
      </c>
      <c r="J139" s="140" t="str">
        <f t="shared" si="3"/>
        <v/>
      </c>
      <c r="K139" s="140" t="str">
        <f t="shared" si="4"/>
        <v/>
      </c>
    </row>
    <row r="140" ht="22.5" customHeight="1">
      <c r="A140" s="140"/>
      <c r="B140" s="135" t="str">
        <f t="array" ref="B140">IF(A140="","",VLOOKUP(A140,INDIRECT("CXC!A2:B"&amp;COUNTA(CXC!A:A)),2,FALSE))</f>
        <v/>
      </c>
      <c r="C140" s="136" t="str">
        <f t="array" ref="C140">IF(A140="","",VLOOKUP(A140,INDIRECT("CXC!A2:C"&amp;COUNTA(CXC!A:A)),3,FALSE))</f>
        <v/>
      </c>
      <c r="D140" s="137" t="str">
        <f t="array" ref="D140">IF(A140="","",VLOOKUP(A140,INDIRECT("CXC!A2:H"&amp;COUNTA(CXC!A:A)),8,FALSE))</f>
        <v/>
      </c>
      <c r="E140" s="137" t="str">
        <f t="array" ref="E140">IFERROR(IF(A140="","",VLOOKUP(A140,INDIRECT("HISTÓRICO COBROS!A3:E"&amp;COUNTA('HISTÓRICO COBROS'!A:A)),5,FALSE)),"")</f>
        <v/>
      </c>
      <c r="F140" s="137" t="str">
        <f t="array" ref="F140">IF(A140="","",VLOOKUP(A140,INDIRECT("CXC!A2:I"&amp;COUNTA(CXC!A:A)),9,FALSE))</f>
        <v/>
      </c>
      <c r="G140" s="137" t="str">
        <f t="array" ref="G140">IFERROR(IF(A140="","",VLOOKUP(A140,INDIRECT("HISTÓRICO COBROS!A3:F"&amp;COUNTA('HISTÓRICO COBROS'!A:A)),6,FALSE)),"")</f>
        <v/>
      </c>
      <c r="H140" s="138" t="str">
        <f t="shared" ref="H140:I140" si="141">IF(D140="","",D140+F140)</f>
        <v/>
      </c>
      <c r="I140" s="135" t="str">
        <f t="shared" si="141"/>
        <v/>
      </c>
      <c r="J140" s="140" t="str">
        <f t="shared" si="3"/>
        <v/>
      </c>
      <c r="K140" s="140" t="str">
        <f t="shared" si="4"/>
        <v/>
      </c>
    </row>
    <row r="141" ht="22.5" customHeight="1">
      <c r="A141" s="140"/>
      <c r="B141" s="135" t="str">
        <f t="array" ref="B141">IF(A141="","",VLOOKUP(A141,INDIRECT("CXC!A2:B"&amp;COUNTA(CXC!A:A)),2,FALSE))</f>
        <v/>
      </c>
      <c r="C141" s="136" t="str">
        <f t="array" ref="C141">IF(A141="","",VLOOKUP(A141,INDIRECT("CXC!A2:C"&amp;COUNTA(CXC!A:A)),3,FALSE))</f>
        <v/>
      </c>
      <c r="D141" s="137" t="str">
        <f t="array" ref="D141">IF(A141="","",VLOOKUP(A141,INDIRECT("CXC!A2:H"&amp;COUNTA(CXC!A:A)),8,FALSE))</f>
        <v/>
      </c>
      <c r="E141" s="137" t="str">
        <f t="array" ref="E141">IFERROR(IF(A141="","",VLOOKUP(A141,INDIRECT("HISTÓRICO COBROS!A3:E"&amp;COUNTA('HISTÓRICO COBROS'!A:A)),5,FALSE)),"")</f>
        <v/>
      </c>
      <c r="F141" s="137" t="str">
        <f t="array" ref="F141">IF(A141="","",VLOOKUP(A141,INDIRECT("CXC!A2:I"&amp;COUNTA(CXC!A:A)),9,FALSE))</f>
        <v/>
      </c>
      <c r="G141" s="137" t="str">
        <f t="array" ref="G141">IFERROR(IF(A141="","",VLOOKUP(A141,INDIRECT("HISTÓRICO COBROS!A3:F"&amp;COUNTA('HISTÓRICO COBROS'!A:A)),6,FALSE)),"")</f>
        <v/>
      </c>
      <c r="H141" s="138" t="str">
        <f t="shared" ref="H141:I141" si="142">IF(D141="","",D141+F141)</f>
        <v/>
      </c>
      <c r="I141" s="135" t="str">
        <f t="shared" si="142"/>
        <v/>
      </c>
      <c r="J141" s="140" t="str">
        <f t="shared" si="3"/>
        <v/>
      </c>
      <c r="K141" s="140" t="str">
        <f t="shared" si="4"/>
        <v/>
      </c>
    </row>
    <row r="142" ht="22.5" customHeight="1">
      <c r="A142" s="140"/>
      <c r="B142" s="135" t="str">
        <f t="array" ref="B142">IF(A142="","",VLOOKUP(A142,INDIRECT("CXC!A2:B"&amp;COUNTA(CXC!A:A)),2,FALSE))</f>
        <v/>
      </c>
      <c r="C142" s="136" t="str">
        <f t="array" ref="C142">IF(A142="","",VLOOKUP(A142,INDIRECT("CXC!A2:C"&amp;COUNTA(CXC!A:A)),3,FALSE))</f>
        <v/>
      </c>
      <c r="D142" s="137" t="str">
        <f t="array" ref="D142">IF(A142="","",VLOOKUP(A142,INDIRECT("CXC!A2:H"&amp;COUNTA(CXC!A:A)),8,FALSE))</f>
        <v/>
      </c>
      <c r="E142" s="137" t="str">
        <f t="array" ref="E142">IFERROR(IF(A142="","",VLOOKUP(A142,INDIRECT("HISTÓRICO COBROS!A3:E"&amp;COUNTA('HISTÓRICO COBROS'!A:A)),5,FALSE)),"")</f>
        <v/>
      </c>
      <c r="F142" s="137" t="str">
        <f t="array" ref="F142">IF(A142="","",VLOOKUP(A142,INDIRECT("CXC!A2:I"&amp;COUNTA(CXC!A:A)),9,FALSE))</f>
        <v/>
      </c>
      <c r="G142" s="137" t="str">
        <f t="array" ref="G142">IFERROR(IF(A142="","",VLOOKUP(A142,INDIRECT("HISTÓRICO COBROS!A3:F"&amp;COUNTA('HISTÓRICO COBROS'!A:A)),6,FALSE)),"")</f>
        <v/>
      </c>
      <c r="H142" s="138" t="str">
        <f t="shared" ref="H142:I142" si="143">IF(D142="","",D142+F142)</f>
        <v/>
      </c>
      <c r="I142" s="135" t="str">
        <f t="shared" si="143"/>
        <v/>
      </c>
      <c r="J142" s="140" t="str">
        <f t="shared" si="3"/>
        <v/>
      </c>
      <c r="K142" s="140" t="str">
        <f t="shared" si="4"/>
        <v/>
      </c>
    </row>
    <row r="143" ht="22.5" customHeight="1">
      <c r="A143" s="140"/>
      <c r="B143" s="135" t="str">
        <f t="array" ref="B143">IF(A143="","",VLOOKUP(A143,INDIRECT("CXC!A2:B"&amp;COUNTA(CXC!A:A)),2,FALSE))</f>
        <v/>
      </c>
      <c r="C143" s="136" t="str">
        <f t="array" ref="C143">IF(A143="","",VLOOKUP(A143,INDIRECT("CXC!A2:C"&amp;COUNTA(CXC!A:A)),3,FALSE))</f>
        <v/>
      </c>
      <c r="D143" s="137" t="str">
        <f t="array" ref="D143">IF(A143="","",VLOOKUP(A143,INDIRECT("CXC!A2:H"&amp;COUNTA(CXC!A:A)),8,FALSE))</f>
        <v/>
      </c>
      <c r="E143" s="137" t="str">
        <f t="array" ref="E143">IFERROR(IF(A143="","",VLOOKUP(A143,INDIRECT("HISTÓRICO COBROS!A3:E"&amp;COUNTA('HISTÓRICO COBROS'!A:A)),5,FALSE)),"")</f>
        <v/>
      </c>
      <c r="F143" s="137" t="str">
        <f t="array" ref="F143">IF(A143="","",VLOOKUP(A143,INDIRECT("CXC!A2:I"&amp;COUNTA(CXC!A:A)),9,FALSE))</f>
        <v/>
      </c>
      <c r="G143" s="137" t="str">
        <f t="array" ref="G143">IFERROR(IF(A143="","",VLOOKUP(A143,INDIRECT("HISTÓRICO COBROS!A3:F"&amp;COUNTA('HISTÓRICO COBROS'!A:A)),6,FALSE)),"")</f>
        <v/>
      </c>
      <c r="H143" s="138" t="str">
        <f t="shared" ref="H143:I143" si="144">IF(D143="","",D143+F143)</f>
        <v/>
      </c>
      <c r="I143" s="135" t="str">
        <f t="shared" si="144"/>
        <v/>
      </c>
      <c r="J143" s="140" t="str">
        <f t="shared" si="3"/>
        <v/>
      </c>
      <c r="K143" s="140" t="str">
        <f t="shared" si="4"/>
        <v/>
      </c>
    </row>
    <row r="144" ht="22.5" customHeight="1">
      <c r="A144" s="140"/>
      <c r="B144" s="135" t="str">
        <f t="array" ref="B144">IF(A144="","",VLOOKUP(A144,INDIRECT("CXC!A2:B"&amp;COUNTA(CXC!A:A)),2,FALSE))</f>
        <v/>
      </c>
      <c r="C144" s="136" t="str">
        <f t="array" ref="C144">IF(A144="","",VLOOKUP(A144,INDIRECT("CXC!A2:C"&amp;COUNTA(CXC!A:A)),3,FALSE))</f>
        <v/>
      </c>
      <c r="D144" s="137" t="str">
        <f t="array" ref="D144">IF(A144="","",VLOOKUP(A144,INDIRECT("CXC!A2:H"&amp;COUNTA(CXC!A:A)),8,FALSE))</f>
        <v/>
      </c>
      <c r="E144" s="137" t="str">
        <f t="array" ref="E144">IFERROR(IF(A144="","",VLOOKUP(A144,INDIRECT("HISTÓRICO COBROS!A3:E"&amp;COUNTA('HISTÓRICO COBROS'!A:A)),5,FALSE)),"")</f>
        <v/>
      </c>
      <c r="F144" s="137" t="str">
        <f t="array" ref="F144">IF(A144="","",VLOOKUP(A144,INDIRECT("CXC!A2:I"&amp;COUNTA(CXC!A:A)),9,FALSE))</f>
        <v/>
      </c>
      <c r="G144" s="137" t="str">
        <f t="array" ref="G144">IFERROR(IF(A144="","",VLOOKUP(A144,INDIRECT("HISTÓRICO COBROS!A3:F"&amp;COUNTA('HISTÓRICO COBROS'!A:A)),6,FALSE)),"")</f>
        <v/>
      </c>
      <c r="H144" s="138" t="str">
        <f t="shared" ref="H144:I144" si="145">IF(D144="","",D144+F144)</f>
        <v/>
      </c>
      <c r="I144" s="135" t="str">
        <f t="shared" si="145"/>
        <v/>
      </c>
      <c r="J144" s="140" t="str">
        <f t="shared" si="3"/>
        <v/>
      </c>
      <c r="K144" s="140" t="str">
        <f t="shared" si="4"/>
        <v/>
      </c>
    </row>
    <row r="145" ht="22.5" customHeight="1">
      <c r="A145" s="140"/>
      <c r="B145" s="135" t="str">
        <f t="array" ref="B145">IF(A145="","",VLOOKUP(A145,INDIRECT("CXC!A2:B"&amp;COUNTA(CXC!A:A)),2,FALSE))</f>
        <v/>
      </c>
      <c r="C145" s="136" t="str">
        <f t="array" ref="C145">IF(A145="","",VLOOKUP(A145,INDIRECT("CXC!A2:C"&amp;COUNTA(CXC!A:A)),3,FALSE))</f>
        <v/>
      </c>
      <c r="D145" s="137" t="str">
        <f t="array" ref="D145">IF(A145="","",VLOOKUP(A145,INDIRECT("CXC!A2:H"&amp;COUNTA(CXC!A:A)),8,FALSE))</f>
        <v/>
      </c>
      <c r="E145" s="137" t="str">
        <f t="array" ref="E145">IFERROR(IF(A145="","",VLOOKUP(A145,INDIRECT("HISTÓRICO COBROS!A3:E"&amp;COUNTA('HISTÓRICO COBROS'!A:A)),5,FALSE)),"")</f>
        <v/>
      </c>
      <c r="F145" s="137" t="str">
        <f t="array" ref="F145">IF(A145="","",VLOOKUP(A145,INDIRECT("CXC!A2:I"&amp;COUNTA(CXC!A:A)),9,FALSE))</f>
        <v/>
      </c>
      <c r="G145" s="137" t="str">
        <f t="array" ref="G145">IFERROR(IF(A145="","",VLOOKUP(A145,INDIRECT("HISTÓRICO COBROS!A3:F"&amp;COUNTA('HISTÓRICO COBROS'!A:A)),6,FALSE)),"")</f>
        <v/>
      </c>
      <c r="H145" s="138" t="str">
        <f t="shared" ref="H145:I145" si="146">IF(D145="","",D145+F145)</f>
        <v/>
      </c>
      <c r="I145" s="135" t="str">
        <f t="shared" si="146"/>
        <v/>
      </c>
      <c r="J145" s="140" t="str">
        <f t="shared" si="3"/>
        <v/>
      </c>
      <c r="K145" s="140" t="str">
        <f t="shared" si="4"/>
        <v/>
      </c>
    </row>
    <row r="146" ht="22.5" customHeight="1">
      <c r="A146" s="140"/>
      <c r="B146" s="135" t="str">
        <f t="array" ref="B146">IF(A146="","",VLOOKUP(A146,INDIRECT("CXC!A2:B"&amp;COUNTA(CXC!A:A)),2,FALSE))</f>
        <v/>
      </c>
      <c r="C146" s="136" t="str">
        <f t="array" ref="C146">IF(A146="","",VLOOKUP(A146,INDIRECT("CXC!A2:C"&amp;COUNTA(CXC!A:A)),3,FALSE))</f>
        <v/>
      </c>
      <c r="D146" s="137" t="str">
        <f t="array" ref="D146">IF(A146="","",VLOOKUP(A146,INDIRECT("CXC!A2:H"&amp;COUNTA(CXC!A:A)),8,FALSE))</f>
        <v/>
      </c>
      <c r="E146" s="137" t="str">
        <f t="array" ref="E146">IFERROR(IF(A146="","",VLOOKUP(A146,INDIRECT("HISTÓRICO COBROS!A3:E"&amp;COUNTA('HISTÓRICO COBROS'!A:A)),5,FALSE)),"")</f>
        <v/>
      </c>
      <c r="F146" s="137" t="str">
        <f t="array" ref="F146">IF(A146="","",VLOOKUP(A146,INDIRECT("CXC!A2:I"&amp;COUNTA(CXC!A:A)),9,FALSE))</f>
        <v/>
      </c>
      <c r="G146" s="137" t="str">
        <f t="array" ref="G146">IFERROR(IF(A146="","",VLOOKUP(A146,INDIRECT("HISTÓRICO COBROS!A3:F"&amp;COUNTA('HISTÓRICO COBROS'!A:A)),6,FALSE)),"")</f>
        <v/>
      </c>
      <c r="H146" s="138" t="str">
        <f t="shared" ref="H146:I146" si="147">IF(D146="","",D146+F146)</f>
        <v/>
      </c>
      <c r="I146" s="135" t="str">
        <f t="shared" si="147"/>
        <v/>
      </c>
      <c r="J146" s="140" t="str">
        <f t="shared" si="3"/>
        <v/>
      </c>
      <c r="K146" s="140" t="str">
        <f t="shared" si="4"/>
        <v/>
      </c>
    </row>
    <row r="147" ht="22.5" customHeight="1">
      <c r="A147" s="140"/>
      <c r="B147" s="135" t="str">
        <f t="array" ref="B147">IF(A147="","",VLOOKUP(A147,INDIRECT("CXC!A2:B"&amp;COUNTA(CXC!A:A)),2,FALSE))</f>
        <v/>
      </c>
      <c r="C147" s="136" t="str">
        <f t="array" ref="C147">IF(A147="","",VLOOKUP(A147,INDIRECT("CXC!A2:C"&amp;COUNTA(CXC!A:A)),3,FALSE))</f>
        <v/>
      </c>
      <c r="D147" s="137" t="str">
        <f t="array" ref="D147">IF(A147="","",VLOOKUP(A147,INDIRECT("CXC!A2:H"&amp;COUNTA(CXC!A:A)),8,FALSE))</f>
        <v/>
      </c>
      <c r="E147" s="137" t="str">
        <f t="array" ref="E147">IFERROR(IF(A147="","",VLOOKUP(A147,INDIRECT("HISTÓRICO COBROS!A3:E"&amp;COUNTA('HISTÓRICO COBROS'!A:A)),5,FALSE)),"")</f>
        <v/>
      </c>
      <c r="F147" s="137" t="str">
        <f t="array" ref="F147">IF(A147="","",VLOOKUP(A147,INDIRECT("CXC!A2:I"&amp;COUNTA(CXC!A:A)),9,FALSE))</f>
        <v/>
      </c>
      <c r="G147" s="137" t="str">
        <f t="array" ref="G147">IFERROR(IF(A147="","",VLOOKUP(A147,INDIRECT("HISTÓRICO COBROS!A3:F"&amp;COUNTA('HISTÓRICO COBROS'!A:A)),6,FALSE)),"")</f>
        <v/>
      </c>
      <c r="H147" s="138" t="str">
        <f t="shared" ref="H147:I147" si="148">IF(D147="","",D147+F147)</f>
        <v/>
      </c>
      <c r="I147" s="135" t="str">
        <f t="shared" si="148"/>
        <v/>
      </c>
      <c r="J147" s="140" t="str">
        <f t="shared" si="3"/>
        <v/>
      </c>
      <c r="K147" s="140" t="str">
        <f t="shared" si="4"/>
        <v/>
      </c>
    </row>
    <row r="148" ht="22.5" customHeight="1">
      <c r="A148" s="140"/>
      <c r="B148" s="135" t="str">
        <f t="array" ref="B148">IF(A148="","",VLOOKUP(A148,INDIRECT("CXC!A2:B"&amp;COUNTA(CXC!A:A)),2,FALSE))</f>
        <v/>
      </c>
      <c r="C148" s="136" t="str">
        <f t="array" ref="C148">IF(A148="","",VLOOKUP(A148,INDIRECT("CXC!A2:C"&amp;COUNTA(CXC!A:A)),3,FALSE))</f>
        <v/>
      </c>
      <c r="D148" s="137" t="str">
        <f t="array" ref="D148">IF(A148="","",VLOOKUP(A148,INDIRECT("CXC!A2:H"&amp;COUNTA(CXC!A:A)),8,FALSE))</f>
        <v/>
      </c>
      <c r="E148" s="137" t="str">
        <f t="array" ref="E148">IFERROR(IF(A148="","",VLOOKUP(A148,INDIRECT("HISTÓRICO COBROS!A3:E"&amp;COUNTA('HISTÓRICO COBROS'!A:A)),5,FALSE)),"")</f>
        <v/>
      </c>
      <c r="F148" s="137" t="str">
        <f t="array" ref="F148">IF(A148="","",VLOOKUP(A148,INDIRECT("CXC!A2:I"&amp;COUNTA(CXC!A:A)),9,FALSE))</f>
        <v/>
      </c>
      <c r="G148" s="137" t="str">
        <f t="array" ref="G148">IFERROR(IF(A148="","",VLOOKUP(A148,INDIRECT("HISTÓRICO COBROS!A3:F"&amp;COUNTA('HISTÓRICO COBROS'!A:A)),6,FALSE)),"")</f>
        <v/>
      </c>
      <c r="H148" s="138" t="str">
        <f t="shared" ref="H148:I148" si="149">IF(D148="","",D148+F148)</f>
        <v/>
      </c>
      <c r="I148" s="135" t="str">
        <f t="shared" si="149"/>
        <v/>
      </c>
      <c r="J148" s="140" t="str">
        <f t="shared" si="3"/>
        <v/>
      </c>
      <c r="K148" s="140" t="str">
        <f t="shared" si="4"/>
        <v/>
      </c>
    </row>
    <row r="149" ht="22.5" customHeight="1">
      <c r="A149" s="140"/>
      <c r="B149" s="135" t="str">
        <f t="array" ref="B149">IF(A149="","",VLOOKUP(A149,INDIRECT("CXC!A2:B"&amp;COUNTA(CXC!A:A)),2,FALSE))</f>
        <v/>
      </c>
      <c r="C149" s="136" t="str">
        <f t="array" ref="C149">IF(A149="","",VLOOKUP(A149,INDIRECT("CXC!A2:C"&amp;COUNTA(CXC!A:A)),3,FALSE))</f>
        <v/>
      </c>
      <c r="D149" s="137" t="str">
        <f t="array" ref="D149">IF(A149="","",VLOOKUP(A149,INDIRECT("CXC!A2:H"&amp;COUNTA(CXC!A:A)),8,FALSE))</f>
        <v/>
      </c>
      <c r="E149" s="137" t="str">
        <f t="array" ref="E149">IFERROR(IF(A149="","",VLOOKUP(A149,INDIRECT("HISTÓRICO COBROS!A3:E"&amp;COUNTA('HISTÓRICO COBROS'!A:A)),5,FALSE)),"")</f>
        <v/>
      </c>
      <c r="F149" s="137" t="str">
        <f t="array" ref="F149">IF(A149="","",VLOOKUP(A149,INDIRECT("CXC!A2:I"&amp;COUNTA(CXC!A:A)),9,FALSE))</f>
        <v/>
      </c>
      <c r="G149" s="137" t="str">
        <f t="array" ref="G149">IFERROR(IF(A149="","",VLOOKUP(A149,INDIRECT("HISTÓRICO COBROS!A3:F"&amp;COUNTA('HISTÓRICO COBROS'!A:A)),6,FALSE)),"")</f>
        <v/>
      </c>
      <c r="H149" s="138" t="str">
        <f t="shared" ref="H149:I149" si="150">IF(D149="","",D149+F149)</f>
        <v/>
      </c>
      <c r="I149" s="135" t="str">
        <f t="shared" si="150"/>
        <v/>
      </c>
      <c r="J149" s="140" t="str">
        <f t="shared" si="3"/>
        <v/>
      </c>
      <c r="K149" s="140" t="str">
        <f t="shared" si="4"/>
        <v/>
      </c>
    </row>
    <row r="150" ht="22.5" customHeight="1">
      <c r="A150" s="140"/>
      <c r="B150" s="135" t="str">
        <f t="array" ref="B150">IF(A150="","",VLOOKUP(A150,INDIRECT("CXC!A2:B"&amp;COUNTA(CXC!A:A)),2,FALSE))</f>
        <v/>
      </c>
      <c r="C150" s="136" t="str">
        <f t="array" ref="C150">IF(A150="","",VLOOKUP(A150,INDIRECT("CXC!A2:C"&amp;COUNTA(CXC!A:A)),3,FALSE))</f>
        <v/>
      </c>
      <c r="D150" s="137" t="str">
        <f t="array" ref="D150">IF(A150="","",VLOOKUP(A150,INDIRECT("CXC!A2:H"&amp;COUNTA(CXC!A:A)),8,FALSE))</f>
        <v/>
      </c>
      <c r="E150" s="137" t="str">
        <f t="array" ref="E150">IFERROR(IF(A150="","",VLOOKUP(A150,INDIRECT("HISTÓRICO COBROS!A3:E"&amp;COUNTA('HISTÓRICO COBROS'!A:A)),5,FALSE)),"")</f>
        <v/>
      </c>
      <c r="F150" s="137" t="str">
        <f t="array" ref="F150">IF(A150="","",VLOOKUP(A150,INDIRECT("CXC!A2:I"&amp;COUNTA(CXC!A:A)),9,FALSE))</f>
        <v/>
      </c>
      <c r="G150" s="137" t="str">
        <f t="array" ref="G150">IFERROR(IF(A150="","",VLOOKUP(A150,INDIRECT("HISTÓRICO COBROS!A3:F"&amp;COUNTA('HISTÓRICO COBROS'!A:A)),6,FALSE)),"")</f>
        <v/>
      </c>
      <c r="H150" s="138" t="str">
        <f t="shared" ref="H150:I150" si="151">IF(D150="","",D150+F150)</f>
        <v/>
      </c>
      <c r="I150" s="135" t="str">
        <f t="shared" si="151"/>
        <v/>
      </c>
      <c r="J150" s="140" t="str">
        <f t="shared" si="3"/>
        <v/>
      </c>
      <c r="K150" s="140" t="str">
        <f t="shared" si="4"/>
        <v/>
      </c>
    </row>
    <row r="151" ht="22.5" customHeight="1">
      <c r="A151" s="140"/>
      <c r="B151" s="135" t="str">
        <f t="array" ref="B151">IF(A151="","",VLOOKUP(A151,INDIRECT("CXC!A2:B"&amp;COUNTA(CXC!A:A)),2,FALSE))</f>
        <v/>
      </c>
      <c r="C151" s="136" t="str">
        <f t="array" ref="C151">IF(A151="","",VLOOKUP(A151,INDIRECT("CXC!A2:C"&amp;COUNTA(CXC!A:A)),3,FALSE))</f>
        <v/>
      </c>
      <c r="D151" s="137" t="str">
        <f t="array" ref="D151">IF(A151="","",VLOOKUP(A151,INDIRECT("CXC!A2:H"&amp;COUNTA(CXC!A:A)),8,FALSE))</f>
        <v/>
      </c>
      <c r="E151" s="137" t="str">
        <f t="array" ref="E151">IFERROR(IF(A151="","",VLOOKUP(A151,INDIRECT("HISTÓRICO COBROS!A3:E"&amp;COUNTA('HISTÓRICO COBROS'!A:A)),5,FALSE)),"")</f>
        <v/>
      </c>
      <c r="F151" s="137" t="str">
        <f t="array" ref="F151">IF(A151="","",VLOOKUP(A151,INDIRECT("CXC!A2:I"&amp;COUNTA(CXC!A:A)),9,FALSE))</f>
        <v/>
      </c>
      <c r="G151" s="137" t="str">
        <f t="array" ref="G151">IFERROR(IF(A151="","",VLOOKUP(A151,INDIRECT("HISTÓRICO COBROS!A3:F"&amp;COUNTA('HISTÓRICO COBROS'!A:A)),6,FALSE)),"")</f>
        <v/>
      </c>
      <c r="H151" s="138" t="str">
        <f t="shared" ref="H151:I151" si="152">IF(D151="","",D151+F151)</f>
        <v/>
      </c>
      <c r="I151" s="135" t="str">
        <f t="shared" si="152"/>
        <v/>
      </c>
      <c r="J151" s="140" t="str">
        <f t="shared" si="3"/>
        <v/>
      </c>
      <c r="K151" s="140" t="str">
        <f t="shared" si="4"/>
        <v/>
      </c>
    </row>
    <row r="152" ht="22.5" customHeight="1">
      <c r="A152" s="140"/>
      <c r="B152" s="135" t="str">
        <f t="array" ref="B152">IF(A152="","",VLOOKUP(A152,INDIRECT("CXC!A2:B"&amp;COUNTA(CXC!A:A)),2,FALSE))</f>
        <v/>
      </c>
      <c r="C152" s="136" t="str">
        <f t="array" ref="C152">IF(A152="","",VLOOKUP(A152,INDIRECT("CXC!A2:C"&amp;COUNTA(CXC!A:A)),3,FALSE))</f>
        <v/>
      </c>
      <c r="D152" s="137" t="str">
        <f t="array" ref="D152">IF(A152="","",VLOOKUP(A152,INDIRECT("CXC!A2:H"&amp;COUNTA(CXC!A:A)),8,FALSE))</f>
        <v/>
      </c>
      <c r="E152" s="137" t="str">
        <f t="array" ref="E152">IFERROR(IF(A152="","",VLOOKUP(A152,INDIRECT("HISTÓRICO COBROS!A3:E"&amp;COUNTA('HISTÓRICO COBROS'!A:A)),5,FALSE)),"")</f>
        <v/>
      </c>
      <c r="F152" s="137" t="str">
        <f t="array" ref="F152">IF(A152="","",VLOOKUP(A152,INDIRECT("CXC!A2:I"&amp;COUNTA(CXC!A:A)),9,FALSE))</f>
        <v/>
      </c>
      <c r="G152" s="137" t="str">
        <f t="array" ref="G152">IFERROR(IF(A152="","",VLOOKUP(A152,INDIRECT("HISTÓRICO COBROS!A3:F"&amp;COUNTA('HISTÓRICO COBROS'!A:A)),6,FALSE)),"")</f>
        <v/>
      </c>
      <c r="H152" s="138" t="str">
        <f t="shared" ref="H152:I152" si="153">IF(D152="","",D152+F152)</f>
        <v/>
      </c>
      <c r="I152" s="135" t="str">
        <f t="shared" si="153"/>
        <v/>
      </c>
      <c r="J152" s="140" t="str">
        <f t="shared" si="3"/>
        <v/>
      </c>
      <c r="K152" s="140" t="str">
        <f t="shared" si="4"/>
        <v/>
      </c>
    </row>
    <row r="153" ht="22.5" customHeight="1">
      <c r="A153" s="140"/>
      <c r="B153" s="135" t="str">
        <f t="array" ref="B153">IF(A153="","",VLOOKUP(A153,INDIRECT("CXC!A2:B"&amp;COUNTA(CXC!A:A)),2,FALSE))</f>
        <v/>
      </c>
      <c r="C153" s="136" t="str">
        <f t="array" ref="C153">IF(A153="","",VLOOKUP(A153,INDIRECT("CXC!A2:C"&amp;COUNTA(CXC!A:A)),3,FALSE))</f>
        <v/>
      </c>
      <c r="D153" s="137" t="str">
        <f t="array" ref="D153">IF(A153="","",VLOOKUP(A153,INDIRECT("CXC!A2:H"&amp;COUNTA(CXC!A:A)),8,FALSE))</f>
        <v/>
      </c>
      <c r="E153" s="137" t="str">
        <f t="array" ref="E153">IFERROR(IF(A153="","",VLOOKUP(A153,INDIRECT("HISTÓRICO COBROS!A3:E"&amp;COUNTA('HISTÓRICO COBROS'!A:A)),5,FALSE)),"")</f>
        <v/>
      </c>
      <c r="F153" s="137" t="str">
        <f t="array" ref="F153">IF(A153="","",VLOOKUP(A153,INDIRECT("CXC!A2:I"&amp;COUNTA(CXC!A:A)),9,FALSE))</f>
        <v/>
      </c>
      <c r="G153" s="137" t="str">
        <f t="array" ref="G153">IFERROR(IF(A153="","",VLOOKUP(A153,INDIRECT("HISTÓRICO COBROS!A3:F"&amp;COUNTA('HISTÓRICO COBROS'!A:A)),6,FALSE)),"")</f>
        <v/>
      </c>
      <c r="H153" s="138" t="str">
        <f t="shared" ref="H153:I153" si="154">IF(D153="","",D153+F153)</f>
        <v/>
      </c>
      <c r="I153" s="135" t="str">
        <f t="shared" si="154"/>
        <v/>
      </c>
      <c r="J153" s="140" t="str">
        <f t="shared" si="3"/>
        <v/>
      </c>
      <c r="K153" s="140" t="str">
        <f t="shared" si="4"/>
        <v/>
      </c>
    </row>
    <row r="154" ht="22.5" customHeight="1">
      <c r="A154" s="140"/>
      <c r="B154" s="135" t="str">
        <f t="array" ref="B154">IF(A154="","",VLOOKUP(A154,INDIRECT("CXC!A2:B"&amp;COUNTA(CXC!A:A)),2,FALSE))</f>
        <v/>
      </c>
      <c r="C154" s="136" t="str">
        <f t="array" ref="C154">IF(A154="","",VLOOKUP(A154,INDIRECT("CXC!A2:C"&amp;COUNTA(CXC!A:A)),3,FALSE))</f>
        <v/>
      </c>
      <c r="D154" s="137" t="str">
        <f t="array" ref="D154">IF(A154="","",VLOOKUP(A154,INDIRECT("CXC!A2:H"&amp;COUNTA(CXC!A:A)),8,FALSE))</f>
        <v/>
      </c>
      <c r="E154" s="137" t="str">
        <f t="array" ref="E154">IFERROR(IF(A154="","",VLOOKUP(A154,INDIRECT("HISTÓRICO COBROS!A3:E"&amp;COUNTA('HISTÓRICO COBROS'!A:A)),5,FALSE)),"")</f>
        <v/>
      </c>
      <c r="F154" s="137" t="str">
        <f t="array" ref="F154">IF(A154="","",VLOOKUP(A154,INDIRECT("CXC!A2:I"&amp;COUNTA(CXC!A:A)),9,FALSE))</f>
        <v/>
      </c>
      <c r="G154" s="137" t="str">
        <f t="array" ref="G154">IFERROR(IF(A154="","",VLOOKUP(A154,INDIRECT("HISTÓRICO COBROS!A3:F"&amp;COUNTA('HISTÓRICO COBROS'!A:A)),6,FALSE)),"")</f>
        <v/>
      </c>
      <c r="H154" s="138" t="str">
        <f t="shared" ref="H154:I154" si="155">IF(D154="","",D154+F154)</f>
        <v/>
      </c>
      <c r="I154" s="135" t="str">
        <f t="shared" si="155"/>
        <v/>
      </c>
      <c r="J154" s="140" t="str">
        <f t="shared" si="3"/>
        <v/>
      </c>
      <c r="K154" s="140" t="str">
        <f t="shared" si="4"/>
        <v/>
      </c>
    </row>
    <row r="155" ht="22.5" customHeight="1">
      <c r="A155" s="140"/>
      <c r="B155" s="135" t="str">
        <f t="array" ref="B155">IF(A155="","",VLOOKUP(A155,INDIRECT("CXC!A2:B"&amp;COUNTA(CXC!A:A)),2,FALSE))</f>
        <v/>
      </c>
      <c r="C155" s="136" t="str">
        <f t="array" ref="C155">IF(A155="","",VLOOKUP(A155,INDIRECT("CXC!A2:C"&amp;COUNTA(CXC!A:A)),3,FALSE))</f>
        <v/>
      </c>
      <c r="D155" s="137" t="str">
        <f t="array" ref="D155">IF(A155="","",VLOOKUP(A155,INDIRECT("CXC!A2:H"&amp;COUNTA(CXC!A:A)),8,FALSE))</f>
        <v/>
      </c>
      <c r="E155" s="137" t="str">
        <f t="array" ref="E155">IFERROR(IF(A155="","",VLOOKUP(A155,INDIRECT("HISTÓRICO COBROS!A3:E"&amp;COUNTA('HISTÓRICO COBROS'!A:A)),5,FALSE)),"")</f>
        <v/>
      </c>
      <c r="F155" s="137" t="str">
        <f t="array" ref="F155">IF(A155="","",VLOOKUP(A155,INDIRECT("CXC!A2:I"&amp;COUNTA(CXC!A:A)),9,FALSE))</f>
        <v/>
      </c>
      <c r="G155" s="137" t="str">
        <f t="array" ref="G155">IFERROR(IF(A155="","",VLOOKUP(A155,INDIRECT("HISTÓRICO COBROS!A3:F"&amp;COUNTA('HISTÓRICO COBROS'!A:A)),6,FALSE)),"")</f>
        <v/>
      </c>
      <c r="H155" s="138" t="str">
        <f t="shared" ref="H155:I155" si="156">IF(D155="","",D155+F155)</f>
        <v/>
      </c>
      <c r="I155" s="135" t="str">
        <f t="shared" si="156"/>
        <v/>
      </c>
      <c r="J155" s="140" t="str">
        <f t="shared" si="3"/>
        <v/>
      </c>
      <c r="K155" s="140" t="str">
        <f t="shared" si="4"/>
        <v/>
      </c>
    </row>
    <row r="156" ht="22.5" customHeight="1">
      <c r="A156" s="140"/>
      <c r="B156" s="135" t="str">
        <f t="array" ref="B156">IF(A156="","",VLOOKUP(A156,INDIRECT("CXC!A2:B"&amp;COUNTA(CXC!A:A)),2,FALSE))</f>
        <v/>
      </c>
      <c r="C156" s="136" t="str">
        <f t="array" ref="C156">IF(A156="","",VLOOKUP(A156,INDIRECT("CXC!A2:C"&amp;COUNTA(CXC!A:A)),3,FALSE))</f>
        <v/>
      </c>
      <c r="D156" s="137" t="str">
        <f t="array" ref="D156">IF(A156="","",VLOOKUP(A156,INDIRECT("CXC!A2:H"&amp;COUNTA(CXC!A:A)),8,FALSE))</f>
        <v/>
      </c>
      <c r="E156" s="137" t="str">
        <f t="array" ref="E156">IFERROR(IF(A156="","",VLOOKUP(A156,INDIRECT("HISTÓRICO COBROS!A3:E"&amp;COUNTA('HISTÓRICO COBROS'!A:A)),5,FALSE)),"")</f>
        <v/>
      </c>
      <c r="F156" s="137" t="str">
        <f t="array" ref="F156">IF(A156="","",VLOOKUP(A156,INDIRECT("CXC!A2:I"&amp;COUNTA(CXC!A:A)),9,FALSE))</f>
        <v/>
      </c>
      <c r="G156" s="137" t="str">
        <f t="array" ref="G156">IFERROR(IF(A156="","",VLOOKUP(A156,INDIRECT("HISTÓRICO COBROS!A3:F"&amp;COUNTA('HISTÓRICO COBROS'!A:A)),6,FALSE)),"")</f>
        <v/>
      </c>
      <c r="H156" s="138" t="str">
        <f t="shared" ref="H156:I156" si="157">IF(D156="","",D156+F156)</f>
        <v/>
      </c>
      <c r="I156" s="135" t="str">
        <f t="shared" si="157"/>
        <v/>
      </c>
      <c r="J156" s="140" t="str">
        <f t="shared" si="3"/>
        <v/>
      </c>
      <c r="K156" s="140" t="str">
        <f t="shared" si="4"/>
        <v/>
      </c>
    </row>
    <row r="157" ht="22.5" customHeight="1">
      <c r="A157" s="140"/>
      <c r="B157" s="135" t="str">
        <f t="array" ref="B157">IF(A157="","",VLOOKUP(A157,INDIRECT("CXC!A2:B"&amp;COUNTA(CXC!A:A)),2,FALSE))</f>
        <v/>
      </c>
      <c r="C157" s="136" t="str">
        <f t="array" ref="C157">IF(A157="","",VLOOKUP(A157,INDIRECT("CXC!A2:C"&amp;COUNTA(CXC!A:A)),3,FALSE))</f>
        <v/>
      </c>
      <c r="D157" s="137" t="str">
        <f t="array" ref="D157">IF(A157="","",VLOOKUP(A157,INDIRECT("CXC!A2:H"&amp;COUNTA(CXC!A:A)),8,FALSE))</f>
        <v/>
      </c>
      <c r="E157" s="137" t="str">
        <f t="array" ref="E157">IFERROR(IF(A157="","",VLOOKUP(A157,INDIRECT("HISTÓRICO COBROS!A3:E"&amp;COUNTA('HISTÓRICO COBROS'!A:A)),5,FALSE)),"")</f>
        <v/>
      </c>
      <c r="F157" s="137" t="str">
        <f t="array" ref="F157">IF(A157="","",VLOOKUP(A157,INDIRECT("CXC!A2:I"&amp;COUNTA(CXC!A:A)),9,FALSE))</f>
        <v/>
      </c>
      <c r="G157" s="137" t="str">
        <f t="array" ref="G157">IFERROR(IF(A157="","",VLOOKUP(A157,INDIRECT("HISTÓRICO COBROS!A3:F"&amp;COUNTA('HISTÓRICO COBROS'!A:A)),6,FALSE)),"")</f>
        <v/>
      </c>
      <c r="H157" s="138" t="str">
        <f t="shared" ref="H157:I157" si="158">IF(D157="","",D157+F157)</f>
        <v/>
      </c>
      <c r="I157" s="135" t="str">
        <f t="shared" si="158"/>
        <v/>
      </c>
      <c r="J157" s="140" t="str">
        <f t="shared" si="3"/>
        <v/>
      </c>
      <c r="K157" s="140" t="str">
        <f t="shared" si="4"/>
        <v/>
      </c>
    </row>
    <row r="158" ht="22.5" customHeight="1">
      <c r="A158" s="140"/>
      <c r="B158" s="135" t="str">
        <f t="array" ref="B158">IF(A158="","",VLOOKUP(A158,INDIRECT("CXC!A2:B"&amp;COUNTA(CXC!A:A)),2,FALSE))</f>
        <v/>
      </c>
      <c r="C158" s="136" t="str">
        <f t="array" ref="C158">IF(A158="","",VLOOKUP(A158,INDIRECT("CXC!A2:C"&amp;COUNTA(CXC!A:A)),3,FALSE))</f>
        <v/>
      </c>
      <c r="D158" s="137" t="str">
        <f t="array" ref="D158">IF(A158="","",VLOOKUP(A158,INDIRECT("CXC!A2:H"&amp;COUNTA(CXC!A:A)),8,FALSE))</f>
        <v/>
      </c>
      <c r="E158" s="137" t="str">
        <f t="array" ref="E158">IFERROR(IF(A158="","",VLOOKUP(A158,INDIRECT("HISTÓRICO COBROS!A3:E"&amp;COUNTA('HISTÓRICO COBROS'!A:A)),5,FALSE)),"")</f>
        <v/>
      </c>
      <c r="F158" s="137" t="str">
        <f t="array" ref="F158">IF(A158="","",VLOOKUP(A158,INDIRECT("CXC!A2:I"&amp;COUNTA(CXC!A:A)),9,FALSE))</f>
        <v/>
      </c>
      <c r="G158" s="137" t="str">
        <f t="array" ref="G158">IFERROR(IF(A158="","",VLOOKUP(A158,INDIRECT("HISTÓRICO COBROS!A3:F"&amp;COUNTA('HISTÓRICO COBROS'!A:A)),6,FALSE)),"")</f>
        <v/>
      </c>
      <c r="H158" s="138" t="str">
        <f t="shared" ref="H158:I158" si="159">IF(D158="","",D158+F158)</f>
        <v/>
      </c>
      <c r="I158" s="135" t="str">
        <f t="shared" si="159"/>
        <v/>
      </c>
      <c r="J158" s="140" t="str">
        <f t="shared" si="3"/>
        <v/>
      </c>
      <c r="K158" s="140" t="str">
        <f t="shared" si="4"/>
        <v/>
      </c>
    </row>
    <row r="159" ht="22.5" customHeight="1">
      <c r="A159" s="140"/>
      <c r="B159" s="135" t="str">
        <f t="array" ref="B159">IF(A159="","",VLOOKUP(A159,INDIRECT("CXC!A2:B"&amp;COUNTA(CXC!A:A)),2,FALSE))</f>
        <v/>
      </c>
      <c r="C159" s="136" t="str">
        <f t="array" ref="C159">IF(A159="","",VLOOKUP(A159,INDIRECT("CXC!A2:C"&amp;COUNTA(CXC!A:A)),3,FALSE))</f>
        <v/>
      </c>
      <c r="D159" s="137" t="str">
        <f t="array" ref="D159">IF(A159="","",VLOOKUP(A159,INDIRECT("CXC!A2:H"&amp;COUNTA(CXC!A:A)),8,FALSE))</f>
        <v/>
      </c>
      <c r="E159" s="137" t="str">
        <f t="array" ref="E159">IFERROR(IF(A159="","",VLOOKUP(A159,INDIRECT("HISTÓRICO COBROS!A3:E"&amp;COUNTA('HISTÓRICO COBROS'!A:A)),5,FALSE)),"")</f>
        <v/>
      </c>
      <c r="F159" s="137" t="str">
        <f t="array" ref="F159">IF(A159="","",VLOOKUP(A159,INDIRECT("CXC!A2:I"&amp;COUNTA(CXC!A:A)),9,FALSE))</f>
        <v/>
      </c>
      <c r="G159" s="137" t="str">
        <f t="array" ref="G159">IFERROR(IF(A159="","",VLOOKUP(A159,INDIRECT("HISTÓRICO COBROS!A3:F"&amp;COUNTA('HISTÓRICO COBROS'!A:A)),6,FALSE)),"")</f>
        <v/>
      </c>
      <c r="H159" s="138" t="str">
        <f t="shared" ref="H159:I159" si="160">IF(D159="","",D159+F159)</f>
        <v/>
      </c>
      <c r="I159" s="135" t="str">
        <f t="shared" si="160"/>
        <v/>
      </c>
      <c r="J159" s="140" t="str">
        <f t="shared" si="3"/>
        <v/>
      </c>
      <c r="K159" s="140" t="str">
        <f t="shared" si="4"/>
        <v/>
      </c>
    </row>
    <row r="160" ht="22.5" customHeight="1">
      <c r="A160" s="140"/>
      <c r="B160" s="135" t="str">
        <f t="array" ref="B160">IF(A160="","",VLOOKUP(A160,INDIRECT("CXC!A2:B"&amp;COUNTA(CXC!A:A)),2,FALSE))</f>
        <v/>
      </c>
      <c r="C160" s="136" t="str">
        <f t="array" ref="C160">IF(A160="","",VLOOKUP(A160,INDIRECT("CXC!A2:C"&amp;COUNTA(CXC!A:A)),3,FALSE))</f>
        <v/>
      </c>
      <c r="D160" s="137" t="str">
        <f t="array" ref="D160">IF(A160="","",VLOOKUP(A160,INDIRECT("CXC!A2:H"&amp;COUNTA(CXC!A:A)),8,FALSE))</f>
        <v/>
      </c>
      <c r="E160" s="137" t="str">
        <f t="array" ref="E160">IFERROR(IF(A160="","",VLOOKUP(A160,INDIRECT("HISTÓRICO COBROS!A3:E"&amp;COUNTA('HISTÓRICO COBROS'!A:A)),5,FALSE)),"")</f>
        <v/>
      </c>
      <c r="F160" s="137" t="str">
        <f t="array" ref="F160">IF(A160="","",VLOOKUP(A160,INDIRECT("CXC!A2:I"&amp;COUNTA(CXC!A:A)),9,FALSE))</f>
        <v/>
      </c>
      <c r="G160" s="137" t="str">
        <f t="array" ref="G160">IFERROR(IF(A160="","",VLOOKUP(A160,INDIRECT("HISTÓRICO COBROS!A3:F"&amp;COUNTA('HISTÓRICO COBROS'!A:A)),6,FALSE)),"")</f>
        <v/>
      </c>
      <c r="H160" s="138" t="str">
        <f t="shared" ref="H160:I160" si="161">IF(D160="","",D160+F160)</f>
        <v/>
      </c>
      <c r="I160" s="135" t="str">
        <f t="shared" si="161"/>
        <v/>
      </c>
      <c r="J160" s="140" t="str">
        <f t="shared" si="3"/>
        <v/>
      </c>
      <c r="K160" s="140" t="str">
        <f t="shared" si="4"/>
        <v/>
      </c>
    </row>
    <row r="161" ht="22.5" customHeight="1">
      <c r="A161" s="140"/>
      <c r="B161" s="135" t="str">
        <f t="array" ref="B161">IF(A161="","",VLOOKUP(A161,INDIRECT("CXC!A2:B"&amp;COUNTA(CXC!A:A)),2,FALSE))</f>
        <v/>
      </c>
      <c r="C161" s="136" t="str">
        <f t="array" ref="C161">IF(A161="","",VLOOKUP(A161,INDIRECT("CXC!A2:C"&amp;COUNTA(CXC!A:A)),3,FALSE))</f>
        <v/>
      </c>
      <c r="D161" s="137" t="str">
        <f t="array" ref="D161">IF(A161="","",VLOOKUP(A161,INDIRECT("CXC!A2:H"&amp;COUNTA(CXC!A:A)),8,FALSE))</f>
        <v/>
      </c>
      <c r="E161" s="137" t="str">
        <f t="array" ref="E161">IFERROR(IF(A161="","",VLOOKUP(A161,INDIRECT("HISTÓRICO COBROS!A3:E"&amp;COUNTA('HISTÓRICO COBROS'!A:A)),5,FALSE)),"")</f>
        <v/>
      </c>
      <c r="F161" s="137" t="str">
        <f t="array" ref="F161">IF(A161="","",VLOOKUP(A161,INDIRECT("CXC!A2:I"&amp;COUNTA(CXC!A:A)),9,FALSE))</f>
        <v/>
      </c>
      <c r="G161" s="137" t="str">
        <f t="array" ref="G161">IFERROR(IF(A161="","",VLOOKUP(A161,INDIRECT("HISTÓRICO COBROS!A3:F"&amp;COUNTA('HISTÓRICO COBROS'!A:A)),6,FALSE)),"")</f>
        <v/>
      </c>
      <c r="H161" s="138" t="str">
        <f t="shared" ref="H161:I161" si="162">IF(D161="","",D161+F161)</f>
        <v/>
      </c>
      <c r="I161" s="135" t="str">
        <f t="shared" si="162"/>
        <v/>
      </c>
      <c r="J161" s="140" t="str">
        <f t="shared" si="3"/>
        <v/>
      </c>
      <c r="K161" s="140" t="str">
        <f t="shared" si="4"/>
        <v/>
      </c>
    </row>
    <row r="162" ht="22.5" customHeight="1">
      <c r="A162" s="140"/>
      <c r="B162" s="135" t="str">
        <f t="array" ref="B162">IF(A162="","",VLOOKUP(A162,INDIRECT("CXC!A2:B"&amp;COUNTA(CXC!A:A)),2,FALSE))</f>
        <v/>
      </c>
      <c r="C162" s="136" t="str">
        <f t="array" ref="C162">IF(A162="","",VLOOKUP(A162,INDIRECT("CXC!A2:C"&amp;COUNTA(CXC!A:A)),3,FALSE))</f>
        <v/>
      </c>
      <c r="D162" s="137" t="str">
        <f t="array" ref="D162">IF(A162="","",VLOOKUP(A162,INDIRECT("CXC!A2:H"&amp;COUNTA(CXC!A:A)),8,FALSE))</f>
        <v/>
      </c>
      <c r="E162" s="137" t="str">
        <f t="array" ref="E162">IFERROR(IF(A162="","",VLOOKUP(A162,INDIRECT("HISTÓRICO COBROS!A3:E"&amp;COUNTA('HISTÓRICO COBROS'!A:A)),5,FALSE)),"")</f>
        <v/>
      </c>
      <c r="F162" s="137" t="str">
        <f t="array" ref="F162">IF(A162="","",VLOOKUP(A162,INDIRECT("CXC!A2:I"&amp;COUNTA(CXC!A:A)),9,FALSE))</f>
        <v/>
      </c>
      <c r="G162" s="137" t="str">
        <f t="array" ref="G162">IFERROR(IF(A162="","",VLOOKUP(A162,INDIRECT("HISTÓRICO COBROS!A3:F"&amp;COUNTA('HISTÓRICO COBROS'!A:A)),6,FALSE)),"")</f>
        <v/>
      </c>
      <c r="H162" s="138" t="str">
        <f t="shared" ref="H162:I162" si="163">IF(D162="","",D162+F162)</f>
        <v/>
      </c>
      <c r="I162" s="135" t="str">
        <f t="shared" si="163"/>
        <v/>
      </c>
      <c r="J162" s="140" t="str">
        <f t="shared" si="3"/>
        <v/>
      </c>
      <c r="K162" s="140" t="str">
        <f t="shared" si="4"/>
        <v/>
      </c>
    </row>
    <row r="163" ht="22.5" customHeight="1">
      <c r="A163" s="140"/>
      <c r="B163" s="135" t="str">
        <f t="array" ref="B163">IF(A163="","",VLOOKUP(A163,INDIRECT("CXC!A2:B"&amp;COUNTA(CXC!A:A)),2,FALSE))</f>
        <v/>
      </c>
      <c r="C163" s="136" t="str">
        <f t="array" ref="C163">IF(A163="","",VLOOKUP(A163,INDIRECT("CXC!A2:C"&amp;COUNTA(CXC!A:A)),3,FALSE))</f>
        <v/>
      </c>
      <c r="D163" s="137" t="str">
        <f t="array" ref="D163">IF(A163="","",VLOOKUP(A163,INDIRECT("CXC!A2:H"&amp;COUNTA(CXC!A:A)),8,FALSE))</f>
        <v/>
      </c>
      <c r="E163" s="137" t="str">
        <f t="array" ref="E163">IFERROR(IF(A163="","",VLOOKUP(A163,INDIRECT("HISTÓRICO COBROS!A3:E"&amp;COUNTA('HISTÓRICO COBROS'!A:A)),5,FALSE)),"")</f>
        <v/>
      </c>
      <c r="F163" s="137" t="str">
        <f t="array" ref="F163">IF(A163="","",VLOOKUP(A163,INDIRECT("CXC!A2:I"&amp;COUNTA(CXC!A:A)),9,FALSE))</f>
        <v/>
      </c>
      <c r="G163" s="137" t="str">
        <f t="array" ref="G163">IFERROR(IF(A163="","",VLOOKUP(A163,INDIRECT("HISTÓRICO COBROS!A3:F"&amp;COUNTA('HISTÓRICO COBROS'!A:A)),6,FALSE)),"")</f>
        <v/>
      </c>
      <c r="H163" s="138" t="str">
        <f t="shared" ref="H163:I163" si="164">IF(D163="","",D163+F163)</f>
        <v/>
      </c>
      <c r="I163" s="135" t="str">
        <f t="shared" si="164"/>
        <v/>
      </c>
      <c r="J163" s="140" t="str">
        <f t="shared" si="3"/>
        <v/>
      </c>
      <c r="K163" s="140" t="str">
        <f t="shared" si="4"/>
        <v/>
      </c>
    </row>
    <row r="164" ht="22.5" customHeight="1">
      <c r="A164" s="140"/>
      <c r="B164" s="135" t="str">
        <f t="array" ref="B164">IF(A164="","",VLOOKUP(A164,INDIRECT("CXC!A2:B"&amp;COUNTA(CXC!A:A)),2,FALSE))</f>
        <v/>
      </c>
      <c r="C164" s="136" t="str">
        <f t="array" ref="C164">IF(A164="","",VLOOKUP(A164,INDIRECT("CXC!A2:C"&amp;COUNTA(CXC!A:A)),3,FALSE))</f>
        <v/>
      </c>
      <c r="D164" s="137" t="str">
        <f t="array" ref="D164">IF(A164="","",VLOOKUP(A164,INDIRECT("CXC!A2:H"&amp;COUNTA(CXC!A:A)),8,FALSE))</f>
        <v/>
      </c>
      <c r="E164" s="137" t="str">
        <f t="array" ref="E164">IFERROR(IF(A164="","",VLOOKUP(A164,INDIRECT("HISTÓRICO COBROS!A3:E"&amp;COUNTA('HISTÓRICO COBROS'!A:A)),5,FALSE)),"")</f>
        <v/>
      </c>
      <c r="F164" s="137" t="str">
        <f t="array" ref="F164">IF(A164="","",VLOOKUP(A164,INDIRECT("CXC!A2:I"&amp;COUNTA(CXC!A:A)),9,FALSE))</f>
        <v/>
      </c>
      <c r="G164" s="137" t="str">
        <f t="array" ref="G164">IFERROR(IF(A164="","",VLOOKUP(A164,INDIRECT("HISTÓRICO COBROS!A3:F"&amp;COUNTA('HISTÓRICO COBROS'!A:A)),6,FALSE)),"")</f>
        <v/>
      </c>
      <c r="H164" s="138" t="str">
        <f t="shared" ref="H164:I164" si="165">IF(D164="","",D164+F164)</f>
        <v/>
      </c>
      <c r="I164" s="135" t="str">
        <f t="shared" si="165"/>
        <v/>
      </c>
      <c r="J164" s="140" t="str">
        <f t="shared" si="3"/>
        <v/>
      </c>
      <c r="K164" s="140" t="str">
        <f t="shared" si="4"/>
        <v/>
      </c>
    </row>
    <row r="165" ht="22.5" customHeight="1">
      <c r="A165" s="140"/>
      <c r="B165" s="135" t="str">
        <f t="array" ref="B165">IF(A165="","",VLOOKUP(A165,INDIRECT("CXC!A2:B"&amp;COUNTA(CXC!A:A)),2,FALSE))</f>
        <v/>
      </c>
      <c r="C165" s="136" t="str">
        <f t="array" ref="C165">IF(A165="","",VLOOKUP(A165,INDIRECT("CXC!A2:C"&amp;COUNTA(CXC!A:A)),3,FALSE))</f>
        <v/>
      </c>
      <c r="D165" s="137" t="str">
        <f t="array" ref="D165">IF(A165="","",VLOOKUP(A165,INDIRECT("CXC!A2:H"&amp;COUNTA(CXC!A:A)),8,FALSE))</f>
        <v/>
      </c>
      <c r="E165" s="137" t="str">
        <f t="array" ref="E165">IFERROR(IF(A165="","",VLOOKUP(A165,INDIRECT("HISTÓRICO COBROS!A3:E"&amp;COUNTA('HISTÓRICO COBROS'!A:A)),5,FALSE)),"")</f>
        <v/>
      </c>
      <c r="F165" s="137" t="str">
        <f t="array" ref="F165">IF(A165="","",VLOOKUP(A165,INDIRECT("CXC!A2:I"&amp;COUNTA(CXC!A:A)),9,FALSE))</f>
        <v/>
      </c>
      <c r="G165" s="137" t="str">
        <f t="array" ref="G165">IFERROR(IF(A165="","",VLOOKUP(A165,INDIRECT("HISTÓRICO COBROS!A3:F"&amp;COUNTA('HISTÓRICO COBROS'!A:A)),6,FALSE)),"")</f>
        <v/>
      </c>
      <c r="H165" s="138" t="str">
        <f t="shared" ref="H165:I165" si="166">IF(D165="","",D165+F165)</f>
        <v/>
      </c>
      <c r="I165" s="135" t="str">
        <f t="shared" si="166"/>
        <v/>
      </c>
      <c r="J165" s="140" t="str">
        <f t="shared" si="3"/>
        <v/>
      </c>
      <c r="K165" s="140" t="str">
        <f t="shared" si="4"/>
        <v/>
      </c>
    </row>
    <row r="166" ht="22.5" customHeight="1">
      <c r="A166" s="140"/>
      <c r="B166" s="135" t="str">
        <f t="array" ref="B166">IF(A166="","",VLOOKUP(A166,INDIRECT("CXC!A2:B"&amp;COUNTA(CXC!A:A)),2,FALSE))</f>
        <v/>
      </c>
      <c r="C166" s="136" t="str">
        <f t="array" ref="C166">IF(A166="","",VLOOKUP(A166,INDIRECT("CXC!A2:C"&amp;COUNTA(CXC!A:A)),3,FALSE))</f>
        <v/>
      </c>
      <c r="D166" s="137" t="str">
        <f t="array" ref="D166">IF(A166="","",VLOOKUP(A166,INDIRECT("CXC!A2:H"&amp;COUNTA(CXC!A:A)),8,FALSE))</f>
        <v/>
      </c>
      <c r="E166" s="137" t="str">
        <f t="array" ref="E166">IFERROR(IF(A166="","",VLOOKUP(A166,INDIRECT("HISTÓRICO COBROS!A3:E"&amp;COUNTA('HISTÓRICO COBROS'!A:A)),5,FALSE)),"")</f>
        <v/>
      </c>
      <c r="F166" s="137" t="str">
        <f t="array" ref="F166">IF(A166="","",VLOOKUP(A166,INDIRECT("CXC!A2:I"&amp;COUNTA(CXC!A:A)),9,FALSE))</f>
        <v/>
      </c>
      <c r="G166" s="137" t="str">
        <f t="array" ref="G166">IFERROR(IF(A166="","",VLOOKUP(A166,INDIRECT("HISTÓRICO COBROS!A3:F"&amp;COUNTA('HISTÓRICO COBROS'!A:A)),6,FALSE)),"")</f>
        <v/>
      </c>
      <c r="H166" s="138" t="str">
        <f t="shared" ref="H166:I166" si="167">IF(D166="","",D166+F166)</f>
        <v/>
      </c>
      <c r="I166" s="135" t="str">
        <f t="shared" si="167"/>
        <v/>
      </c>
      <c r="J166" s="140" t="str">
        <f t="shared" si="3"/>
        <v/>
      </c>
      <c r="K166" s="140" t="str">
        <f t="shared" si="4"/>
        <v/>
      </c>
    </row>
    <row r="167" ht="22.5" customHeight="1">
      <c r="A167" s="140"/>
      <c r="B167" s="135" t="str">
        <f t="array" ref="B167">IF(A167="","",VLOOKUP(A167,INDIRECT("CXC!A2:B"&amp;COUNTA(CXC!A:A)),2,FALSE))</f>
        <v/>
      </c>
      <c r="C167" s="136" t="str">
        <f t="array" ref="C167">IF(A167="","",VLOOKUP(A167,INDIRECT("CXC!A2:C"&amp;COUNTA(CXC!A:A)),3,FALSE))</f>
        <v/>
      </c>
      <c r="D167" s="137" t="str">
        <f t="array" ref="D167">IF(A167="","",VLOOKUP(A167,INDIRECT("CXC!A2:H"&amp;COUNTA(CXC!A:A)),8,FALSE))</f>
        <v/>
      </c>
      <c r="E167" s="137" t="str">
        <f t="array" ref="E167">IFERROR(IF(A167="","",VLOOKUP(A167,INDIRECT("HISTÓRICO COBROS!A3:E"&amp;COUNTA('HISTÓRICO COBROS'!A:A)),5,FALSE)),"")</f>
        <v/>
      </c>
      <c r="F167" s="137" t="str">
        <f t="array" ref="F167">IF(A167="","",VLOOKUP(A167,INDIRECT("CXC!A2:I"&amp;COUNTA(CXC!A:A)),9,FALSE))</f>
        <v/>
      </c>
      <c r="G167" s="137" t="str">
        <f t="array" ref="G167">IFERROR(IF(A167="","",VLOOKUP(A167,INDIRECT("HISTÓRICO COBROS!A3:F"&amp;COUNTA('HISTÓRICO COBROS'!A:A)),6,FALSE)),"")</f>
        <v/>
      </c>
      <c r="H167" s="138" t="str">
        <f t="shared" ref="H167:I167" si="168">IF(D167="","",D167+F167)</f>
        <v/>
      </c>
      <c r="I167" s="135" t="str">
        <f t="shared" si="168"/>
        <v/>
      </c>
      <c r="J167" s="140" t="str">
        <f t="shared" si="3"/>
        <v/>
      </c>
      <c r="K167" s="140" t="str">
        <f t="shared" si="4"/>
        <v/>
      </c>
    </row>
    <row r="168" ht="22.5" customHeight="1">
      <c r="A168" s="140"/>
      <c r="B168" s="135" t="str">
        <f t="array" ref="B168">IF(A168="","",VLOOKUP(A168,INDIRECT("CXC!A2:B"&amp;COUNTA(CXC!A:A)),2,FALSE))</f>
        <v/>
      </c>
      <c r="C168" s="136" t="str">
        <f t="array" ref="C168">IF(A168="","",VLOOKUP(A168,INDIRECT("CXC!A2:C"&amp;COUNTA(CXC!A:A)),3,FALSE))</f>
        <v/>
      </c>
      <c r="D168" s="137" t="str">
        <f t="array" ref="D168">IF(A168="","",VLOOKUP(A168,INDIRECT("CXC!A2:H"&amp;COUNTA(CXC!A:A)),8,FALSE))</f>
        <v/>
      </c>
      <c r="E168" s="137" t="str">
        <f t="array" ref="E168">IFERROR(IF(A168="","",VLOOKUP(A168,INDIRECT("HISTÓRICO COBROS!A3:E"&amp;COUNTA('HISTÓRICO COBROS'!A:A)),5,FALSE)),"")</f>
        <v/>
      </c>
      <c r="F168" s="137" t="str">
        <f t="array" ref="F168">IF(A168="","",VLOOKUP(A168,INDIRECT("CXC!A2:I"&amp;COUNTA(CXC!A:A)),9,FALSE))</f>
        <v/>
      </c>
      <c r="G168" s="137" t="str">
        <f t="array" ref="G168">IFERROR(IF(A168="","",VLOOKUP(A168,INDIRECT("HISTÓRICO COBROS!A3:F"&amp;COUNTA('HISTÓRICO COBROS'!A:A)),6,FALSE)),"")</f>
        <v/>
      </c>
      <c r="H168" s="138" t="str">
        <f t="shared" ref="H168:I168" si="169">IF(D168="","",D168+F168)</f>
        <v/>
      </c>
      <c r="I168" s="135" t="str">
        <f t="shared" si="169"/>
        <v/>
      </c>
      <c r="J168" s="140" t="str">
        <f t="shared" si="3"/>
        <v/>
      </c>
      <c r="K168" s="140" t="str">
        <f t="shared" si="4"/>
        <v/>
      </c>
    </row>
    <row r="169" ht="22.5" customHeight="1">
      <c r="A169" s="140"/>
      <c r="B169" s="135" t="str">
        <f t="array" ref="B169">IF(A169="","",VLOOKUP(A169,INDIRECT("CXC!A2:B"&amp;COUNTA(CXC!A:A)),2,FALSE))</f>
        <v/>
      </c>
      <c r="C169" s="136" t="str">
        <f t="array" ref="C169">IF(A169="","",VLOOKUP(A169,INDIRECT("CXC!A2:C"&amp;COUNTA(CXC!A:A)),3,FALSE))</f>
        <v/>
      </c>
      <c r="D169" s="137" t="str">
        <f t="array" ref="D169">IF(A169="","",VLOOKUP(A169,INDIRECT("CXC!A2:H"&amp;COUNTA(CXC!A:A)),8,FALSE))</f>
        <v/>
      </c>
      <c r="E169" s="137" t="str">
        <f t="array" ref="E169">IFERROR(IF(A169="","",VLOOKUP(A169,INDIRECT("HISTÓRICO COBROS!A3:E"&amp;COUNTA('HISTÓRICO COBROS'!A:A)),5,FALSE)),"")</f>
        <v/>
      </c>
      <c r="F169" s="137" t="str">
        <f t="array" ref="F169">IF(A169="","",VLOOKUP(A169,INDIRECT("CXC!A2:I"&amp;COUNTA(CXC!A:A)),9,FALSE))</f>
        <v/>
      </c>
      <c r="G169" s="137" t="str">
        <f t="array" ref="G169">IFERROR(IF(A169="","",VLOOKUP(A169,INDIRECT("HISTÓRICO COBROS!A3:F"&amp;COUNTA('HISTÓRICO COBROS'!A:A)),6,FALSE)),"")</f>
        <v/>
      </c>
      <c r="H169" s="138" t="str">
        <f t="shared" ref="H169:I169" si="170">IF(D169="","",D169+F169)</f>
        <v/>
      </c>
      <c r="I169" s="135" t="str">
        <f t="shared" si="170"/>
        <v/>
      </c>
      <c r="J169" s="140" t="str">
        <f t="shared" si="3"/>
        <v/>
      </c>
      <c r="K169" s="140" t="str">
        <f t="shared" si="4"/>
        <v/>
      </c>
    </row>
    <row r="170" ht="22.5" customHeight="1">
      <c r="A170" s="140"/>
      <c r="B170" s="135" t="str">
        <f t="array" ref="B170">IF(A170="","",VLOOKUP(A170,INDIRECT("CXC!A2:B"&amp;COUNTA(CXC!A:A)),2,FALSE))</f>
        <v/>
      </c>
      <c r="C170" s="136" t="str">
        <f t="array" ref="C170">IF(A170="","",VLOOKUP(A170,INDIRECT("CXC!A2:C"&amp;COUNTA(CXC!A:A)),3,FALSE))</f>
        <v/>
      </c>
      <c r="D170" s="137" t="str">
        <f t="array" ref="D170">IF(A170="","",VLOOKUP(A170,INDIRECT("CXC!A2:H"&amp;COUNTA(CXC!A:A)),8,FALSE))</f>
        <v/>
      </c>
      <c r="E170" s="137" t="str">
        <f t="array" ref="E170">IFERROR(IF(A170="","",VLOOKUP(A170,INDIRECT("HISTÓRICO COBROS!A3:E"&amp;COUNTA('HISTÓRICO COBROS'!A:A)),5,FALSE)),"")</f>
        <v/>
      </c>
      <c r="F170" s="137" t="str">
        <f t="array" ref="F170">IF(A170="","",VLOOKUP(A170,INDIRECT("CXC!A2:I"&amp;COUNTA(CXC!A:A)),9,FALSE))</f>
        <v/>
      </c>
      <c r="G170" s="137" t="str">
        <f t="array" ref="G170">IFERROR(IF(A170="","",VLOOKUP(A170,INDIRECT("HISTÓRICO COBROS!A3:F"&amp;COUNTA('HISTÓRICO COBROS'!A:A)),6,FALSE)),"")</f>
        <v/>
      </c>
      <c r="H170" s="138" t="str">
        <f t="shared" ref="H170:I170" si="171">IF(D170="","",D170+F170)</f>
        <v/>
      </c>
      <c r="I170" s="135" t="str">
        <f t="shared" si="171"/>
        <v/>
      </c>
      <c r="J170" s="140" t="str">
        <f t="shared" si="3"/>
        <v/>
      </c>
      <c r="K170" s="140" t="str">
        <f t="shared" si="4"/>
        <v/>
      </c>
    </row>
    <row r="171" ht="22.5" customHeight="1">
      <c r="A171" s="140"/>
      <c r="B171" s="135" t="str">
        <f t="array" ref="B171">IF(A171="","",VLOOKUP(A171,INDIRECT("CXC!A2:B"&amp;COUNTA(CXC!A:A)),2,FALSE))</f>
        <v/>
      </c>
      <c r="C171" s="136" t="str">
        <f t="array" ref="C171">IF(A171="","",VLOOKUP(A171,INDIRECT("CXC!A2:C"&amp;COUNTA(CXC!A:A)),3,FALSE))</f>
        <v/>
      </c>
      <c r="D171" s="137" t="str">
        <f t="array" ref="D171">IF(A171="","",VLOOKUP(A171,INDIRECT("CXC!A2:H"&amp;COUNTA(CXC!A:A)),8,FALSE))</f>
        <v/>
      </c>
      <c r="E171" s="137" t="str">
        <f t="array" ref="E171">IFERROR(IF(A171="","",VLOOKUP(A171,INDIRECT("HISTÓRICO COBROS!A3:E"&amp;COUNTA('HISTÓRICO COBROS'!A:A)),5,FALSE)),"")</f>
        <v/>
      </c>
      <c r="F171" s="137" t="str">
        <f t="array" ref="F171">IF(A171="","",VLOOKUP(A171,INDIRECT("CXC!A2:I"&amp;COUNTA(CXC!A:A)),9,FALSE))</f>
        <v/>
      </c>
      <c r="G171" s="137" t="str">
        <f t="array" ref="G171">IFERROR(IF(A171="","",VLOOKUP(A171,INDIRECT("HISTÓRICO COBROS!A3:F"&amp;COUNTA('HISTÓRICO COBROS'!A:A)),6,FALSE)),"")</f>
        <v/>
      </c>
      <c r="H171" s="138" t="str">
        <f t="shared" ref="H171:I171" si="172">IF(D171="","",D171+F171)</f>
        <v/>
      </c>
      <c r="I171" s="135" t="str">
        <f t="shared" si="172"/>
        <v/>
      </c>
      <c r="J171" s="140" t="str">
        <f t="shared" si="3"/>
        <v/>
      </c>
      <c r="K171" s="140" t="str">
        <f t="shared" si="4"/>
        <v/>
      </c>
    </row>
    <row r="172" ht="22.5" customHeight="1">
      <c r="A172" s="140"/>
      <c r="B172" s="135" t="str">
        <f t="array" ref="B172">IF(A172="","",VLOOKUP(A172,INDIRECT("CXC!A2:B"&amp;COUNTA(CXC!A:A)),2,FALSE))</f>
        <v/>
      </c>
      <c r="C172" s="136" t="str">
        <f t="array" ref="C172">IF(A172="","",VLOOKUP(A172,INDIRECT("CXC!A2:C"&amp;COUNTA(CXC!A:A)),3,FALSE))</f>
        <v/>
      </c>
      <c r="D172" s="137" t="str">
        <f t="array" ref="D172">IF(A172="","",VLOOKUP(A172,INDIRECT("CXC!A2:H"&amp;COUNTA(CXC!A:A)),8,FALSE))</f>
        <v/>
      </c>
      <c r="E172" s="137" t="str">
        <f t="array" ref="E172">IFERROR(IF(A172="","",VLOOKUP(A172,INDIRECT("HISTÓRICO COBROS!A3:E"&amp;COUNTA('HISTÓRICO COBROS'!A:A)),5,FALSE)),"")</f>
        <v/>
      </c>
      <c r="F172" s="137" t="str">
        <f t="array" ref="F172">IF(A172="","",VLOOKUP(A172,INDIRECT("CXC!A2:I"&amp;COUNTA(CXC!A:A)),9,FALSE))</f>
        <v/>
      </c>
      <c r="G172" s="137" t="str">
        <f t="array" ref="G172">IFERROR(IF(A172="","",VLOOKUP(A172,INDIRECT("HISTÓRICO COBROS!A3:F"&amp;COUNTA('HISTÓRICO COBROS'!A:A)),6,FALSE)),"")</f>
        <v/>
      </c>
      <c r="H172" s="138" t="str">
        <f t="shared" ref="H172:I172" si="173">IF(D172="","",D172+F172)</f>
        <v/>
      </c>
      <c r="I172" s="135" t="str">
        <f t="shared" si="173"/>
        <v/>
      </c>
      <c r="J172" s="140" t="str">
        <f t="shared" si="3"/>
        <v/>
      </c>
      <c r="K172" s="140" t="str">
        <f t="shared" si="4"/>
        <v/>
      </c>
    </row>
    <row r="173" ht="22.5" customHeight="1">
      <c r="A173" s="140"/>
      <c r="B173" s="135" t="str">
        <f t="array" ref="B173">IF(A173="","",VLOOKUP(A173,INDIRECT("CXC!A2:B"&amp;COUNTA(CXC!A:A)),2,FALSE))</f>
        <v/>
      </c>
      <c r="C173" s="136" t="str">
        <f t="array" ref="C173">IF(A173="","",VLOOKUP(A173,INDIRECT("CXC!A2:C"&amp;COUNTA(CXC!A:A)),3,FALSE))</f>
        <v/>
      </c>
      <c r="D173" s="137" t="str">
        <f t="array" ref="D173">IF(A173="","",VLOOKUP(A173,INDIRECT("CXC!A2:H"&amp;COUNTA(CXC!A:A)),8,FALSE))</f>
        <v/>
      </c>
      <c r="E173" s="137" t="str">
        <f t="array" ref="E173">IFERROR(IF(A173="","",VLOOKUP(A173,INDIRECT("HISTÓRICO COBROS!A3:E"&amp;COUNTA('HISTÓRICO COBROS'!A:A)),5,FALSE)),"")</f>
        <v/>
      </c>
      <c r="F173" s="137" t="str">
        <f t="array" ref="F173">IF(A173="","",VLOOKUP(A173,INDIRECT("CXC!A2:I"&amp;COUNTA(CXC!A:A)),9,FALSE))</f>
        <v/>
      </c>
      <c r="G173" s="137" t="str">
        <f t="array" ref="G173">IFERROR(IF(A173="","",VLOOKUP(A173,INDIRECT("HISTÓRICO COBROS!A3:F"&amp;COUNTA('HISTÓRICO COBROS'!A:A)),6,FALSE)),"")</f>
        <v/>
      </c>
      <c r="H173" s="138" t="str">
        <f t="shared" ref="H173:I173" si="174">IF(D173="","",D173+F173)</f>
        <v/>
      </c>
      <c r="I173" s="135" t="str">
        <f t="shared" si="174"/>
        <v/>
      </c>
      <c r="J173" s="140" t="str">
        <f t="shared" si="3"/>
        <v/>
      </c>
      <c r="K173" s="140" t="str">
        <f t="shared" si="4"/>
        <v/>
      </c>
    </row>
    <row r="174" ht="22.5" customHeight="1">
      <c r="A174" s="140"/>
      <c r="B174" s="135" t="str">
        <f t="array" ref="B174">IF(A174="","",VLOOKUP(A174,INDIRECT("CXC!A2:B"&amp;COUNTA(CXC!A:A)),2,FALSE))</f>
        <v/>
      </c>
      <c r="C174" s="136" t="str">
        <f t="array" ref="C174">IF(A174="","",VLOOKUP(A174,INDIRECT("CXC!A2:C"&amp;COUNTA(CXC!A:A)),3,FALSE))</f>
        <v/>
      </c>
      <c r="D174" s="137" t="str">
        <f t="array" ref="D174">IF(A174="","",VLOOKUP(A174,INDIRECT("CXC!A2:H"&amp;COUNTA(CXC!A:A)),8,FALSE))</f>
        <v/>
      </c>
      <c r="E174" s="137" t="str">
        <f t="array" ref="E174">IFERROR(IF(A174="","",VLOOKUP(A174,INDIRECT("HISTÓRICO COBROS!A3:E"&amp;COUNTA('HISTÓRICO COBROS'!A:A)),5,FALSE)),"")</f>
        <v/>
      </c>
      <c r="F174" s="137" t="str">
        <f t="array" ref="F174">IF(A174="","",VLOOKUP(A174,INDIRECT("CXC!A2:I"&amp;COUNTA(CXC!A:A)),9,FALSE))</f>
        <v/>
      </c>
      <c r="G174" s="137" t="str">
        <f t="array" ref="G174">IFERROR(IF(A174="","",VLOOKUP(A174,INDIRECT("HISTÓRICO COBROS!A3:F"&amp;COUNTA('HISTÓRICO COBROS'!A:A)),6,FALSE)),"")</f>
        <v/>
      </c>
      <c r="H174" s="138" t="str">
        <f t="shared" ref="H174:I174" si="175">IF(D174="","",D174+F174)</f>
        <v/>
      </c>
      <c r="I174" s="135" t="str">
        <f t="shared" si="175"/>
        <v/>
      </c>
      <c r="J174" s="140" t="str">
        <f t="shared" si="3"/>
        <v/>
      </c>
      <c r="K174" s="140" t="str">
        <f t="shared" si="4"/>
        <v/>
      </c>
    </row>
    <row r="175" ht="22.5" customHeight="1">
      <c r="A175" s="140"/>
      <c r="B175" s="135" t="str">
        <f t="array" ref="B175">IF(A175="","",VLOOKUP(A175,INDIRECT("CXC!A2:B"&amp;COUNTA(CXC!A:A)),2,FALSE))</f>
        <v/>
      </c>
      <c r="C175" s="136" t="str">
        <f t="array" ref="C175">IF(A175="","",VLOOKUP(A175,INDIRECT("CXC!A2:C"&amp;COUNTA(CXC!A:A)),3,FALSE))</f>
        <v/>
      </c>
      <c r="D175" s="137" t="str">
        <f t="array" ref="D175">IF(A175="","",VLOOKUP(A175,INDIRECT("CXC!A2:H"&amp;COUNTA(CXC!A:A)),8,FALSE))</f>
        <v/>
      </c>
      <c r="E175" s="137" t="str">
        <f t="array" ref="E175">IFERROR(IF(A175="","",VLOOKUP(A175,INDIRECT("HISTÓRICO COBROS!A3:E"&amp;COUNTA('HISTÓRICO COBROS'!A:A)),5,FALSE)),"")</f>
        <v/>
      </c>
      <c r="F175" s="137" t="str">
        <f t="array" ref="F175">IF(A175="","",VLOOKUP(A175,INDIRECT("CXC!A2:I"&amp;COUNTA(CXC!A:A)),9,FALSE))</f>
        <v/>
      </c>
      <c r="G175" s="137" t="str">
        <f t="array" ref="G175">IFERROR(IF(A175="","",VLOOKUP(A175,INDIRECT("HISTÓRICO COBROS!A3:F"&amp;COUNTA('HISTÓRICO COBROS'!A:A)),6,FALSE)),"")</f>
        <v/>
      </c>
      <c r="H175" s="138" t="str">
        <f t="shared" ref="H175:I175" si="176">IF(D175="","",D175+F175)</f>
        <v/>
      </c>
      <c r="I175" s="135" t="str">
        <f t="shared" si="176"/>
        <v/>
      </c>
      <c r="J175" s="140" t="str">
        <f t="shared" si="3"/>
        <v/>
      </c>
      <c r="K175" s="140" t="str">
        <f t="shared" si="4"/>
        <v/>
      </c>
    </row>
    <row r="176" ht="22.5" customHeight="1">
      <c r="A176" s="140"/>
      <c r="B176" s="135" t="str">
        <f t="array" ref="B176">IF(A176="","",VLOOKUP(A176,INDIRECT("CXC!A2:B"&amp;COUNTA(CXC!A:A)),2,FALSE))</f>
        <v/>
      </c>
      <c r="C176" s="136" t="str">
        <f t="array" ref="C176">IF(A176="","",VLOOKUP(A176,INDIRECT("CXC!A2:C"&amp;COUNTA(CXC!A:A)),3,FALSE))</f>
        <v/>
      </c>
      <c r="D176" s="137" t="str">
        <f t="array" ref="D176">IF(A176="","",VLOOKUP(A176,INDIRECT("CXC!A2:H"&amp;COUNTA(CXC!A:A)),8,FALSE))</f>
        <v/>
      </c>
      <c r="E176" s="137" t="str">
        <f t="array" ref="E176">IFERROR(IF(A176="","",VLOOKUP(A176,INDIRECT("HISTÓRICO COBROS!A3:E"&amp;COUNTA('HISTÓRICO COBROS'!A:A)),5,FALSE)),"")</f>
        <v/>
      </c>
      <c r="F176" s="137" t="str">
        <f t="array" ref="F176">IF(A176="","",VLOOKUP(A176,INDIRECT("CXC!A2:I"&amp;COUNTA(CXC!A:A)),9,FALSE))</f>
        <v/>
      </c>
      <c r="G176" s="137" t="str">
        <f t="array" ref="G176">IFERROR(IF(A176="","",VLOOKUP(A176,INDIRECT("HISTÓRICO COBROS!A3:F"&amp;COUNTA('HISTÓRICO COBROS'!A:A)),6,FALSE)),"")</f>
        <v/>
      </c>
      <c r="H176" s="138" t="str">
        <f t="shared" ref="H176:I176" si="177">IF(D176="","",D176+F176)</f>
        <v/>
      </c>
      <c r="I176" s="135" t="str">
        <f t="shared" si="177"/>
        <v/>
      </c>
      <c r="J176" s="140" t="str">
        <f t="shared" si="3"/>
        <v/>
      </c>
      <c r="K176" s="140" t="str">
        <f t="shared" si="4"/>
        <v/>
      </c>
    </row>
    <row r="177" ht="22.5" customHeight="1">
      <c r="A177" s="140"/>
      <c r="B177" s="135" t="str">
        <f t="array" ref="B177">IF(A177="","",VLOOKUP(A177,INDIRECT("CXC!A2:B"&amp;COUNTA(CXC!A:A)),2,FALSE))</f>
        <v/>
      </c>
      <c r="C177" s="136" t="str">
        <f t="array" ref="C177">IF(A177="","",VLOOKUP(A177,INDIRECT("CXC!A2:C"&amp;COUNTA(CXC!A:A)),3,FALSE))</f>
        <v/>
      </c>
      <c r="D177" s="137" t="str">
        <f t="array" ref="D177">IF(A177="","",VLOOKUP(A177,INDIRECT("CXC!A2:H"&amp;COUNTA(CXC!A:A)),8,FALSE))</f>
        <v/>
      </c>
      <c r="E177" s="137" t="str">
        <f t="array" ref="E177">IFERROR(IF(A177="","",VLOOKUP(A177,INDIRECT("HISTÓRICO COBROS!A3:E"&amp;COUNTA('HISTÓRICO COBROS'!A:A)),5,FALSE)),"")</f>
        <v/>
      </c>
      <c r="F177" s="137" t="str">
        <f t="array" ref="F177">IF(A177="","",VLOOKUP(A177,INDIRECT("CXC!A2:I"&amp;COUNTA(CXC!A:A)),9,FALSE))</f>
        <v/>
      </c>
      <c r="G177" s="137" t="str">
        <f t="array" ref="G177">IFERROR(IF(A177="","",VLOOKUP(A177,INDIRECT("HISTÓRICO COBROS!A3:F"&amp;COUNTA('HISTÓRICO COBROS'!A:A)),6,FALSE)),"")</f>
        <v/>
      </c>
      <c r="H177" s="138" t="str">
        <f t="shared" ref="H177:I177" si="178">IF(D177="","",D177+F177)</f>
        <v/>
      </c>
      <c r="I177" s="135" t="str">
        <f t="shared" si="178"/>
        <v/>
      </c>
      <c r="J177" s="140" t="str">
        <f t="shared" si="3"/>
        <v/>
      </c>
      <c r="K177" s="140" t="str">
        <f t="shared" si="4"/>
        <v/>
      </c>
    </row>
    <row r="178" ht="22.5" customHeight="1">
      <c r="A178" s="140"/>
      <c r="B178" s="135" t="str">
        <f t="array" ref="B178">IF(A178="","",VLOOKUP(A178,INDIRECT("CXC!A2:B"&amp;COUNTA(CXC!A:A)),2,FALSE))</f>
        <v/>
      </c>
      <c r="C178" s="136" t="str">
        <f t="array" ref="C178">IF(A178="","",VLOOKUP(A178,INDIRECT("CXC!A2:C"&amp;COUNTA(CXC!A:A)),3,FALSE))</f>
        <v/>
      </c>
      <c r="D178" s="137" t="str">
        <f t="array" ref="D178">IF(A178="","",VLOOKUP(A178,INDIRECT("CXC!A2:H"&amp;COUNTA(CXC!A:A)),8,FALSE))</f>
        <v/>
      </c>
      <c r="E178" s="137" t="str">
        <f t="array" ref="E178">IFERROR(IF(A178="","",VLOOKUP(A178,INDIRECT("HISTÓRICO COBROS!A3:E"&amp;COUNTA('HISTÓRICO COBROS'!A:A)),5,FALSE)),"")</f>
        <v/>
      </c>
      <c r="F178" s="137" t="str">
        <f t="array" ref="F178">IF(A178="","",VLOOKUP(A178,INDIRECT("CXC!A2:I"&amp;COUNTA(CXC!A:A)),9,FALSE))</f>
        <v/>
      </c>
      <c r="G178" s="137" t="str">
        <f t="array" ref="G178">IFERROR(IF(A178="","",VLOOKUP(A178,INDIRECT("HISTÓRICO COBROS!A3:F"&amp;COUNTA('HISTÓRICO COBROS'!A:A)),6,FALSE)),"")</f>
        <v/>
      </c>
      <c r="H178" s="138" t="str">
        <f t="shared" ref="H178:I178" si="179">IF(D178="","",D178+F178)</f>
        <v/>
      </c>
      <c r="I178" s="135" t="str">
        <f t="shared" si="179"/>
        <v/>
      </c>
      <c r="J178" s="140" t="str">
        <f t="shared" si="3"/>
        <v/>
      </c>
      <c r="K178" s="140" t="str">
        <f t="shared" si="4"/>
        <v/>
      </c>
    </row>
    <row r="179" ht="22.5" customHeight="1">
      <c r="A179" s="140"/>
      <c r="B179" s="135" t="str">
        <f t="array" ref="B179">IF(A179="","",VLOOKUP(A179,INDIRECT("CXC!A2:B"&amp;COUNTA(CXC!A:A)),2,FALSE))</f>
        <v/>
      </c>
      <c r="C179" s="136" t="str">
        <f t="array" ref="C179">IF(A179="","",VLOOKUP(A179,INDIRECT("CXC!A2:C"&amp;COUNTA(CXC!A:A)),3,FALSE))</f>
        <v/>
      </c>
      <c r="D179" s="137" t="str">
        <f t="array" ref="D179">IF(A179="","",VLOOKUP(A179,INDIRECT("CXC!A2:H"&amp;COUNTA(CXC!A:A)),8,FALSE))</f>
        <v/>
      </c>
      <c r="E179" s="137" t="str">
        <f t="array" ref="E179">IFERROR(IF(A179="","",VLOOKUP(A179,INDIRECT("HISTÓRICO COBROS!A3:E"&amp;COUNTA('HISTÓRICO COBROS'!A:A)),5,FALSE)),"")</f>
        <v/>
      </c>
      <c r="F179" s="137" t="str">
        <f t="array" ref="F179">IF(A179="","",VLOOKUP(A179,INDIRECT("CXC!A2:I"&amp;COUNTA(CXC!A:A)),9,FALSE))</f>
        <v/>
      </c>
      <c r="G179" s="137" t="str">
        <f t="array" ref="G179">IFERROR(IF(A179="","",VLOOKUP(A179,INDIRECT("HISTÓRICO COBROS!A3:F"&amp;COUNTA('HISTÓRICO COBROS'!A:A)),6,FALSE)),"")</f>
        <v/>
      </c>
      <c r="H179" s="138" t="str">
        <f t="shared" ref="H179:I179" si="180">IF(D179="","",D179+F179)</f>
        <v/>
      </c>
      <c r="I179" s="135" t="str">
        <f t="shared" si="180"/>
        <v/>
      </c>
      <c r="J179" s="140" t="str">
        <f t="shared" si="3"/>
        <v/>
      </c>
      <c r="K179" s="140" t="str">
        <f t="shared" si="4"/>
        <v/>
      </c>
    </row>
    <row r="180" ht="22.5" customHeight="1">
      <c r="A180" s="140"/>
      <c r="B180" s="135" t="str">
        <f t="array" ref="B180">IF(A180="","",VLOOKUP(A180,INDIRECT("CXC!A2:B"&amp;COUNTA(CXC!A:A)),2,FALSE))</f>
        <v/>
      </c>
      <c r="C180" s="136" t="str">
        <f t="array" ref="C180">IF(A180="","",VLOOKUP(A180,INDIRECT("CXC!A2:C"&amp;COUNTA(CXC!A:A)),3,FALSE))</f>
        <v/>
      </c>
      <c r="D180" s="137" t="str">
        <f t="array" ref="D180">IF(A180="","",VLOOKUP(A180,INDIRECT("CXC!A2:H"&amp;COUNTA(CXC!A:A)),8,FALSE))</f>
        <v/>
      </c>
      <c r="E180" s="137" t="str">
        <f t="array" ref="E180">IFERROR(IF(A180="","",VLOOKUP(A180,INDIRECT("HISTÓRICO COBROS!A3:E"&amp;COUNTA('HISTÓRICO COBROS'!A:A)),5,FALSE)),"")</f>
        <v/>
      </c>
      <c r="F180" s="137" t="str">
        <f t="array" ref="F180">IF(A180="","",VLOOKUP(A180,INDIRECT("CXC!A2:I"&amp;COUNTA(CXC!A:A)),9,FALSE))</f>
        <v/>
      </c>
      <c r="G180" s="137" t="str">
        <f t="array" ref="G180">IFERROR(IF(A180="","",VLOOKUP(A180,INDIRECT("HISTÓRICO COBROS!A3:F"&amp;COUNTA('HISTÓRICO COBROS'!A:A)),6,FALSE)),"")</f>
        <v/>
      </c>
      <c r="H180" s="138" t="str">
        <f t="shared" ref="H180:I180" si="181">IF(D180="","",D180+F180)</f>
        <v/>
      </c>
      <c r="I180" s="135" t="str">
        <f t="shared" si="181"/>
        <v/>
      </c>
      <c r="J180" s="140" t="str">
        <f t="shared" si="3"/>
        <v/>
      </c>
      <c r="K180" s="140" t="str">
        <f t="shared" si="4"/>
        <v/>
      </c>
    </row>
    <row r="181" ht="22.5" customHeight="1">
      <c r="A181" s="140"/>
      <c r="B181" s="135" t="str">
        <f t="array" ref="B181">IF(A181="","",VLOOKUP(A181,INDIRECT("CXC!A2:B"&amp;COUNTA(CXC!A:A)),2,FALSE))</f>
        <v/>
      </c>
      <c r="C181" s="136" t="str">
        <f t="array" ref="C181">IF(A181="","",VLOOKUP(A181,INDIRECT("CXC!A2:C"&amp;COUNTA(CXC!A:A)),3,FALSE))</f>
        <v/>
      </c>
      <c r="D181" s="137" t="str">
        <f t="array" ref="D181">IF(A181="","",VLOOKUP(A181,INDIRECT("CXC!A2:H"&amp;COUNTA(CXC!A:A)),8,FALSE))</f>
        <v/>
      </c>
      <c r="E181" s="137" t="str">
        <f t="array" ref="E181">IFERROR(IF(A181="","",VLOOKUP(A181,INDIRECT("HISTÓRICO COBROS!A3:E"&amp;COUNTA('HISTÓRICO COBROS'!A:A)),5,FALSE)),"")</f>
        <v/>
      </c>
      <c r="F181" s="137" t="str">
        <f t="array" ref="F181">IF(A181="","",VLOOKUP(A181,INDIRECT("CXC!A2:I"&amp;COUNTA(CXC!A:A)),9,FALSE))</f>
        <v/>
      </c>
      <c r="G181" s="137" t="str">
        <f t="array" ref="G181">IFERROR(IF(A181="","",VLOOKUP(A181,INDIRECT("HISTÓRICO COBROS!A3:F"&amp;COUNTA('HISTÓRICO COBROS'!A:A)),6,FALSE)),"")</f>
        <v/>
      </c>
      <c r="H181" s="138" t="str">
        <f t="shared" ref="H181:I181" si="182">IF(D181="","",D181+F181)</f>
        <v/>
      </c>
      <c r="I181" s="135" t="str">
        <f t="shared" si="182"/>
        <v/>
      </c>
      <c r="J181" s="140" t="str">
        <f t="shared" si="3"/>
        <v/>
      </c>
      <c r="K181" s="140" t="str">
        <f t="shared" si="4"/>
        <v/>
      </c>
    </row>
    <row r="182" ht="22.5" customHeight="1">
      <c r="A182" s="140"/>
      <c r="B182" s="135" t="str">
        <f t="array" ref="B182">IF(A182="","",VLOOKUP(A182,INDIRECT("CXC!A2:B"&amp;COUNTA(CXC!A:A)),2,FALSE))</f>
        <v/>
      </c>
      <c r="C182" s="136" t="str">
        <f t="array" ref="C182">IF(A182="","",VLOOKUP(A182,INDIRECT("CXC!A2:C"&amp;COUNTA(CXC!A:A)),3,FALSE))</f>
        <v/>
      </c>
      <c r="D182" s="137" t="str">
        <f t="array" ref="D182">IF(A182="","",VLOOKUP(A182,INDIRECT("CXC!A2:H"&amp;COUNTA(CXC!A:A)),8,FALSE))</f>
        <v/>
      </c>
      <c r="E182" s="137" t="str">
        <f t="array" ref="E182">IFERROR(IF(A182="","",VLOOKUP(A182,INDIRECT("HISTÓRICO COBROS!A3:E"&amp;COUNTA('HISTÓRICO COBROS'!A:A)),5,FALSE)),"")</f>
        <v/>
      </c>
      <c r="F182" s="137" t="str">
        <f t="array" ref="F182">IF(A182="","",VLOOKUP(A182,INDIRECT("CXC!A2:I"&amp;COUNTA(CXC!A:A)),9,FALSE))</f>
        <v/>
      </c>
      <c r="G182" s="137" t="str">
        <f t="array" ref="G182">IFERROR(IF(A182="","",VLOOKUP(A182,INDIRECT("HISTÓRICO COBROS!A3:F"&amp;COUNTA('HISTÓRICO COBROS'!A:A)),6,FALSE)),"")</f>
        <v/>
      </c>
      <c r="H182" s="138" t="str">
        <f t="shared" ref="H182:I182" si="183">IF(D182="","",D182+F182)</f>
        <v/>
      </c>
      <c r="I182" s="135" t="str">
        <f t="shared" si="183"/>
        <v/>
      </c>
      <c r="J182" s="140" t="str">
        <f t="shared" si="3"/>
        <v/>
      </c>
      <c r="K182" s="140" t="str">
        <f t="shared" si="4"/>
        <v/>
      </c>
    </row>
    <row r="183" ht="22.5" customHeight="1">
      <c r="A183" s="140"/>
      <c r="B183" s="135" t="str">
        <f t="array" ref="B183">IF(A183="","",VLOOKUP(A183,INDIRECT("CXC!A2:B"&amp;COUNTA(CXC!A:A)),2,FALSE))</f>
        <v/>
      </c>
      <c r="C183" s="136" t="str">
        <f t="array" ref="C183">IF(A183="","",VLOOKUP(A183,INDIRECT("CXC!A2:C"&amp;COUNTA(CXC!A:A)),3,FALSE))</f>
        <v/>
      </c>
      <c r="D183" s="137" t="str">
        <f t="array" ref="D183">IF(A183="","",VLOOKUP(A183,INDIRECT("CXC!A2:H"&amp;COUNTA(CXC!A:A)),8,FALSE))</f>
        <v/>
      </c>
      <c r="E183" s="137" t="str">
        <f t="array" ref="E183">IFERROR(IF(A183="","",VLOOKUP(A183,INDIRECT("HISTÓRICO COBROS!A3:E"&amp;COUNTA('HISTÓRICO COBROS'!A:A)),5,FALSE)),"")</f>
        <v/>
      </c>
      <c r="F183" s="137" t="str">
        <f t="array" ref="F183">IF(A183="","",VLOOKUP(A183,INDIRECT("CXC!A2:I"&amp;COUNTA(CXC!A:A)),9,FALSE))</f>
        <v/>
      </c>
      <c r="G183" s="137" t="str">
        <f t="array" ref="G183">IFERROR(IF(A183="","",VLOOKUP(A183,INDIRECT("HISTÓRICO COBROS!A3:F"&amp;COUNTA('HISTÓRICO COBROS'!A:A)),6,FALSE)),"")</f>
        <v/>
      </c>
      <c r="H183" s="138" t="str">
        <f t="shared" ref="H183:I183" si="184">IF(D183="","",D183+F183)</f>
        <v/>
      </c>
      <c r="I183" s="135" t="str">
        <f t="shared" si="184"/>
        <v/>
      </c>
      <c r="J183" s="140" t="str">
        <f t="shared" si="3"/>
        <v/>
      </c>
      <c r="K183" s="140" t="str">
        <f t="shared" si="4"/>
        <v/>
      </c>
    </row>
    <row r="184" ht="22.5" customHeight="1">
      <c r="A184" s="140"/>
      <c r="B184" s="135" t="str">
        <f t="array" ref="B184">IF(A184="","",VLOOKUP(A184,INDIRECT("CXC!A2:B"&amp;COUNTA(CXC!A:A)),2,FALSE))</f>
        <v/>
      </c>
      <c r="C184" s="136" t="str">
        <f t="array" ref="C184">IF(A184="","",VLOOKUP(A184,INDIRECT("CXC!A2:C"&amp;COUNTA(CXC!A:A)),3,FALSE))</f>
        <v/>
      </c>
      <c r="D184" s="137" t="str">
        <f t="array" ref="D184">IF(A184="","",VLOOKUP(A184,INDIRECT("CXC!A2:H"&amp;COUNTA(CXC!A:A)),8,FALSE))</f>
        <v/>
      </c>
      <c r="E184" s="137" t="str">
        <f t="array" ref="E184">IFERROR(IF(A184="","",VLOOKUP(A184,INDIRECT("HISTÓRICO COBROS!A3:E"&amp;COUNTA('HISTÓRICO COBROS'!A:A)),5,FALSE)),"")</f>
        <v/>
      </c>
      <c r="F184" s="137" t="str">
        <f t="array" ref="F184">IF(A184="","",VLOOKUP(A184,INDIRECT("CXC!A2:I"&amp;COUNTA(CXC!A:A)),9,FALSE))</f>
        <v/>
      </c>
      <c r="G184" s="137" t="str">
        <f t="array" ref="G184">IFERROR(IF(A184="","",VLOOKUP(A184,INDIRECT("HISTÓRICO COBROS!A3:F"&amp;COUNTA('HISTÓRICO COBROS'!A:A)),6,FALSE)),"")</f>
        <v/>
      </c>
      <c r="H184" s="138" t="str">
        <f t="shared" ref="H184:I184" si="185">IF(D184="","",D184+F184)</f>
        <v/>
      </c>
      <c r="I184" s="135" t="str">
        <f t="shared" si="185"/>
        <v/>
      </c>
      <c r="J184" s="140" t="str">
        <f t="shared" si="3"/>
        <v/>
      </c>
      <c r="K184" s="140" t="str">
        <f t="shared" si="4"/>
        <v/>
      </c>
    </row>
    <row r="185" ht="22.5" customHeight="1">
      <c r="A185" s="140"/>
      <c r="B185" s="135" t="str">
        <f t="array" ref="B185">IF(A185="","",VLOOKUP(A185,INDIRECT("CXC!A2:B"&amp;COUNTA(CXC!A:A)),2,FALSE))</f>
        <v/>
      </c>
      <c r="C185" s="136" t="str">
        <f t="array" ref="C185">IF(A185="","",VLOOKUP(A185,INDIRECT("CXC!A2:C"&amp;COUNTA(CXC!A:A)),3,FALSE))</f>
        <v/>
      </c>
      <c r="D185" s="137" t="str">
        <f t="array" ref="D185">IF(A185="","",VLOOKUP(A185,INDIRECT("CXC!A2:H"&amp;COUNTA(CXC!A:A)),8,FALSE))</f>
        <v/>
      </c>
      <c r="E185" s="137" t="str">
        <f t="array" ref="E185">IFERROR(IF(A185="","",VLOOKUP(A185,INDIRECT("HISTÓRICO COBROS!A3:E"&amp;COUNTA('HISTÓRICO COBROS'!A:A)),5,FALSE)),"")</f>
        <v/>
      </c>
      <c r="F185" s="137" t="str">
        <f t="array" ref="F185">IF(A185="","",VLOOKUP(A185,INDIRECT("CXC!A2:I"&amp;COUNTA(CXC!A:A)),9,FALSE))</f>
        <v/>
      </c>
      <c r="G185" s="137" t="str">
        <f t="array" ref="G185">IFERROR(IF(A185="","",VLOOKUP(A185,INDIRECT("HISTÓRICO COBROS!A3:F"&amp;COUNTA('HISTÓRICO COBROS'!A:A)),6,FALSE)),"")</f>
        <v/>
      </c>
      <c r="H185" s="138" t="str">
        <f t="shared" ref="H185:I185" si="186">IF(D185="","",D185+F185)</f>
        <v/>
      </c>
      <c r="I185" s="135" t="str">
        <f t="shared" si="186"/>
        <v/>
      </c>
      <c r="J185" s="140" t="str">
        <f t="shared" si="3"/>
        <v/>
      </c>
      <c r="K185" s="140" t="str">
        <f t="shared" si="4"/>
        <v/>
      </c>
    </row>
    <row r="186" ht="22.5" customHeight="1">
      <c r="A186" s="140"/>
      <c r="B186" s="135" t="str">
        <f t="array" ref="B186">IF(A186="","",VLOOKUP(A186,INDIRECT("CXC!A2:B"&amp;COUNTA(CXC!A:A)),2,FALSE))</f>
        <v/>
      </c>
      <c r="C186" s="136" t="str">
        <f t="array" ref="C186">IF(A186="","",VLOOKUP(A186,INDIRECT("CXC!A2:C"&amp;COUNTA(CXC!A:A)),3,FALSE))</f>
        <v/>
      </c>
      <c r="D186" s="137" t="str">
        <f t="array" ref="D186">IF(A186="","",VLOOKUP(A186,INDIRECT("CXC!A2:H"&amp;COUNTA(CXC!A:A)),8,FALSE))</f>
        <v/>
      </c>
      <c r="E186" s="137" t="str">
        <f t="array" ref="E186">IFERROR(IF(A186="","",VLOOKUP(A186,INDIRECT("HISTÓRICO COBROS!A3:E"&amp;COUNTA('HISTÓRICO COBROS'!A:A)),5,FALSE)),"")</f>
        <v/>
      </c>
      <c r="F186" s="137" t="str">
        <f t="array" ref="F186">IF(A186="","",VLOOKUP(A186,INDIRECT("CXC!A2:I"&amp;COUNTA(CXC!A:A)),9,FALSE))</f>
        <v/>
      </c>
      <c r="G186" s="137" t="str">
        <f t="array" ref="G186">IFERROR(IF(A186="","",VLOOKUP(A186,INDIRECT("HISTÓRICO COBROS!A3:F"&amp;COUNTA('HISTÓRICO COBROS'!A:A)),6,FALSE)),"")</f>
        <v/>
      </c>
      <c r="H186" s="138" t="str">
        <f t="shared" ref="H186:I186" si="187">IF(D186="","",D186+F186)</f>
        <v/>
      </c>
      <c r="I186" s="135" t="str">
        <f t="shared" si="187"/>
        <v/>
      </c>
      <c r="J186" s="140" t="str">
        <f t="shared" si="3"/>
        <v/>
      </c>
      <c r="K186" s="140" t="str">
        <f t="shared" si="4"/>
        <v/>
      </c>
    </row>
    <row r="187" ht="22.5" customHeight="1">
      <c r="A187" s="140"/>
      <c r="B187" s="135" t="str">
        <f t="array" ref="B187">IF(A187="","",VLOOKUP(A187,INDIRECT("CXC!A2:B"&amp;COUNTA(CXC!A:A)),2,FALSE))</f>
        <v/>
      </c>
      <c r="C187" s="136" t="str">
        <f t="array" ref="C187">IF(A187="","",VLOOKUP(A187,INDIRECT("CXC!A2:C"&amp;COUNTA(CXC!A:A)),3,FALSE))</f>
        <v/>
      </c>
      <c r="D187" s="137" t="str">
        <f t="array" ref="D187">IF(A187="","",VLOOKUP(A187,INDIRECT("CXC!A2:H"&amp;COUNTA(CXC!A:A)),8,FALSE))</f>
        <v/>
      </c>
      <c r="E187" s="137" t="str">
        <f t="array" ref="E187">IFERROR(IF(A187="","",VLOOKUP(A187,INDIRECT("HISTÓRICO COBROS!A3:E"&amp;COUNTA('HISTÓRICO COBROS'!A:A)),5,FALSE)),"")</f>
        <v/>
      </c>
      <c r="F187" s="137" t="str">
        <f t="array" ref="F187">IF(A187="","",VLOOKUP(A187,INDIRECT("CXC!A2:I"&amp;COUNTA(CXC!A:A)),9,FALSE))</f>
        <v/>
      </c>
      <c r="G187" s="137" t="str">
        <f t="array" ref="G187">IFERROR(IF(A187="","",VLOOKUP(A187,INDIRECT("HISTÓRICO COBROS!A3:F"&amp;COUNTA('HISTÓRICO COBROS'!A:A)),6,FALSE)),"")</f>
        <v/>
      </c>
      <c r="H187" s="138" t="str">
        <f t="shared" ref="H187:I187" si="188">IF(D187="","",D187+F187)</f>
        <v/>
      </c>
      <c r="I187" s="135" t="str">
        <f t="shared" si="188"/>
        <v/>
      </c>
      <c r="J187" s="140" t="str">
        <f t="shared" si="3"/>
        <v/>
      </c>
      <c r="K187" s="140" t="str">
        <f t="shared" si="4"/>
        <v/>
      </c>
    </row>
    <row r="188" ht="22.5" customHeight="1">
      <c r="A188" s="140"/>
      <c r="B188" s="135" t="str">
        <f t="array" ref="B188">IF(A188="","",VLOOKUP(A188,INDIRECT("CXC!A2:B"&amp;COUNTA(CXC!A:A)),2,FALSE))</f>
        <v/>
      </c>
      <c r="C188" s="136" t="str">
        <f t="array" ref="C188">IF(A188="","",VLOOKUP(A188,INDIRECT("CXC!A2:C"&amp;COUNTA(CXC!A:A)),3,FALSE))</f>
        <v/>
      </c>
      <c r="D188" s="137" t="str">
        <f t="array" ref="D188">IF(A188="","",VLOOKUP(A188,INDIRECT("CXC!A2:H"&amp;COUNTA(CXC!A:A)),8,FALSE))</f>
        <v/>
      </c>
      <c r="E188" s="137" t="str">
        <f t="array" ref="E188">IFERROR(IF(A188="","",VLOOKUP(A188,INDIRECT("HISTÓRICO COBROS!A3:E"&amp;COUNTA('HISTÓRICO COBROS'!A:A)),5,FALSE)),"")</f>
        <v/>
      </c>
      <c r="F188" s="137" t="str">
        <f t="array" ref="F188">IF(A188="","",VLOOKUP(A188,INDIRECT("CXC!A2:I"&amp;COUNTA(CXC!A:A)),9,FALSE))</f>
        <v/>
      </c>
      <c r="G188" s="137" t="str">
        <f t="array" ref="G188">IFERROR(IF(A188="","",VLOOKUP(A188,INDIRECT("HISTÓRICO COBROS!A3:F"&amp;COUNTA('HISTÓRICO COBROS'!A:A)),6,FALSE)),"")</f>
        <v/>
      </c>
      <c r="H188" s="138" t="str">
        <f t="shared" ref="H188:I188" si="189">IF(D188="","",D188+F188)</f>
        <v/>
      </c>
      <c r="I188" s="135" t="str">
        <f t="shared" si="189"/>
        <v/>
      </c>
      <c r="J188" s="140" t="str">
        <f t="shared" si="3"/>
        <v/>
      </c>
      <c r="K188" s="140" t="str">
        <f t="shared" si="4"/>
        <v/>
      </c>
    </row>
    <row r="189" ht="22.5" customHeight="1">
      <c r="A189" s="140"/>
      <c r="B189" s="135" t="str">
        <f t="array" ref="B189">IF(A189="","",VLOOKUP(A189,INDIRECT("CXC!A2:B"&amp;COUNTA(CXC!A:A)),2,FALSE))</f>
        <v/>
      </c>
      <c r="C189" s="136" t="str">
        <f t="array" ref="C189">IF(A189="","",VLOOKUP(A189,INDIRECT("CXC!A2:C"&amp;COUNTA(CXC!A:A)),3,FALSE))</f>
        <v/>
      </c>
      <c r="D189" s="137" t="str">
        <f t="array" ref="D189">IF(A189="","",VLOOKUP(A189,INDIRECT("CXC!A2:H"&amp;COUNTA(CXC!A:A)),8,FALSE))</f>
        <v/>
      </c>
      <c r="E189" s="137" t="str">
        <f t="array" ref="E189">IFERROR(IF(A189="","",VLOOKUP(A189,INDIRECT("HISTÓRICO COBROS!A3:E"&amp;COUNTA('HISTÓRICO COBROS'!A:A)),5,FALSE)),"")</f>
        <v/>
      </c>
      <c r="F189" s="137" t="str">
        <f t="array" ref="F189">IF(A189="","",VLOOKUP(A189,INDIRECT("CXC!A2:I"&amp;COUNTA(CXC!A:A)),9,FALSE))</f>
        <v/>
      </c>
      <c r="G189" s="137" t="str">
        <f t="array" ref="G189">IFERROR(IF(A189="","",VLOOKUP(A189,INDIRECT("HISTÓRICO COBROS!A3:F"&amp;COUNTA('HISTÓRICO COBROS'!A:A)),6,FALSE)),"")</f>
        <v/>
      </c>
      <c r="H189" s="138" t="str">
        <f t="shared" ref="H189:I189" si="190">IF(D189="","",D189+F189)</f>
        <v/>
      </c>
      <c r="I189" s="135" t="str">
        <f t="shared" si="190"/>
        <v/>
      </c>
      <c r="J189" s="140" t="str">
        <f t="shared" si="3"/>
        <v/>
      </c>
      <c r="K189" s="140" t="str">
        <f t="shared" si="4"/>
        <v/>
      </c>
    </row>
    <row r="190" ht="22.5" customHeight="1">
      <c r="A190" s="140"/>
      <c r="B190" s="135" t="str">
        <f t="array" ref="B190">IF(A190="","",VLOOKUP(A190,INDIRECT("CXC!A2:B"&amp;COUNTA(CXC!A:A)),2,FALSE))</f>
        <v/>
      </c>
      <c r="C190" s="136" t="str">
        <f t="array" ref="C190">IF(A190="","",VLOOKUP(A190,INDIRECT("CXC!A2:C"&amp;COUNTA(CXC!A:A)),3,FALSE))</f>
        <v/>
      </c>
      <c r="D190" s="137" t="str">
        <f t="array" ref="D190">IF(A190="","",VLOOKUP(A190,INDIRECT("CXC!A2:H"&amp;COUNTA(CXC!A:A)),8,FALSE))</f>
        <v/>
      </c>
      <c r="E190" s="137" t="str">
        <f t="array" ref="E190">IFERROR(IF(A190="","",VLOOKUP(A190,INDIRECT("HISTÓRICO COBROS!A3:E"&amp;COUNTA('HISTÓRICO COBROS'!A:A)),5,FALSE)),"")</f>
        <v/>
      </c>
      <c r="F190" s="137" t="str">
        <f t="array" ref="F190">IF(A190="","",VLOOKUP(A190,INDIRECT("CXC!A2:I"&amp;COUNTA(CXC!A:A)),9,FALSE))</f>
        <v/>
      </c>
      <c r="G190" s="137" t="str">
        <f t="array" ref="G190">IFERROR(IF(A190="","",VLOOKUP(A190,INDIRECT("HISTÓRICO COBROS!A3:F"&amp;COUNTA('HISTÓRICO COBROS'!A:A)),6,FALSE)),"")</f>
        <v/>
      </c>
      <c r="H190" s="138" t="str">
        <f t="shared" ref="H190:I190" si="191">IF(D190="","",D190+F190)</f>
        <v/>
      </c>
      <c r="I190" s="135" t="str">
        <f t="shared" si="191"/>
        <v/>
      </c>
      <c r="J190" s="140" t="str">
        <f t="shared" si="3"/>
        <v/>
      </c>
      <c r="K190" s="140" t="str">
        <f t="shared" si="4"/>
        <v/>
      </c>
    </row>
    <row r="191" ht="22.5" customHeight="1">
      <c r="A191" s="140"/>
      <c r="B191" s="135" t="str">
        <f t="array" ref="B191">IF(A191="","",VLOOKUP(A191,INDIRECT("CXC!A2:B"&amp;COUNTA(CXC!A:A)),2,FALSE))</f>
        <v/>
      </c>
      <c r="C191" s="136" t="str">
        <f t="array" ref="C191">IF(A191="","",VLOOKUP(A191,INDIRECT("CXC!A2:C"&amp;COUNTA(CXC!A:A)),3,FALSE))</f>
        <v/>
      </c>
      <c r="D191" s="137" t="str">
        <f t="array" ref="D191">IF(A191="","",VLOOKUP(A191,INDIRECT("CXC!A2:H"&amp;COUNTA(CXC!A:A)),8,FALSE))</f>
        <v/>
      </c>
      <c r="E191" s="137" t="str">
        <f t="array" ref="E191">IFERROR(IF(A191="","",VLOOKUP(A191,INDIRECT("HISTÓRICO COBROS!A3:E"&amp;COUNTA('HISTÓRICO COBROS'!A:A)),5,FALSE)),"")</f>
        <v/>
      </c>
      <c r="F191" s="137" t="str">
        <f t="array" ref="F191">IF(A191="","",VLOOKUP(A191,INDIRECT("CXC!A2:I"&amp;COUNTA(CXC!A:A)),9,FALSE))</f>
        <v/>
      </c>
      <c r="G191" s="137" t="str">
        <f t="array" ref="G191">IFERROR(IF(A191="","",VLOOKUP(A191,INDIRECT("HISTÓRICO COBROS!A3:F"&amp;COUNTA('HISTÓRICO COBROS'!A:A)),6,FALSE)),"")</f>
        <v/>
      </c>
      <c r="H191" s="138" t="str">
        <f t="shared" ref="H191:I191" si="192">IF(D191="","",D191+F191)</f>
        <v/>
      </c>
      <c r="I191" s="135" t="str">
        <f t="shared" si="192"/>
        <v/>
      </c>
      <c r="J191" s="140" t="str">
        <f t="shared" si="3"/>
        <v/>
      </c>
      <c r="K191" s="140" t="str">
        <f t="shared" si="4"/>
        <v/>
      </c>
    </row>
    <row r="192" ht="22.5" customHeight="1">
      <c r="A192" s="140"/>
      <c r="B192" s="135" t="str">
        <f t="array" ref="B192">IF(A192="","",VLOOKUP(A192,INDIRECT("CXC!A2:B"&amp;COUNTA(CXC!A:A)),2,FALSE))</f>
        <v/>
      </c>
      <c r="C192" s="136" t="str">
        <f t="array" ref="C192">IF(A192="","",VLOOKUP(A192,INDIRECT("CXC!A2:C"&amp;COUNTA(CXC!A:A)),3,FALSE))</f>
        <v/>
      </c>
      <c r="D192" s="137" t="str">
        <f t="array" ref="D192">IF(A192="","",VLOOKUP(A192,INDIRECT("CXC!A2:H"&amp;COUNTA(CXC!A:A)),8,FALSE))</f>
        <v/>
      </c>
      <c r="E192" s="137" t="str">
        <f t="array" ref="E192">IFERROR(IF(A192="","",VLOOKUP(A192,INDIRECT("HISTÓRICO COBROS!A3:E"&amp;COUNTA('HISTÓRICO COBROS'!A:A)),5,FALSE)),"")</f>
        <v/>
      </c>
      <c r="F192" s="137" t="str">
        <f t="array" ref="F192">IF(A192="","",VLOOKUP(A192,INDIRECT("CXC!A2:I"&amp;COUNTA(CXC!A:A)),9,FALSE))</f>
        <v/>
      </c>
      <c r="G192" s="137" t="str">
        <f t="array" ref="G192">IFERROR(IF(A192="","",VLOOKUP(A192,INDIRECT("HISTÓRICO COBROS!A3:F"&amp;COUNTA('HISTÓRICO COBROS'!A:A)),6,FALSE)),"")</f>
        <v/>
      </c>
      <c r="H192" s="138" t="str">
        <f t="shared" ref="H192:I192" si="193">IF(D192="","",D192+F192)</f>
        <v/>
      </c>
      <c r="I192" s="135" t="str">
        <f t="shared" si="193"/>
        <v/>
      </c>
      <c r="J192" s="140" t="str">
        <f t="shared" si="3"/>
        <v/>
      </c>
      <c r="K192" s="140" t="str">
        <f t="shared" si="4"/>
        <v/>
      </c>
    </row>
    <row r="193" ht="22.5" customHeight="1">
      <c r="A193" s="140"/>
      <c r="B193" s="135" t="str">
        <f t="array" ref="B193">IF(A193="","",VLOOKUP(A193,INDIRECT("CXC!A2:B"&amp;COUNTA(CXC!A:A)),2,FALSE))</f>
        <v/>
      </c>
      <c r="C193" s="136" t="str">
        <f t="array" ref="C193">IF(A193="","",VLOOKUP(A193,INDIRECT("CXC!A2:C"&amp;COUNTA(CXC!A:A)),3,FALSE))</f>
        <v/>
      </c>
      <c r="D193" s="137" t="str">
        <f t="array" ref="D193">IF(A193="","",VLOOKUP(A193,INDIRECT("CXC!A2:H"&amp;COUNTA(CXC!A:A)),8,FALSE))</f>
        <v/>
      </c>
      <c r="E193" s="137" t="str">
        <f t="array" ref="E193">IFERROR(IF(A193="","",VLOOKUP(A193,INDIRECT("HISTÓRICO COBROS!A3:E"&amp;COUNTA('HISTÓRICO COBROS'!A:A)),5,FALSE)),"")</f>
        <v/>
      </c>
      <c r="F193" s="137" t="str">
        <f t="array" ref="F193">IF(A193="","",VLOOKUP(A193,INDIRECT("CXC!A2:I"&amp;COUNTA(CXC!A:A)),9,FALSE))</f>
        <v/>
      </c>
      <c r="G193" s="137" t="str">
        <f t="array" ref="G193">IFERROR(IF(A193="","",VLOOKUP(A193,INDIRECT("HISTÓRICO COBROS!A3:F"&amp;COUNTA('HISTÓRICO COBROS'!A:A)),6,FALSE)),"")</f>
        <v/>
      </c>
      <c r="H193" s="138" t="str">
        <f t="shared" ref="H193:I193" si="194">IF(D193="","",D193+F193)</f>
        <v/>
      </c>
      <c r="I193" s="135" t="str">
        <f t="shared" si="194"/>
        <v/>
      </c>
      <c r="J193" s="140" t="str">
        <f t="shared" si="3"/>
        <v/>
      </c>
      <c r="K193" s="140" t="str">
        <f t="shared" si="4"/>
        <v/>
      </c>
    </row>
    <row r="194" ht="22.5" customHeight="1">
      <c r="A194" s="140"/>
      <c r="B194" s="135" t="str">
        <f t="array" ref="B194">IF(A194="","",VLOOKUP(A194,INDIRECT("CXC!A2:B"&amp;COUNTA(CXC!A:A)),2,FALSE))</f>
        <v/>
      </c>
      <c r="C194" s="136" t="str">
        <f t="array" ref="C194">IF(A194="","",VLOOKUP(A194,INDIRECT("CXC!A2:C"&amp;COUNTA(CXC!A:A)),3,FALSE))</f>
        <v/>
      </c>
      <c r="D194" s="137" t="str">
        <f t="array" ref="D194">IF(A194="","",VLOOKUP(A194,INDIRECT("CXC!A2:H"&amp;COUNTA(CXC!A:A)),8,FALSE))</f>
        <v/>
      </c>
      <c r="E194" s="137" t="str">
        <f t="array" ref="E194">IFERROR(IF(A194="","",VLOOKUP(A194,INDIRECT("HISTÓRICO COBROS!A3:E"&amp;COUNTA('HISTÓRICO COBROS'!A:A)),5,FALSE)),"")</f>
        <v/>
      </c>
      <c r="F194" s="137" t="str">
        <f t="array" ref="F194">IF(A194="","",VLOOKUP(A194,INDIRECT("CXC!A2:I"&amp;COUNTA(CXC!A:A)),9,FALSE))</f>
        <v/>
      </c>
      <c r="G194" s="137" t="str">
        <f t="array" ref="G194">IFERROR(IF(A194="","",VLOOKUP(A194,INDIRECT("HISTÓRICO COBROS!A3:F"&amp;COUNTA('HISTÓRICO COBROS'!A:A)),6,FALSE)),"")</f>
        <v/>
      </c>
      <c r="H194" s="138" t="str">
        <f t="shared" ref="H194:I194" si="195">IF(D194="","",D194+F194)</f>
        <v/>
      </c>
      <c r="I194" s="135" t="str">
        <f t="shared" si="195"/>
        <v/>
      </c>
      <c r="J194" s="140" t="str">
        <f t="shared" si="3"/>
        <v/>
      </c>
      <c r="K194" s="140" t="str">
        <f t="shared" si="4"/>
        <v/>
      </c>
    </row>
    <row r="195" ht="22.5" customHeight="1">
      <c r="A195" s="140"/>
      <c r="B195" s="135" t="str">
        <f t="array" ref="B195">IF(A195="","",VLOOKUP(A195,INDIRECT("CXC!A2:B"&amp;COUNTA(CXC!A:A)),2,FALSE))</f>
        <v/>
      </c>
      <c r="C195" s="136" t="str">
        <f t="array" ref="C195">IF(A195="","",VLOOKUP(A195,INDIRECT("CXC!A2:C"&amp;COUNTA(CXC!A:A)),3,FALSE))</f>
        <v/>
      </c>
      <c r="D195" s="137" t="str">
        <f t="array" ref="D195">IF(A195="","",VLOOKUP(A195,INDIRECT("CXC!A2:H"&amp;COUNTA(CXC!A:A)),8,FALSE))</f>
        <v/>
      </c>
      <c r="E195" s="137" t="str">
        <f t="array" ref="E195">IFERROR(IF(A195="","",VLOOKUP(A195,INDIRECT("HISTÓRICO COBROS!A3:E"&amp;COUNTA('HISTÓRICO COBROS'!A:A)),5,FALSE)),"")</f>
        <v/>
      </c>
      <c r="F195" s="137" t="str">
        <f t="array" ref="F195">IF(A195="","",VLOOKUP(A195,INDIRECT("CXC!A2:I"&amp;COUNTA(CXC!A:A)),9,FALSE))</f>
        <v/>
      </c>
      <c r="G195" s="137" t="str">
        <f t="array" ref="G195">IFERROR(IF(A195="","",VLOOKUP(A195,INDIRECT("HISTÓRICO COBROS!A3:F"&amp;COUNTA('HISTÓRICO COBROS'!A:A)),6,FALSE)),"")</f>
        <v/>
      </c>
      <c r="H195" s="138" t="str">
        <f t="shared" ref="H195:I195" si="196">IF(D195="","",D195+F195)</f>
        <v/>
      </c>
      <c r="I195" s="135" t="str">
        <f t="shared" si="196"/>
        <v/>
      </c>
      <c r="J195" s="140" t="str">
        <f t="shared" si="3"/>
        <v/>
      </c>
      <c r="K195" s="140" t="str">
        <f t="shared" si="4"/>
        <v/>
      </c>
    </row>
    <row r="196" ht="22.5" customHeight="1">
      <c r="A196" s="140"/>
      <c r="B196" s="135" t="str">
        <f t="array" ref="B196">IF(A196="","",VLOOKUP(A196,INDIRECT("CXC!A2:B"&amp;COUNTA(CXC!A:A)),2,FALSE))</f>
        <v/>
      </c>
      <c r="C196" s="136" t="str">
        <f t="array" ref="C196">IF(A196="","",VLOOKUP(A196,INDIRECT("CXC!A2:C"&amp;COUNTA(CXC!A:A)),3,FALSE))</f>
        <v/>
      </c>
      <c r="D196" s="137" t="str">
        <f t="array" ref="D196">IF(A196="","",VLOOKUP(A196,INDIRECT("CXC!A2:H"&amp;COUNTA(CXC!A:A)),8,FALSE))</f>
        <v/>
      </c>
      <c r="E196" s="137" t="str">
        <f t="array" ref="E196">IFERROR(IF(A196="","",VLOOKUP(A196,INDIRECT("HISTÓRICO COBROS!A3:E"&amp;COUNTA('HISTÓRICO COBROS'!A:A)),5,FALSE)),"")</f>
        <v/>
      </c>
      <c r="F196" s="137" t="str">
        <f t="array" ref="F196">IF(A196="","",VLOOKUP(A196,INDIRECT("CXC!A2:I"&amp;COUNTA(CXC!A:A)),9,FALSE))</f>
        <v/>
      </c>
      <c r="G196" s="137" t="str">
        <f t="array" ref="G196">IFERROR(IF(A196="","",VLOOKUP(A196,INDIRECT("HISTÓRICO COBROS!A3:F"&amp;COUNTA('HISTÓRICO COBROS'!A:A)),6,FALSE)),"")</f>
        <v/>
      </c>
      <c r="H196" s="138" t="str">
        <f t="shared" ref="H196:I196" si="197">IF(D196="","",D196+F196)</f>
        <v/>
      </c>
      <c r="I196" s="135" t="str">
        <f t="shared" si="197"/>
        <v/>
      </c>
      <c r="J196" s="140" t="str">
        <f t="shared" si="3"/>
        <v/>
      </c>
      <c r="K196" s="140" t="str">
        <f t="shared" si="4"/>
        <v/>
      </c>
    </row>
    <row r="197" ht="22.5" customHeight="1">
      <c r="A197" s="140"/>
      <c r="B197" s="135" t="str">
        <f t="array" ref="B197">IF(A197="","",VLOOKUP(A197,INDIRECT("CXC!A2:B"&amp;COUNTA(CXC!A:A)),2,FALSE))</f>
        <v/>
      </c>
      <c r="C197" s="136" t="str">
        <f t="array" ref="C197">IF(A197="","",VLOOKUP(A197,INDIRECT("CXC!A2:C"&amp;COUNTA(CXC!A:A)),3,FALSE))</f>
        <v/>
      </c>
      <c r="D197" s="137" t="str">
        <f t="array" ref="D197">IF(A197="","",VLOOKUP(A197,INDIRECT("CXC!A2:H"&amp;COUNTA(CXC!A:A)),8,FALSE))</f>
        <v/>
      </c>
      <c r="E197" s="137" t="str">
        <f t="array" ref="E197">IFERROR(IF(A197="","",VLOOKUP(A197,INDIRECT("HISTÓRICO COBROS!A3:E"&amp;COUNTA('HISTÓRICO COBROS'!A:A)),5,FALSE)),"")</f>
        <v/>
      </c>
      <c r="F197" s="137" t="str">
        <f t="array" ref="F197">IF(A197="","",VLOOKUP(A197,INDIRECT("CXC!A2:I"&amp;COUNTA(CXC!A:A)),9,FALSE))</f>
        <v/>
      </c>
      <c r="G197" s="137" t="str">
        <f t="array" ref="G197">IFERROR(IF(A197="","",VLOOKUP(A197,INDIRECT("HISTÓRICO COBROS!A3:F"&amp;COUNTA('HISTÓRICO COBROS'!A:A)),6,FALSE)),"")</f>
        <v/>
      </c>
      <c r="H197" s="138" t="str">
        <f t="shared" ref="H197:I197" si="198">IF(D197="","",D197+F197)</f>
        <v/>
      </c>
      <c r="I197" s="135" t="str">
        <f t="shared" si="198"/>
        <v/>
      </c>
      <c r="J197" s="140" t="str">
        <f t="shared" si="3"/>
        <v/>
      </c>
      <c r="K197" s="140" t="str">
        <f t="shared" si="4"/>
        <v/>
      </c>
    </row>
    <row r="198" ht="22.5" customHeight="1">
      <c r="A198" s="140"/>
      <c r="B198" s="135" t="str">
        <f t="array" ref="B198">IF(A198="","",VLOOKUP(A198,INDIRECT("CXC!A2:B"&amp;COUNTA(CXC!A:A)),2,FALSE))</f>
        <v/>
      </c>
      <c r="C198" s="136" t="str">
        <f t="array" ref="C198">IF(A198="","",VLOOKUP(A198,INDIRECT("CXC!A2:C"&amp;COUNTA(CXC!A:A)),3,FALSE))</f>
        <v/>
      </c>
      <c r="D198" s="137" t="str">
        <f t="array" ref="D198">IF(A198="","",VLOOKUP(A198,INDIRECT("CXC!A2:H"&amp;COUNTA(CXC!A:A)),8,FALSE))</f>
        <v/>
      </c>
      <c r="E198" s="137" t="str">
        <f t="array" ref="E198">IFERROR(IF(A198="","",VLOOKUP(A198,INDIRECT("HISTÓRICO COBROS!A3:E"&amp;COUNTA('HISTÓRICO COBROS'!A:A)),5,FALSE)),"")</f>
        <v/>
      </c>
      <c r="F198" s="137" t="str">
        <f t="array" ref="F198">IF(A198="","",VLOOKUP(A198,INDIRECT("CXC!A2:I"&amp;COUNTA(CXC!A:A)),9,FALSE))</f>
        <v/>
      </c>
      <c r="G198" s="137" t="str">
        <f t="array" ref="G198">IFERROR(IF(A198="","",VLOOKUP(A198,INDIRECT("HISTÓRICO COBROS!A3:F"&amp;COUNTA('HISTÓRICO COBROS'!A:A)),6,FALSE)),"")</f>
        <v/>
      </c>
      <c r="H198" s="138" t="str">
        <f t="shared" ref="H198:I198" si="199">IF(D198="","",D198+F198)</f>
        <v/>
      </c>
      <c r="I198" s="135" t="str">
        <f t="shared" si="199"/>
        <v/>
      </c>
      <c r="J198" s="140" t="str">
        <f t="shared" si="3"/>
        <v/>
      </c>
      <c r="K198" s="140" t="str">
        <f t="shared" si="4"/>
        <v/>
      </c>
    </row>
    <row r="199" ht="22.5" customHeight="1">
      <c r="A199" s="140"/>
      <c r="B199" s="135" t="str">
        <f t="array" ref="B199">IF(A199="","",VLOOKUP(A199,INDIRECT("CXC!A2:B"&amp;COUNTA(CXC!A:A)),2,FALSE))</f>
        <v/>
      </c>
      <c r="C199" s="136" t="str">
        <f t="array" ref="C199">IF(A199="","",VLOOKUP(A199,INDIRECT("CXC!A2:C"&amp;COUNTA(CXC!A:A)),3,FALSE))</f>
        <v/>
      </c>
      <c r="D199" s="137" t="str">
        <f t="array" ref="D199">IF(A199="","",VLOOKUP(A199,INDIRECT("CXC!A2:H"&amp;COUNTA(CXC!A:A)),8,FALSE))</f>
        <v/>
      </c>
      <c r="E199" s="137" t="str">
        <f t="array" ref="E199">IFERROR(IF(A199="","",VLOOKUP(A199,INDIRECT("HISTÓRICO COBROS!A3:E"&amp;COUNTA('HISTÓRICO COBROS'!A:A)),5,FALSE)),"")</f>
        <v/>
      </c>
      <c r="F199" s="137" t="str">
        <f t="array" ref="F199">IF(A199="","",VLOOKUP(A199,INDIRECT("CXC!A2:I"&amp;COUNTA(CXC!A:A)),9,FALSE))</f>
        <v/>
      </c>
      <c r="G199" s="137" t="str">
        <f t="array" ref="G199">IFERROR(IF(A199="","",VLOOKUP(A199,INDIRECT("HISTÓRICO COBROS!A3:F"&amp;COUNTA('HISTÓRICO COBROS'!A:A)),6,FALSE)),"")</f>
        <v/>
      </c>
      <c r="H199" s="138" t="str">
        <f t="shared" ref="H199:I199" si="200">IF(D199="","",D199+F199)</f>
        <v/>
      </c>
      <c r="I199" s="135" t="str">
        <f t="shared" si="200"/>
        <v/>
      </c>
      <c r="J199" s="140" t="str">
        <f t="shared" si="3"/>
        <v/>
      </c>
      <c r="K199" s="140" t="str">
        <f t="shared" si="4"/>
        <v/>
      </c>
    </row>
    <row r="200" ht="22.5" customHeight="1">
      <c r="A200" s="140"/>
      <c r="B200" s="135" t="str">
        <f t="array" ref="B200">IF(A200="","",VLOOKUP(A200,INDIRECT("CXC!A2:B"&amp;COUNTA(CXC!A:A)),2,FALSE))</f>
        <v/>
      </c>
      <c r="C200" s="136" t="str">
        <f t="array" ref="C200">IF(A200="","",VLOOKUP(A200,INDIRECT("CXC!A2:C"&amp;COUNTA(CXC!A:A)),3,FALSE))</f>
        <v/>
      </c>
      <c r="D200" s="137" t="str">
        <f t="array" ref="D200">IF(A200="","",VLOOKUP(A200,INDIRECT("CXC!A2:H"&amp;COUNTA(CXC!A:A)),8,FALSE))</f>
        <v/>
      </c>
      <c r="E200" s="137" t="str">
        <f t="array" ref="E200">IFERROR(IF(A200="","",VLOOKUP(A200,INDIRECT("HISTÓRICO COBROS!A3:E"&amp;COUNTA('HISTÓRICO COBROS'!A:A)),5,FALSE)),"")</f>
        <v/>
      </c>
      <c r="F200" s="137" t="str">
        <f t="array" ref="F200">IF(A200="","",VLOOKUP(A200,INDIRECT("CXC!A2:I"&amp;COUNTA(CXC!A:A)),9,FALSE))</f>
        <v/>
      </c>
      <c r="G200" s="137" t="str">
        <f t="array" ref="G200">IFERROR(IF(A200="","",VLOOKUP(A200,INDIRECT("HISTÓRICO COBROS!A3:F"&amp;COUNTA('HISTÓRICO COBROS'!A:A)),6,FALSE)),"")</f>
        <v/>
      </c>
      <c r="H200" s="138" t="str">
        <f t="shared" ref="H200:I200" si="201">IF(D200="","",D200+F200)</f>
        <v/>
      </c>
      <c r="I200" s="135" t="str">
        <f t="shared" si="201"/>
        <v/>
      </c>
      <c r="J200" s="140" t="str">
        <f t="shared" si="3"/>
        <v/>
      </c>
      <c r="K200" s="140" t="str">
        <f t="shared" si="4"/>
        <v/>
      </c>
    </row>
    <row r="201" ht="22.5" customHeight="1">
      <c r="A201" s="140"/>
      <c r="B201" s="135" t="str">
        <f t="array" ref="B201">IF(A201="","",VLOOKUP(A201,INDIRECT("CXC!A2:B"&amp;COUNTA(CXC!A:A)),2,FALSE))</f>
        <v/>
      </c>
      <c r="C201" s="136" t="str">
        <f t="array" ref="C201">IF(A201="","",VLOOKUP(A201,INDIRECT("CXC!A2:C"&amp;COUNTA(CXC!A:A)),3,FALSE))</f>
        <v/>
      </c>
      <c r="D201" s="137" t="str">
        <f t="array" ref="D201">IF(A201="","",VLOOKUP(A201,INDIRECT("CXC!A2:H"&amp;COUNTA(CXC!A:A)),8,FALSE))</f>
        <v/>
      </c>
      <c r="E201" s="137" t="str">
        <f t="array" ref="E201">IFERROR(IF(A201="","",VLOOKUP(A201,INDIRECT("HISTÓRICO COBROS!A3:E"&amp;COUNTA('HISTÓRICO COBROS'!A:A)),5,FALSE)),"")</f>
        <v/>
      </c>
      <c r="F201" s="137" t="str">
        <f t="array" ref="F201">IF(A201="","",VLOOKUP(A201,INDIRECT("CXC!A2:I"&amp;COUNTA(CXC!A:A)),9,FALSE))</f>
        <v/>
      </c>
      <c r="G201" s="137" t="str">
        <f t="array" ref="G201">IFERROR(IF(A201="","",VLOOKUP(A201,INDIRECT("HISTÓRICO COBROS!A3:F"&amp;COUNTA('HISTÓRICO COBROS'!A:A)),6,FALSE)),"")</f>
        <v/>
      </c>
      <c r="H201" s="138" t="str">
        <f t="shared" ref="H201:I201" si="202">IF(D201="","",D201+F201)</f>
        <v/>
      </c>
      <c r="I201" s="135" t="str">
        <f t="shared" si="202"/>
        <v/>
      </c>
      <c r="J201" s="140" t="str">
        <f t="shared" si="3"/>
        <v/>
      </c>
      <c r="K201" s="140" t="str">
        <f t="shared" si="4"/>
        <v/>
      </c>
    </row>
    <row r="202" ht="22.5" customHeight="1">
      <c r="A202" s="140"/>
      <c r="B202" s="135" t="str">
        <f t="array" ref="B202">IF(A202="","",VLOOKUP(A202,INDIRECT("CXC!A2:B"&amp;COUNTA(CXC!A:A)),2,FALSE))</f>
        <v/>
      </c>
      <c r="C202" s="136" t="str">
        <f t="array" ref="C202">IF(A202="","",VLOOKUP(A202,INDIRECT("CXC!A2:C"&amp;COUNTA(CXC!A:A)),3,FALSE))</f>
        <v/>
      </c>
      <c r="D202" s="137" t="str">
        <f t="array" ref="D202">IF(A202="","",VLOOKUP(A202,INDIRECT("CXC!A2:H"&amp;COUNTA(CXC!A:A)),8,FALSE))</f>
        <v/>
      </c>
      <c r="E202" s="137" t="str">
        <f t="array" ref="E202">IFERROR(IF(A202="","",VLOOKUP(A202,INDIRECT("HISTÓRICO COBROS!A3:E"&amp;COUNTA('HISTÓRICO COBROS'!A:A)),5,FALSE)),"")</f>
        <v/>
      </c>
      <c r="F202" s="137" t="str">
        <f t="array" ref="F202">IF(A202="","",VLOOKUP(A202,INDIRECT("CXC!A2:I"&amp;COUNTA(CXC!A:A)),9,FALSE))</f>
        <v/>
      </c>
      <c r="G202" s="137" t="str">
        <f t="array" ref="G202">IFERROR(IF(A202="","",VLOOKUP(A202,INDIRECT("HISTÓRICO COBROS!A3:F"&amp;COUNTA('HISTÓRICO COBROS'!A:A)),6,FALSE)),"")</f>
        <v/>
      </c>
      <c r="H202" s="138" t="str">
        <f t="shared" ref="H202:I202" si="203">IF(D202="","",D202+F202)</f>
        <v/>
      </c>
      <c r="I202" s="135" t="str">
        <f t="shared" si="203"/>
        <v/>
      </c>
      <c r="J202" s="140" t="str">
        <f t="shared" si="3"/>
        <v/>
      </c>
      <c r="K202" s="140" t="str">
        <f t="shared" si="4"/>
        <v/>
      </c>
    </row>
    <row r="203" ht="22.5" customHeight="1">
      <c r="A203" s="140"/>
      <c r="B203" s="135" t="str">
        <f t="array" ref="B203">IF(A203="","",VLOOKUP(A203,INDIRECT("CXC!A2:B"&amp;COUNTA(CXC!A:A)),2,FALSE))</f>
        <v/>
      </c>
      <c r="C203" s="136" t="str">
        <f t="array" ref="C203">IF(A203="","",VLOOKUP(A203,INDIRECT("CXC!A2:C"&amp;COUNTA(CXC!A:A)),3,FALSE))</f>
        <v/>
      </c>
      <c r="D203" s="137" t="str">
        <f t="array" ref="D203">IF(A203="","",VLOOKUP(A203,INDIRECT("CXC!A2:H"&amp;COUNTA(CXC!A:A)),8,FALSE))</f>
        <v/>
      </c>
      <c r="E203" s="137" t="str">
        <f t="array" ref="E203">IFERROR(IF(A203="","",VLOOKUP(A203,INDIRECT("HISTÓRICO COBROS!A3:E"&amp;COUNTA('HISTÓRICO COBROS'!A:A)),5,FALSE)),"")</f>
        <v/>
      </c>
      <c r="F203" s="137" t="str">
        <f t="array" ref="F203">IF(A203="","",VLOOKUP(A203,INDIRECT("CXC!A2:I"&amp;COUNTA(CXC!A:A)),9,FALSE))</f>
        <v/>
      </c>
      <c r="G203" s="137" t="str">
        <f t="array" ref="G203">IFERROR(IF(A203="","",VLOOKUP(A203,INDIRECT("HISTÓRICO COBROS!A3:F"&amp;COUNTA('HISTÓRICO COBROS'!A:A)),6,FALSE)),"")</f>
        <v/>
      </c>
      <c r="H203" s="138" t="str">
        <f t="shared" ref="H203:I203" si="204">IF(D203="","",D203+F203)</f>
        <v/>
      </c>
      <c r="I203" s="135" t="str">
        <f t="shared" si="204"/>
        <v/>
      </c>
      <c r="J203" s="140" t="str">
        <f t="shared" si="3"/>
        <v/>
      </c>
      <c r="K203" s="140" t="str">
        <f t="shared" si="4"/>
        <v/>
      </c>
    </row>
    <row r="204" ht="22.5" customHeight="1">
      <c r="A204" s="140"/>
      <c r="B204" s="135" t="str">
        <f t="array" ref="B204">IF(A204="","",VLOOKUP(A204,INDIRECT("CXC!A2:B"&amp;COUNTA(CXC!A:A)),2,FALSE))</f>
        <v/>
      </c>
      <c r="C204" s="136" t="str">
        <f t="array" ref="C204">IF(A204="","",VLOOKUP(A204,INDIRECT("CXC!A2:C"&amp;COUNTA(CXC!A:A)),3,FALSE))</f>
        <v/>
      </c>
      <c r="D204" s="137" t="str">
        <f t="array" ref="D204">IF(A204="","",VLOOKUP(A204,INDIRECT("CXC!A2:H"&amp;COUNTA(CXC!A:A)),8,FALSE))</f>
        <v/>
      </c>
      <c r="E204" s="137" t="str">
        <f t="array" ref="E204">IFERROR(IF(A204="","",VLOOKUP(A204,INDIRECT("HISTÓRICO COBROS!A3:E"&amp;COUNTA('HISTÓRICO COBROS'!A:A)),5,FALSE)),"")</f>
        <v/>
      </c>
      <c r="F204" s="137" t="str">
        <f t="array" ref="F204">IF(A204="","",VLOOKUP(A204,INDIRECT("CXC!A2:I"&amp;COUNTA(CXC!A:A)),9,FALSE))</f>
        <v/>
      </c>
      <c r="G204" s="137" t="str">
        <f t="array" ref="G204">IFERROR(IF(A204="","",VLOOKUP(A204,INDIRECT("HISTÓRICO COBROS!A3:F"&amp;COUNTA('HISTÓRICO COBROS'!A:A)),6,FALSE)),"")</f>
        <v/>
      </c>
      <c r="H204" s="138" t="str">
        <f t="shared" ref="H204:I204" si="205">IF(D204="","",D204+F204)</f>
        <v/>
      </c>
      <c r="I204" s="135" t="str">
        <f t="shared" si="205"/>
        <v/>
      </c>
      <c r="J204" s="140" t="str">
        <f t="shared" si="3"/>
        <v/>
      </c>
      <c r="K204" s="140" t="str">
        <f t="shared" si="4"/>
        <v/>
      </c>
    </row>
    <row r="205" ht="22.5" customHeight="1">
      <c r="A205" s="140"/>
      <c r="B205" s="135" t="str">
        <f t="array" ref="B205">IF(A205="","",VLOOKUP(A205,INDIRECT("CXC!A2:B"&amp;COUNTA(CXC!A:A)),2,FALSE))</f>
        <v/>
      </c>
      <c r="C205" s="136" t="str">
        <f t="array" ref="C205">IF(A205="","",VLOOKUP(A205,INDIRECT("CXC!A2:C"&amp;COUNTA(CXC!A:A)),3,FALSE))</f>
        <v/>
      </c>
      <c r="D205" s="137" t="str">
        <f t="array" ref="D205">IF(A205="","",VLOOKUP(A205,INDIRECT("CXC!A2:H"&amp;COUNTA(CXC!A:A)),8,FALSE))</f>
        <v/>
      </c>
      <c r="E205" s="137" t="str">
        <f t="array" ref="E205">IFERROR(IF(A205="","",VLOOKUP(A205,INDIRECT("HISTÓRICO COBROS!A3:E"&amp;COUNTA('HISTÓRICO COBROS'!A:A)),5,FALSE)),"")</f>
        <v/>
      </c>
      <c r="F205" s="137" t="str">
        <f t="array" ref="F205">IF(A205="","",VLOOKUP(A205,INDIRECT("CXC!A2:I"&amp;COUNTA(CXC!A:A)),9,FALSE))</f>
        <v/>
      </c>
      <c r="G205" s="137" t="str">
        <f t="array" ref="G205">IFERROR(IF(A205="","",VLOOKUP(A205,INDIRECT("HISTÓRICO COBROS!A3:F"&amp;COUNTA('HISTÓRICO COBROS'!A:A)),6,FALSE)),"")</f>
        <v/>
      </c>
      <c r="H205" s="138" t="str">
        <f t="shared" ref="H205:I205" si="206">IF(D205="","",D205+F205)</f>
        <v/>
      </c>
      <c r="I205" s="135" t="str">
        <f t="shared" si="206"/>
        <v/>
      </c>
      <c r="J205" s="140" t="str">
        <f t="shared" si="3"/>
        <v/>
      </c>
      <c r="K205" s="140" t="str">
        <f t="shared" si="4"/>
        <v/>
      </c>
    </row>
    <row r="206" ht="22.5" customHeight="1">
      <c r="A206" s="140"/>
      <c r="B206" s="135" t="str">
        <f t="array" ref="B206">IF(A206="","",VLOOKUP(A206,INDIRECT("CXC!A2:B"&amp;COUNTA(CXC!A:A)),2,FALSE))</f>
        <v/>
      </c>
      <c r="C206" s="136" t="str">
        <f t="array" ref="C206">IF(A206="","",VLOOKUP(A206,INDIRECT("CXC!A2:C"&amp;COUNTA(CXC!A:A)),3,FALSE))</f>
        <v/>
      </c>
      <c r="D206" s="137" t="str">
        <f t="array" ref="D206">IF(A206="","",VLOOKUP(A206,INDIRECT("CXC!A2:H"&amp;COUNTA(CXC!A:A)),8,FALSE))</f>
        <v/>
      </c>
      <c r="E206" s="137" t="str">
        <f t="array" ref="E206">IFERROR(IF(A206="","",VLOOKUP(A206,INDIRECT("HISTÓRICO COBROS!A3:E"&amp;COUNTA('HISTÓRICO COBROS'!A:A)),5,FALSE)),"")</f>
        <v/>
      </c>
      <c r="F206" s="137" t="str">
        <f t="array" ref="F206">IF(A206="","",VLOOKUP(A206,INDIRECT("CXC!A2:I"&amp;COUNTA(CXC!A:A)),9,FALSE))</f>
        <v/>
      </c>
      <c r="G206" s="137" t="str">
        <f t="array" ref="G206">IFERROR(IF(A206="","",VLOOKUP(A206,INDIRECT("HISTÓRICO COBROS!A3:F"&amp;COUNTA('HISTÓRICO COBROS'!A:A)),6,FALSE)),"")</f>
        <v/>
      </c>
      <c r="H206" s="138" t="str">
        <f t="shared" ref="H206:I206" si="207">IF(D206="","",D206+F206)</f>
        <v/>
      </c>
      <c r="I206" s="135" t="str">
        <f t="shared" si="207"/>
        <v/>
      </c>
      <c r="J206" s="140" t="str">
        <f t="shared" si="3"/>
        <v/>
      </c>
      <c r="K206" s="140" t="str">
        <f t="shared" si="4"/>
        <v/>
      </c>
    </row>
    <row r="207" ht="22.5" customHeight="1">
      <c r="A207" s="140"/>
      <c r="B207" s="135" t="str">
        <f t="array" ref="B207">IF(A207="","",VLOOKUP(A207,INDIRECT("CXC!A2:B"&amp;COUNTA(CXC!A:A)),2,FALSE))</f>
        <v/>
      </c>
      <c r="C207" s="136" t="str">
        <f t="array" ref="C207">IF(A207="","",VLOOKUP(A207,INDIRECT("CXC!A2:C"&amp;COUNTA(CXC!A:A)),3,FALSE))</f>
        <v/>
      </c>
      <c r="D207" s="137" t="str">
        <f t="array" ref="D207">IF(A207="","",VLOOKUP(A207,INDIRECT("CXC!A2:H"&amp;COUNTA(CXC!A:A)),8,FALSE))</f>
        <v/>
      </c>
      <c r="E207" s="137" t="str">
        <f t="array" ref="E207">IFERROR(IF(A207="","",VLOOKUP(A207,INDIRECT("HISTÓRICO COBROS!A3:E"&amp;COUNTA('HISTÓRICO COBROS'!A:A)),5,FALSE)),"")</f>
        <v/>
      </c>
      <c r="F207" s="137" t="str">
        <f t="array" ref="F207">IF(A207="","",VLOOKUP(A207,INDIRECT("CXC!A2:I"&amp;COUNTA(CXC!A:A)),9,FALSE))</f>
        <v/>
      </c>
      <c r="G207" s="137" t="str">
        <f t="array" ref="G207">IFERROR(IF(A207="","",VLOOKUP(A207,INDIRECT("HISTÓRICO COBROS!A3:F"&amp;COUNTA('HISTÓRICO COBROS'!A:A)),6,FALSE)),"")</f>
        <v/>
      </c>
      <c r="H207" s="138" t="str">
        <f t="shared" ref="H207:I207" si="208">IF(D207="","",D207+F207)</f>
        <v/>
      </c>
      <c r="I207" s="135" t="str">
        <f t="shared" si="208"/>
        <v/>
      </c>
      <c r="J207" s="140" t="str">
        <f t="shared" si="3"/>
        <v/>
      </c>
      <c r="K207" s="140" t="str">
        <f t="shared" si="4"/>
        <v/>
      </c>
    </row>
    <row r="208" ht="22.5" customHeight="1">
      <c r="A208" s="140"/>
      <c r="B208" s="135" t="str">
        <f t="array" ref="B208">IF(A208="","",VLOOKUP(A208,INDIRECT("CXC!A2:B"&amp;COUNTA(CXC!A:A)),2,FALSE))</f>
        <v/>
      </c>
      <c r="C208" s="136" t="str">
        <f t="array" ref="C208">IF(A208="","",VLOOKUP(A208,INDIRECT("CXC!A2:C"&amp;COUNTA(CXC!A:A)),3,FALSE))</f>
        <v/>
      </c>
      <c r="D208" s="137" t="str">
        <f t="array" ref="D208">IF(A208="","",VLOOKUP(A208,INDIRECT("CXC!A2:H"&amp;COUNTA(CXC!A:A)),8,FALSE))</f>
        <v/>
      </c>
      <c r="E208" s="137" t="str">
        <f t="array" ref="E208">IFERROR(IF(A208="","",VLOOKUP(A208,INDIRECT("HISTÓRICO COBROS!A3:E"&amp;COUNTA('HISTÓRICO COBROS'!A:A)),5,FALSE)),"")</f>
        <v/>
      </c>
      <c r="F208" s="137" t="str">
        <f t="array" ref="F208">IF(A208="","",VLOOKUP(A208,INDIRECT("CXC!A2:I"&amp;COUNTA(CXC!A:A)),9,FALSE))</f>
        <v/>
      </c>
      <c r="G208" s="137" t="str">
        <f t="array" ref="G208">IFERROR(IF(A208="","",VLOOKUP(A208,INDIRECT("HISTÓRICO COBROS!A3:F"&amp;COUNTA('HISTÓRICO COBROS'!A:A)),6,FALSE)),"")</f>
        <v/>
      </c>
      <c r="H208" s="138" t="str">
        <f t="shared" ref="H208:I208" si="209">IF(D208="","",D208+F208)</f>
        <v/>
      </c>
      <c r="I208" s="135" t="str">
        <f t="shared" si="209"/>
        <v/>
      </c>
      <c r="J208" s="140" t="str">
        <f t="shared" si="3"/>
        <v/>
      </c>
      <c r="K208" s="140" t="str">
        <f t="shared" si="4"/>
        <v/>
      </c>
    </row>
    <row r="209" ht="22.5" customHeight="1">
      <c r="A209" s="140"/>
      <c r="B209" s="135" t="str">
        <f t="array" ref="B209">IF(A209="","",VLOOKUP(A209,INDIRECT("CXC!A2:B"&amp;COUNTA(CXC!A:A)),2,FALSE))</f>
        <v/>
      </c>
      <c r="C209" s="136" t="str">
        <f t="array" ref="C209">IF(A209="","",VLOOKUP(A209,INDIRECT("CXC!A2:C"&amp;COUNTA(CXC!A:A)),3,FALSE))</f>
        <v/>
      </c>
      <c r="D209" s="137" t="str">
        <f t="array" ref="D209">IF(A209="","",VLOOKUP(A209,INDIRECT("CXC!A2:H"&amp;COUNTA(CXC!A:A)),8,FALSE))</f>
        <v/>
      </c>
      <c r="E209" s="137" t="str">
        <f t="array" ref="E209">IFERROR(IF(A209="","",VLOOKUP(A209,INDIRECT("HISTÓRICO COBROS!A3:E"&amp;COUNTA('HISTÓRICO COBROS'!A:A)),5,FALSE)),"")</f>
        <v/>
      </c>
      <c r="F209" s="137" t="str">
        <f t="array" ref="F209">IF(A209="","",VLOOKUP(A209,INDIRECT("CXC!A2:I"&amp;COUNTA(CXC!A:A)),9,FALSE))</f>
        <v/>
      </c>
      <c r="G209" s="137" t="str">
        <f t="array" ref="G209">IFERROR(IF(A209="","",VLOOKUP(A209,INDIRECT("HISTÓRICO COBROS!A3:F"&amp;COUNTA('HISTÓRICO COBROS'!A:A)),6,FALSE)),"")</f>
        <v/>
      </c>
      <c r="H209" s="138" t="str">
        <f t="shared" ref="H209:I209" si="210">IF(D209="","",D209+F209)</f>
        <v/>
      </c>
      <c r="I209" s="135" t="str">
        <f t="shared" si="210"/>
        <v/>
      </c>
      <c r="J209" s="140" t="str">
        <f t="shared" si="3"/>
        <v/>
      </c>
      <c r="K209" s="140" t="str">
        <f t="shared" si="4"/>
        <v/>
      </c>
    </row>
    <row r="210" ht="22.5" customHeight="1">
      <c r="A210" s="140"/>
      <c r="B210" s="135" t="str">
        <f t="array" ref="B210">IF(A210="","",VLOOKUP(A210,INDIRECT("CXC!A2:B"&amp;COUNTA(CXC!A:A)),2,FALSE))</f>
        <v/>
      </c>
      <c r="C210" s="136" t="str">
        <f t="array" ref="C210">IF(A210="","",VLOOKUP(A210,INDIRECT("CXC!A2:C"&amp;COUNTA(CXC!A:A)),3,FALSE))</f>
        <v/>
      </c>
      <c r="D210" s="137" t="str">
        <f t="array" ref="D210">IF(A210="","",VLOOKUP(A210,INDIRECT("CXC!A2:H"&amp;COUNTA(CXC!A:A)),8,FALSE))</f>
        <v/>
      </c>
      <c r="E210" s="137" t="str">
        <f t="array" ref="E210">IFERROR(IF(A210="","",VLOOKUP(A210,INDIRECT("HISTÓRICO COBROS!A3:E"&amp;COUNTA('HISTÓRICO COBROS'!A:A)),5,FALSE)),"")</f>
        <v/>
      </c>
      <c r="F210" s="137" t="str">
        <f t="array" ref="F210">IF(A210="","",VLOOKUP(A210,INDIRECT("CXC!A2:I"&amp;COUNTA(CXC!A:A)),9,FALSE))</f>
        <v/>
      </c>
      <c r="G210" s="137" t="str">
        <f t="array" ref="G210">IFERROR(IF(A210="","",VLOOKUP(A210,INDIRECT("HISTÓRICO COBROS!A3:F"&amp;COUNTA('HISTÓRICO COBROS'!A:A)),6,FALSE)),"")</f>
        <v/>
      </c>
      <c r="H210" s="138" t="str">
        <f t="shared" ref="H210:I210" si="211">IF(D210="","",D210+F210)</f>
        <v/>
      </c>
      <c r="I210" s="135" t="str">
        <f t="shared" si="211"/>
        <v/>
      </c>
      <c r="J210" s="140" t="str">
        <f t="shared" si="3"/>
        <v/>
      </c>
      <c r="K210" s="140" t="str">
        <f t="shared" si="4"/>
        <v/>
      </c>
    </row>
    <row r="211" ht="22.5" customHeight="1">
      <c r="A211" s="140"/>
      <c r="B211" s="135" t="str">
        <f t="array" ref="B211">IF(A211="","",VLOOKUP(A211,INDIRECT("CXC!A2:B"&amp;COUNTA(CXC!A:A)),2,FALSE))</f>
        <v/>
      </c>
      <c r="C211" s="136" t="str">
        <f t="array" ref="C211">IF(A211="","",VLOOKUP(A211,INDIRECT("CXC!A2:C"&amp;COUNTA(CXC!A:A)),3,FALSE))</f>
        <v/>
      </c>
      <c r="D211" s="137" t="str">
        <f t="array" ref="D211">IF(A211="","",VLOOKUP(A211,INDIRECT("CXC!A2:H"&amp;COUNTA(CXC!A:A)),8,FALSE))</f>
        <v/>
      </c>
      <c r="E211" s="137" t="str">
        <f t="array" ref="E211">IFERROR(IF(A211="","",VLOOKUP(A211,INDIRECT("HISTÓRICO COBROS!A3:E"&amp;COUNTA('HISTÓRICO COBROS'!A:A)),5,FALSE)),"")</f>
        <v/>
      </c>
      <c r="F211" s="137" t="str">
        <f t="array" ref="F211">IF(A211="","",VLOOKUP(A211,INDIRECT("CXC!A2:I"&amp;COUNTA(CXC!A:A)),9,FALSE))</f>
        <v/>
      </c>
      <c r="G211" s="137" t="str">
        <f t="array" ref="G211">IFERROR(IF(A211="","",VLOOKUP(A211,INDIRECT("HISTÓRICO COBROS!A3:F"&amp;COUNTA('HISTÓRICO COBROS'!A:A)),6,FALSE)),"")</f>
        <v/>
      </c>
      <c r="H211" s="138" t="str">
        <f t="shared" ref="H211:I211" si="212">IF(D211="","",D211+F211)</f>
        <v/>
      </c>
      <c r="I211" s="135" t="str">
        <f t="shared" si="212"/>
        <v/>
      </c>
      <c r="J211" s="140" t="str">
        <f t="shared" si="3"/>
        <v/>
      </c>
      <c r="K211" s="140" t="str">
        <f t="shared" si="4"/>
        <v/>
      </c>
    </row>
    <row r="212" ht="22.5" customHeight="1">
      <c r="A212" s="140"/>
      <c r="B212" s="135" t="str">
        <f t="array" ref="B212">IF(A212="","",VLOOKUP(A212,INDIRECT("CXC!A2:B"&amp;COUNTA(CXC!A:A)),2,FALSE))</f>
        <v/>
      </c>
      <c r="C212" s="136" t="str">
        <f t="array" ref="C212">IF(A212="","",VLOOKUP(A212,INDIRECT("CXC!A2:C"&amp;COUNTA(CXC!A:A)),3,FALSE))</f>
        <v/>
      </c>
      <c r="D212" s="137" t="str">
        <f t="array" ref="D212">IF(A212="","",VLOOKUP(A212,INDIRECT("CXC!A2:H"&amp;COUNTA(CXC!A:A)),8,FALSE))</f>
        <v/>
      </c>
      <c r="E212" s="137" t="str">
        <f t="array" ref="E212">IFERROR(IF(A212="","",VLOOKUP(A212,INDIRECT("HISTÓRICO COBROS!A3:E"&amp;COUNTA('HISTÓRICO COBROS'!A:A)),5,FALSE)),"")</f>
        <v/>
      </c>
      <c r="F212" s="137" t="str">
        <f t="array" ref="F212">IF(A212="","",VLOOKUP(A212,INDIRECT("CXC!A2:I"&amp;COUNTA(CXC!A:A)),9,FALSE))</f>
        <v/>
      </c>
      <c r="G212" s="137" t="str">
        <f t="array" ref="G212">IFERROR(IF(A212="","",VLOOKUP(A212,INDIRECT("HISTÓRICO COBROS!A3:F"&amp;COUNTA('HISTÓRICO COBROS'!A:A)),6,FALSE)),"")</f>
        <v/>
      </c>
      <c r="H212" s="138" t="str">
        <f t="shared" ref="H212:I212" si="213">IF(D212="","",D212+F212)</f>
        <v/>
      </c>
      <c r="I212" s="135" t="str">
        <f t="shared" si="213"/>
        <v/>
      </c>
      <c r="J212" s="140" t="str">
        <f t="shared" si="3"/>
        <v/>
      </c>
      <c r="K212" s="140" t="str">
        <f t="shared" si="4"/>
        <v/>
      </c>
    </row>
    <row r="213" ht="22.5" customHeight="1">
      <c r="A213" s="140"/>
      <c r="B213" s="135" t="str">
        <f t="array" ref="B213">IF(A213="","",VLOOKUP(A213,INDIRECT("CXC!A2:B"&amp;COUNTA(CXC!A:A)),2,FALSE))</f>
        <v/>
      </c>
      <c r="C213" s="136" t="str">
        <f t="array" ref="C213">IF(A213="","",VLOOKUP(A213,INDIRECT("CXC!A2:C"&amp;COUNTA(CXC!A:A)),3,FALSE))</f>
        <v/>
      </c>
      <c r="D213" s="137" t="str">
        <f t="array" ref="D213">IF(A213="","",VLOOKUP(A213,INDIRECT("CXC!A2:H"&amp;COUNTA(CXC!A:A)),8,FALSE))</f>
        <v/>
      </c>
      <c r="E213" s="137" t="str">
        <f t="array" ref="E213">IFERROR(IF(A213="","",VLOOKUP(A213,INDIRECT("HISTÓRICO COBROS!A3:E"&amp;COUNTA('HISTÓRICO COBROS'!A:A)),5,FALSE)),"")</f>
        <v/>
      </c>
      <c r="F213" s="137" t="str">
        <f t="array" ref="F213">IF(A213="","",VLOOKUP(A213,INDIRECT("CXC!A2:I"&amp;COUNTA(CXC!A:A)),9,FALSE))</f>
        <v/>
      </c>
      <c r="G213" s="137" t="str">
        <f t="array" ref="G213">IFERROR(IF(A213="","",VLOOKUP(A213,INDIRECT("HISTÓRICO COBROS!A3:F"&amp;COUNTA('HISTÓRICO COBROS'!A:A)),6,FALSE)),"")</f>
        <v/>
      </c>
      <c r="H213" s="138" t="str">
        <f t="shared" ref="H213:I213" si="214">IF(D213="","",D213+F213)</f>
        <v/>
      </c>
      <c r="I213" s="135" t="str">
        <f t="shared" si="214"/>
        <v/>
      </c>
      <c r="J213" s="140" t="str">
        <f t="shared" si="3"/>
        <v/>
      </c>
      <c r="K213" s="140" t="str">
        <f t="shared" si="4"/>
        <v/>
      </c>
    </row>
    <row r="214" ht="22.5" customHeight="1">
      <c r="A214" s="140"/>
      <c r="B214" s="135" t="str">
        <f t="array" ref="B214">IF(A214="","",VLOOKUP(A214,INDIRECT("CXC!A2:B"&amp;COUNTA(CXC!A:A)),2,FALSE))</f>
        <v/>
      </c>
      <c r="C214" s="136" t="str">
        <f t="array" ref="C214">IF(A214="","",VLOOKUP(A214,INDIRECT("CXC!A2:C"&amp;COUNTA(CXC!A:A)),3,FALSE))</f>
        <v/>
      </c>
      <c r="D214" s="137" t="str">
        <f t="array" ref="D214">IF(A214="","",VLOOKUP(A214,INDIRECT("CXC!A2:H"&amp;COUNTA(CXC!A:A)),8,FALSE))</f>
        <v/>
      </c>
      <c r="E214" s="137" t="str">
        <f t="array" ref="E214">IFERROR(IF(A214="","",VLOOKUP(A214,INDIRECT("HISTÓRICO COBROS!A3:E"&amp;COUNTA('HISTÓRICO COBROS'!A:A)),5,FALSE)),"")</f>
        <v/>
      </c>
      <c r="F214" s="137" t="str">
        <f t="array" ref="F214">IF(A214="","",VLOOKUP(A214,INDIRECT("CXC!A2:I"&amp;COUNTA(CXC!A:A)),9,FALSE))</f>
        <v/>
      </c>
      <c r="G214" s="137" t="str">
        <f t="array" ref="G214">IFERROR(IF(A214="","",VLOOKUP(A214,INDIRECT("HISTÓRICO COBROS!A3:F"&amp;COUNTA('HISTÓRICO COBROS'!A:A)),6,FALSE)),"")</f>
        <v/>
      </c>
      <c r="H214" s="138" t="str">
        <f t="shared" ref="H214:I214" si="215">IF(D214="","",D214+F214)</f>
        <v/>
      </c>
      <c r="I214" s="135" t="str">
        <f t="shared" si="215"/>
        <v/>
      </c>
      <c r="J214" s="140" t="str">
        <f t="shared" si="3"/>
        <v/>
      </c>
      <c r="K214" s="140" t="str">
        <f t="shared" si="4"/>
        <v/>
      </c>
    </row>
    <row r="215" ht="22.5" customHeight="1">
      <c r="A215" s="140"/>
      <c r="B215" s="135" t="str">
        <f t="array" ref="B215">IF(A215="","",VLOOKUP(A215,INDIRECT("CXC!A2:B"&amp;COUNTA(CXC!A:A)),2,FALSE))</f>
        <v/>
      </c>
      <c r="C215" s="136" t="str">
        <f t="array" ref="C215">IF(A215="","",VLOOKUP(A215,INDIRECT("CXC!A2:C"&amp;COUNTA(CXC!A:A)),3,FALSE))</f>
        <v/>
      </c>
      <c r="D215" s="137" t="str">
        <f t="array" ref="D215">IF(A215="","",VLOOKUP(A215,INDIRECT("CXC!A2:H"&amp;COUNTA(CXC!A:A)),8,FALSE))</f>
        <v/>
      </c>
      <c r="E215" s="137" t="str">
        <f t="array" ref="E215">IFERROR(IF(A215="","",VLOOKUP(A215,INDIRECT("HISTÓRICO COBROS!A3:E"&amp;COUNTA('HISTÓRICO COBROS'!A:A)),5,FALSE)),"")</f>
        <v/>
      </c>
      <c r="F215" s="137" t="str">
        <f t="array" ref="F215">IF(A215="","",VLOOKUP(A215,INDIRECT("CXC!A2:I"&amp;COUNTA(CXC!A:A)),9,FALSE))</f>
        <v/>
      </c>
      <c r="G215" s="137" t="str">
        <f t="array" ref="G215">IFERROR(IF(A215="","",VLOOKUP(A215,INDIRECT("HISTÓRICO COBROS!A3:F"&amp;COUNTA('HISTÓRICO COBROS'!A:A)),6,FALSE)),"")</f>
        <v/>
      </c>
      <c r="H215" s="138" t="str">
        <f t="shared" ref="H215:I215" si="216">IF(D215="","",D215+F215)</f>
        <v/>
      </c>
      <c r="I215" s="135" t="str">
        <f t="shared" si="216"/>
        <v/>
      </c>
      <c r="J215" s="140" t="str">
        <f t="shared" si="3"/>
        <v/>
      </c>
      <c r="K215" s="140" t="str">
        <f t="shared" si="4"/>
        <v/>
      </c>
    </row>
    <row r="216" ht="22.5" customHeight="1">
      <c r="A216" s="140"/>
      <c r="B216" s="135" t="str">
        <f t="array" ref="B216">IF(A216="","",VLOOKUP(A216,INDIRECT("CXC!A2:B"&amp;COUNTA(CXC!A:A)),2,FALSE))</f>
        <v/>
      </c>
      <c r="C216" s="136" t="str">
        <f t="array" ref="C216">IF(A216="","",VLOOKUP(A216,INDIRECT("CXC!A2:C"&amp;COUNTA(CXC!A:A)),3,FALSE))</f>
        <v/>
      </c>
      <c r="D216" s="137" t="str">
        <f t="array" ref="D216">IF(A216="","",VLOOKUP(A216,INDIRECT("CXC!A2:H"&amp;COUNTA(CXC!A:A)),8,FALSE))</f>
        <v/>
      </c>
      <c r="E216" s="137" t="str">
        <f t="array" ref="E216">IFERROR(IF(A216="","",VLOOKUP(A216,INDIRECT("HISTÓRICO COBROS!A3:E"&amp;COUNTA('HISTÓRICO COBROS'!A:A)),5,FALSE)),"")</f>
        <v/>
      </c>
      <c r="F216" s="137" t="str">
        <f t="array" ref="F216">IF(A216="","",VLOOKUP(A216,INDIRECT("CXC!A2:I"&amp;COUNTA(CXC!A:A)),9,FALSE))</f>
        <v/>
      </c>
      <c r="G216" s="137" t="str">
        <f t="array" ref="G216">IFERROR(IF(A216="","",VLOOKUP(A216,INDIRECT("HISTÓRICO COBROS!A3:F"&amp;COUNTA('HISTÓRICO COBROS'!A:A)),6,FALSE)),"")</f>
        <v/>
      </c>
      <c r="H216" s="138" t="str">
        <f t="shared" ref="H216:I216" si="217">IF(D216="","",D216+F216)</f>
        <v/>
      </c>
      <c r="I216" s="135" t="str">
        <f t="shared" si="217"/>
        <v/>
      </c>
      <c r="J216" s="140" t="str">
        <f t="shared" si="3"/>
        <v/>
      </c>
      <c r="K216" s="140" t="str">
        <f t="shared" si="4"/>
        <v/>
      </c>
    </row>
    <row r="217" ht="22.5" customHeight="1">
      <c r="A217" s="140"/>
      <c r="B217" s="135" t="str">
        <f t="array" ref="B217">IF(A217="","",VLOOKUP(A217,INDIRECT("CXC!A2:B"&amp;COUNTA(CXC!A:A)),2,FALSE))</f>
        <v/>
      </c>
      <c r="C217" s="136" t="str">
        <f t="array" ref="C217">IF(A217="","",VLOOKUP(A217,INDIRECT("CXC!A2:C"&amp;COUNTA(CXC!A:A)),3,FALSE))</f>
        <v/>
      </c>
      <c r="D217" s="137" t="str">
        <f t="array" ref="D217">IF(A217="","",VLOOKUP(A217,INDIRECT("CXC!A2:H"&amp;COUNTA(CXC!A:A)),8,FALSE))</f>
        <v/>
      </c>
      <c r="E217" s="137" t="str">
        <f t="array" ref="E217">IFERROR(IF(A217="","",VLOOKUP(A217,INDIRECT("HISTÓRICO COBROS!A3:E"&amp;COUNTA('HISTÓRICO COBROS'!A:A)),5,FALSE)),"")</f>
        <v/>
      </c>
      <c r="F217" s="137" t="str">
        <f t="array" ref="F217">IF(A217="","",VLOOKUP(A217,INDIRECT("CXC!A2:I"&amp;COUNTA(CXC!A:A)),9,FALSE))</f>
        <v/>
      </c>
      <c r="G217" s="137" t="str">
        <f t="array" ref="G217">IFERROR(IF(A217="","",VLOOKUP(A217,INDIRECT("HISTÓRICO COBROS!A3:F"&amp;COUNTA('HISTÓRICO COBROS'!A:A)),6,FALSE)),"")</f>
        <v/>
      </c>
      <c r="H217" s="138" t="str">
        <f t="shared" ref="H217:I217" si="218">IF(D217="","",D217+F217)</f>
        <v/>
      </c>
      <c r="I217" s="135" t="str">
        <f t="shared" si="218"/>
        <v/>
      </c>
      <c r="J217" s="140" t="str">
        <f t="shared" si="3"/>
        <v/>
      </c>
      <c r="K217" s="140" t="str">
        <f t="shared" si="4"/>
        <v/>
      </c>
    </row>
    <row r="218" ht="22.5" customHeight="1">
      <c r="A218" s="140"/>
      <c r="B218" s="135" t="str">
        <f t="array" ref="B218">IF(A218="","",VLOOKUP(A218,INDIRECT("CXC!A2:B"&amp;COUNTA(CXC!A:A)),2,FALSE))</f>
        <v/>
      </c>
      <c r="C218" s="136" t="str">
        <f t="array" ref="C218">IF(A218="","",VLOOKUP(A218,INDIRECT("CXC!A2:C"&amp;COUNTA(CXC!A:A)),3,FALSE))</f>
        <v/>
      </c>
      <c r="D218" s="137" t="str">
        <f t="array" ref="D218">IF(A218="","",VLOOKUP(A218,INDIRECT("CXC!A2:H"&amp;COUNTA(CXC!A:A)),8,FALSE))</f>
        <v/>
      </c>
      <c r="E218" s="137" t="str">
        <f t="array" ref="E218">IFERROR(IF(A218="","",VLOOKUP(A218,INDIRECT("HISTÓRICO COBROS!A3:E"&amp;COUNTA('HISTÓRICO COBROS'!A:A)),5,FALSE)),"")</f>
        <v/>
      </c>
      <c r="F218" s="137" t="str">
        <f t="array" ref="F218">IF(A218="","",VLOOKUP(A218,INDIRECT("CXC!A2:I"&amp;COUNTA(CXC!A:A)),9,FALSE))</f>
        <v/>
      </c>
      <c r="G218" s="137" t="str">
        <f t="array" ref="G218">IFERROR(IF(A218="","",VLOOKUP(A218,INDIRECT("HISTÓRICO COBROS!A3:F"&amp;COUNTA('HISTÓRICO COBROS'!A:A)),6,FALSE)),"")</f>
        <v/>
      </c>
      <c r="H218" s="138" t="str">
        <f t="shared" ref="H218:I218" si="219">IF(D218="","",D218+F218)</f>
        <v/>
      </c>
      <c r="I218" s="135" t="str">
        <f t="shared" si="219"/>
        <v/>
      </c>
      <c r="J218" s="140" t="str">
        <f t="shared" si="3"/>
        <v/>
      </c>
      <c r="K218" s="140" t="str">
        <f t="shared" si="4"/>
        <v/>
      </c>
    </row>
    <row r="219" ht="22.5" customHeight="1">
      <c r="A219" s="140"/>
      <c r="B219" s="135" t="str">
        <f t="array" ref="B219">IF(A219="","",VLOOKUP(A219,INDIRECT("CXC!A2:B"&amp;COUNTA(CXC!A:A)),2,FALSE))</f>
        <v/>
      </c>
      <c r="C219" s="136" t="str">
        <f t="array" ref="C219">IF(A219="","",VLOOKUP(A219,INDIRECT("CXC!A2:C"&amp;COUNTA(CXC!A:A)),3,FALSE))</f>
        <v/>
      </c>
      <c r="D219" s="137" t="str">
        <f t="array" ref="D219">IF(A219="","",VLOOKUP(A219,INDIRECT("CXC!A2:H"&amp;COUNTA(CXC!A:A)),8,FALSE))</f>
        <v/>
      </c>
      <c r="E219" s="137" t="str">
        <f t="array" ref="E219">IFERROR(IF(A219="","",VLOOKUP(A219,INDIRECT("HISTÓRICO COBROS!A3:E"&amp;COUNTA('HISTÓRICO COBROS'!A:A)),5,FALSE)),"")</f>
        <v/>
      </c>
      <c r="F219" s="137" t="str">
        <f t="array" ref="F219">IF(A219="","",VLOOKUP(A219,INDIRECT("CXC!A2:I"&amp;COUNTA(CXC!A:A)),9,FALSE))</f>
        <v/>
      </c>
      <c r="G219" s="137" t="str">
        <f t="array" ref="G219">IFERROR(IF(A219="","",VLOOKUP(A219,INDIRECT("HISTÓRICO COBROS!A3:F"&amp;COUNTA('HISTÓRICO COBROS'!A:A)),6,FALSE)),"")</f>
        <v/>
      </c>
      <c r="H219" s="138" t="str">
        <f t="shared" ref="H219:I219" si="220">IF(D219="","",D219+F219)</f>
        <v/>
      </c>
      <c r="I219" s="135" t="str">
        <f t="shared" si="220"/>
        <v/>
      </c>
      <c r="J219" s="140" t="str">
        <f t="shared" si="3"/>
        <v/>
      </c>
      <c r="K219" s="140" t="str">
        <f t="shared" si="4"/>
        <v/>
      </c>
    </row>
    <row r="220" ht="22.5" customHeight="1">
      <c r="A220" s="140"/>
      <c r="B220" s="135" t="str">
        <f t="array" ref="B220">IF(A220="","",VLOOKUP(A220,INDIRECT("CXC!A2:B"&amp;COUNTA(CXC!A:A)),2,FALSE))</f>
        <v/>
      </c>
      <c r="C220" s="136" t="str">
        <f t="array" ref="C220">IF(A220="","",VLOOKUP(A220,INDIRECT("CXC!A2:C"&amp;COUNTA(CXC!A:A)),3,FALSE))</f>
        <v/>
      </c>
      <c r="D220" s="137" t="str">
        <f t="array" ref="D220">IF(A220="","",VLOOKUP(A220,INDIRECT("CXC!A2:H"&amp;COUNTA(CXC!A:A)),8,FALSE))</f>
        <v/>
      </c>
      <c r="E220" s="137" t="str">
        <f t="array" ref="E220">IFERROR(IF(A220="","",VLOOKUP(A220,INDIRECT("HISTÓRICO COBROS!A3:E"&amp;COUNTA('HISTÓRICO COBROS'!A:A)),5,FALSE)),"")</f>
        <v/>
      </c>
      <c r="F220" s="137" t="str">
        <f t="array" ref="F220">IF(A220="","",VLOOKUP(A220,INDIRECT("CXC!A2:I"&amp;COUNTA(CXC!A:A)),9,FALSE))</f>
        <v/>
      </c>
      <c r="G220" s="137" t="str">
        <f t="array" ref="G220">IFERROR(IF(A220="","",VLOOKUP(A220,INDIRECT("HISTÓRICO COBROS!A3:F"&amp;COUNTA('HISTÓRICO COBROS'!A:A)),6,FALSE)),"")</f>
        <v/>
      </c>
      <c r="H220" s="138" t="str">
        <f t="shared" ref="H220:I220" si="221">IF(D220="","",D220+F220)</f>
        <v/>
      </c>
      <c r="I220" s="135" t="str">
        <f t="shared" si="221"/>
        <v/>
      </c>
      <c r="J220" s="140" t="str">
        <f t="shared" si="3"/>
        <v/>
      </c>
      <c r="K220" s="140" t="str">
        <f t="shared" si="4"/>
        <v/>
      </c>
    </row>
    <row r="221" ht="22.5" customHeight="1">
      <c r="A221" s="140"/>
      <c r="B221" s="135" t="str">
        <f t="array" ref="B221">IF(A221="","",VLOOKUP(A221,INDIRECT("CXC!A2:B"&amp;COUNTA(CXC!A:A)),2,FALSE))</f>
        <v/>
      </c>
      <c r="C221" s="136" t="str">
        <f t="array" ref="C221">IF(A221="","",VLOOKUP(A221,INDIRECT("CXC!A2:C"&amp;COUNTA(CXC!A:A)),3,FALSE))</f>
        <v/>
      </c>
      <c r="D221" s="137" t="str">
        <f t="array" ref="D221">IF(A221="","",VLOOKUP(A221,INDIRECT("CXC!A2:H"&amp;COUNTA(CXC!A:A)),8,FALSE))</f>
        <v/>
      </c>
      <c r="E221" s="137" t="str">
        <f t="array" ref="E221">IFERROR(IF(A221="","",VLOOKUP(A221,INDIRECT("HISTÓRICO COBROS!A3:E"&amp;COUNTA('HISTÓRICO COBROS'!A:A)),5,FALSE)),"")</f>
        <v/>
      </c>
      <c r="F221" s="137" t="str">
        <f t="array" ref="F221">IF(A221="","",VLOOKUP(A221,INDIRECT("CXC!A2:I"&amp;COUNTA(CXC!A:A)),9,FALSE))</f>
        <v/>
      </c>
      <c r="G221" s="137" t="str">
        <f t="array" ref="G221">IFERROR(IF(A221="","",VLOOKUP(A221,INDIRECT("HISTÓRICO COBROS!A3:F"&amp;COUNTA('HISTÓRICO COBROS'!A:A)),6,FALSE)),"")</f>
        <v/>
      </c>
      <c r="H221" s="138" t="str">
        <f t="shared" ref="H221:I221" si="222">IF(D221="","",D221+F221)</f>
        <v/>
      </c>
      <c r="I221" s="135" t="str">
        <f t="shared" si="222"/>
        <v/>
      </c>
      <c r="J221" s="140" t="str">
        <f t="shared" si="3"/>
        <v/>
      </c>
      <c r="K221" s="140" t="str">
        <f t="shared" si="4"/>
        <v/>
      </c>
    </row>
    <row r="222" ht="22.5" customHeight="1">
      <c r="A222" s="140"/>
      <c r="B222" s="135" t="str">
        <f t="array" ref="B222">IF(A222="","",VLOOKUP(A222,INDIRECT("CXC!A2:B"&amp;COUNTA(CXC!A:A)),2,FALSE))</f>
        <v/>
      </c>
      <c r="C222" s="136" t="str">
        <f t="array" ref="C222">IF(A222="","",VLOOKUP(A222,INDIRECT("CXC!A2:C"&amp;COUNTA(CXC!A:A)),3,FALSE))</f>
        <v/>
      </c>
      <c r="D222" s="137" t="str">
        <f t="array" ref="D222">IF(A222="","",VLOOKUP(A222,INDIRECT("CXC!A2:H"&amp;COUNTA(CXC!A:A)),8,FALSE))</f>
        <v/>
      </c>
      <c r="E222" s="137" t="str">
        <f t="array" ref="E222">IFERROR(IF(A222="","",VLOOKUP(A222,INDIRECT("HISTÓRICO COBROS!A3:E"&amp;COUNTA('HISTÓRICO COBROS'!A:A)),5,FALSE)),"")</f>
        <v/>
      </c>
      <c r="F222" s="137" t="str">
        <f t="array" ref="F222">IF(A222="","",VLOOKUP(A222,INDIRECT("CXC!A2:I"&amp;COUNTA(CXC!A:A)),9,FALSE))</f>
        <v/>
      </c>
      <c r="G222" s="137" t="str">
        <f t="array" ref="G222">IFERROR(IF(A222="","",VLOOKUP(A222,INDIRECT("HISTÓRICO COBROS!A3:F"&amp;COUNTA('HISTÓRICO COBROS'!A:A)),6,FALSE)),"")</f>
        <v/>
      </c>
      <c r="H222" s="138" t="str">
        <f t="shared" ref="H222:I222" si="223">IF(D222="","",D222+F222)</f>
        <v/>
      </c>
      <c r="I222" s="135" t="str">
        <f t="shared" si="223"/>
        <v/>
      </c>
      <c r="J222" s="140" t="str">
        <f t="shared" si="3"/>
        <v/>
      </c>
      <c r="K222" s="140" t="str">
        <f t="shared" si="4"/>
        <v/>
      </c>
    </row>
    <row r="223" ht="22.5" customHeight="1">
      <c r="A223" s="140"/>
      <c r="B223" s="135" t="str">
        <f t="array" ref="B223">IF(A223="","",VLOOKUP(A223,INDIRECT("CXC!A2:B"&amp;COUNTA(CXC!A:A)),2,FALSE))</f>
        <v/>
      </c>
      <c r="C223" s="136" t="str">
        <f t="array" ref="C223">IF(A223="","",VLOOKUP(A223,INDIRECT("CXC!A2:C"&amp;COUNTA(CXC!A:A)),3,FALSE))</f>
        <v/>
      </c>
      <c r="D223" s="137" t="str">
        <f t="array" ref="D223">IF(A223="","",VLOOKUP(A223,INDIRECT("CXC!A2:H"&amp;COUNTA(CXC!A:A)),8,FALSE))</f>
        <v/>
      </c>
      <c r="E223" s="137" t="str">
        <f t="array" ref="E223">IFERROR(IF(A223="","",VLOOKUP(A223,INDIRECT("HISTÓRICO COBROS!A3:E"&amp;COUNTA('HISTÓRICO COBROS'!A:A)),5,FALSE)),"")</f>
        <v/>
      </c>
      <c r="F223" s="137" t="str">
        <f t="array" ref="F223">IF(A223="","",VLOOKUP(A223,INDIRECT("CXC!A2:I"&amp;COUNTA(CXC!A:A)),9,FALSE))</f>
        <v/>
      </c>
      <c r="G223" s="137" t="str">
        <f t="array" ref="G223">IFERROR(IF(A223="","",VLOOKUP(A223,INDIRECT("HISTÓRICO COBROS!A3:F"&amp;COUNTA('HISTÓRICO COBROS'!A:A)),6,FALSE)),"")</f>
        <v/>
      </c>
      <c r="H223" s="138" t="str">
        <f t="shared" ref="H223:I223" si="224">IF(D223="","",D223+F223)</f>
        <v/>
      </c>
      <c r="I223" s="135" t="str">
        <f t="shared" si="224"/>
        <v/>
      </c>
      <c r="J223" s="140" t="str">
        <f t="shared" si="3"/>
        <v/>
      </c>
      <c r="K223" s="140" t="str">
        <f t="shared" si="4"/>
        <v/>
      </c>
    </row>
    <row r="224" ht="22.5" customHeight="1">
      <c r="A224" s="140"/>
      <c r="B224" s="135" t="str">
        <f t="array" ref="B224">IF(A224="","",VLOOKUP(A224,INDIRECT("CXC!A2:B"&amp;COUNTA(CXC!A:A)),2,FALSE))</f>
        <v/>
      </c>
      <c r="C224" s="136" t="str">
        <f t="array" ref="C224">IF(A224="","",VLOOKUP(A224,INDIRECT("CXC!A2:C"&amp;COUNTA(CXC!A:A)),3,FALSE))</f>
        <v/>
      </c>
      <c r="D224" s="137" t="str">
        <f t="array" ref="D224">IF(A224="","",VLOOKUP(A224,INDIRECT("CXC!A2:H"&amp;COUNTA(CXC!A:A)),8,FALSE))</f>
        <v/>
      </c>
      <c r="E224" s="137" t="str">
        <f t="array" ref="E224">IFERROR(IF(A224="","",VLOOKUP(A224,INDIRECT("HISTÓRICO COBROS!A3:E"&amp;COUNTA('HISTÓRICO COBROS'!A:A)),5,FALSE)),"")</f>
        <v/>
      </c>
      <c r="F224" s="137" t="str">
        <f t="array" ref="F224">IF(A224="","",VLOOKUP(A224,INDIRECT("CXC!A2:I"&amp;COUNTA(CXC!A:A)),9,FALSE))</f>
        <v/>
      </c>
      <c r="G224" s="137" t="str">
        <f t="array" ref="G224">IFERROR(IF(A224="","",VLOOKUP(A224,INDIRECT("HISTÓRICO COBROS!A3:F"&amp;COUNTA('HISTÓRICO COBROS'!A:A)),6,FALSE)),"")</f>
        <v/>
      </c>
      <c r="H224" s="138" t="str">
        <f t="shared" ref="H224:I224" si="225">IF(D224="","",D224+F224)</f>
        <v/>
      </c>
      <c r="I224" s="135" t="str">
        <f t="shared" si="225"/>
        <v/>
      </c>
      <c r="J224" s="140" t="str">
        <f t="shared" si="3"/>
        <v/>
      </c>
      <c r="K224" s="140" t="str">
        <f t="shared" si="4"/>
        <v/>
      </c>
    </row>
    <row r="225" ht="22.5" customHeight="1">
      <c r="A225" s="140"/>
      <c r="B225" s="135" t="str">
        <f t="array" ref="B225">IF(A225="","",VLOOKUP(A225,INDIRECT("CXC!A2:B"&amp;COUNTA(CXC!A:A)),2,FALSE))</f>
        <v/>
      </c>
      <c r="C225" s="136" t="str">
        <f t="array" ref="C225">IF(A225="","",VLOOKUP(A225,INDIRECT("CXC!A2:C"&amp;COUNTA(CXC!A:A)),3,FALSE))</f>
        <v/>
      </c>
      <c r="D225" s="137" t="str">
        <f t="array" ref="D225">IF(A225="","",VLOOKUP(A225,INDIRECT("CXC!A2:H"&amp;COUNTA(CXC!A:A)),8,FALSE))</f>
        <v/>
      </c>
      <c r="E225" s="137" t="str">
        <f t="array" ref="E225">IFERROR(IF(A225="","",VLOOKUP(A225,INDIRECT("HISTÓRICO COBROS!A3:E"&amp;COUNTA('HISTÓRICO COBROS'!A:A)),5,FALSE)),"")</f>
        <v/>
      </c>
      <c r="F225" s="137" t="str">
        <f t="array" ref="F225">IF(A225="","",VLOOKUP(A225,INDIRECT("CXC!A2:I"&amp;COUNTA(CXC!A:A)),9,FALSE))</f>
        <v/>
      </c>
      <c r="G225" s="137" t="str">
        <f t="array" ref="G225">IFERROR(IF(A225="","",VLOOKUP(A225,INDIRECT("HISTÓRICO COBROS!A3:F"&amp;COUNTA('HISTÓRICO COBROS'!A:A)),6,FALSE)),"")</f>
        <v/>
      </c>
      <c r="H225" s="138" t="str">
        <f t="shared" ref="H225:I225" si="226">IF(D225="","",D225+F225)</f>
        <v/>
      </c>
      <c r="I225" s="135" t="str">
        <f t="shared" si="226"/>
        <v/>
      </c>
      <c r="J225" s="140" t="str">
        <f t="shared" si="3"/>
        <v/>
      </c>
      <c r="K225" s="140" t="str">
        <f t="shared" si="4"/>
        <v/>
      </c>
    </row>
    <row r="226" ht="22.5" customHeight="1">
      <c r="A226" s="140"/>
      <c r="B226" s="135" t="str">
        <f t="array" ref="B226">IF(A226="","",VLOOKUP(A226,INDIRECT("CXC!A2:B"&amp;COUNTA(CXC!A:A)),2,FALSE))</f>
        <v/>
      </c>
      <c r="C226" s="136" t="str">
        <f t="array" ref="C226">IF(A226="","",VLOOKUP(A226,INDIRECT("CXC!A2:C"&amp;COUNTA(CXC!A:A)),3,FALSE))</f>
        <v/>
      </c>
      <c r="D226" s="137" t="str">
        <f t="array" ref="D226">IF(A226="","",VLOOKUP(A226,INDIRECT("CXC!A2:H"&amp;COUNTA(CXC!A:A)),8,FALSE))</f>
        <v/>
      </c>
      <c r="E226" s="137" t="str">
        <f t="array" ref="E226">IFERROR(IF(A226="","",VLOOKUP(A226,INDIRECT("HISTÓRICO COBROS!A3:E"&amp;COUNTA('HISTÓRICO COBROS'!A:A)),5,FALSE)),"")</f>
        <v/>
      </c>
      <c r="F226" s="137" t="str">
        <f t="array" ref="F226">IF(A226="","",VLOOKUP(A226,INDIRECT("CXC!A2:I"&amp;COUNTA(CXC!A:A)),9,FALSE))</f>
        <v/>
      </c>
      <c r="G226" s="137" t="str">
        <f t="array" ref="G226">IFERROR(IF(A226="","",VLOOKUP(A226,INDIRECT("HISTÓRICO COBROS!A3:F"&amp;COUNTA('HISTÓRICO COBROS'!A:A)),6,FALSE)),"")</f>
        <v/>
      </c>
      <c r="H226" s="138" t="str">
        <f t="shared" ref="H226:I226" si="227">IF(D226="","",D226+F226)</f>
        <v/>
      </c>
      <c r="I226" s="135" t="str">
        <f t="shared" si="227"/>
        <v/>
      </c>
      <c r="J226" s="140" t="str">
        <f t="shared" si="3"/>
        <v/>
      </c>
      <c r="K226" s="140" t="str">
        <f t="shared" si="4"/>
        <v/>
      </c>
    </row>
    <row r="227" ht="22.5" customHeight="1">
      <c r="A227" s="140"/>
      <c r="B227" s="135" t="str">
        <f t="array" ref="B227">IF(A227="","",VLOOKUP(A227,INDIRECT("CXC!A2:B"&amp;COUNTA(CXC!A:A)),2,FALSE))</f>
        <v/>
      </c>
      <c r="C227" s="136" t="str">
        <f t="array" ref="C227">IF(A227="","",VLOOKUP(A227,INDIRECT("CXC!A2:C"&amp;COUNTA(CXC!A:A)),3,FALSE))</f>
        <v/>
      </c>
      <c r="D227" s="137" t="str">
        <f t="array" ref="D227">IF(A227="","",VLOOKUP(A227,INDIRECT("CXC!A2:H"&amp;COUNTA(CXC!A:A)),8,FALSE))</f>
        <v/>
      </c>
      <c r="E227" s="137" t="str">
        <f t="array" ref="E227">IFERROR(IF(A227="","",VLOOKUP(A227,INDIRECT("HISTÓRICO COBROS!A3:E"&amp;COUNTA('HISTÓRICO COBROS'!A:A)),5,FALSE)),"")</f>
        <v/>
      </c>
      <c r="F227" s="137" t="str">
        <f t="array" ref="F227">IF(A227="","",VLOOKUP(A227,INDIRECT("CXC!A2:I"&amp;COUNTA(CXC!A:A)),9,FALSE))</f>
        <v/>
      </c>
      <c r="G227" s="137" t="str">
        <f t="array" ref="G227">IFERROR(IF(A227="","",VLOOKUP(A227,INDIRECT("HISTÓRICO COBROS!A3:F"&amp;COUNTA('HISTÓRICO COBROS'!A:A)),6,FALSE)),"")</f>
        <v/>
      </c>
      <c r="H227" s="138" t="str">
        <f t="shared" ref="H227:I227" si="228">IF(D227="","",D227+F227)</f>
        <v/>
      </c>
      <c r="I227" s="135" t="str">
        <f t="shared" si="228"/>
        <v/>
      </c>
      <c r="J227" s="140" t="str">
        <f t="shared" si="3"/>
        <v/>
      </c>
      <c r="K227" s="140" t="str">
        <f t="shared" si="4"/>
        <v/>
      </c>
    </row>
    <row r="228" ht="22.5" customHeight="1">
      <c r="A228" s="140"/>
      <c r="B228" s="135" t="str">
        <f t="array" ref="B228">IF(A228="","",VLOOKUP(A228,INDIRECT("CXC!A2:B"&amp;COUNTA(CXC!A:A)),2,FALSE))</f>
        <v/>
      </c>
      <c r="C228" s="136" t="str">
        <f t="array" ref="C228">IF(A228="","",VLOOKUP(A228,INDIRECT("CXC!A2:C"&amp;COUNTA(CXC!A:A)),3,FALSE))</f>
        <v/>
      </c>
      <c r="D228" s="137" t="str">
        <f t="array" ref="D228">IF(A228="","",VLOOKUP(A228,INDIRECT("CXC!A2:H"&amp;COUNTA(CXC!A:A)),8,FALSE))</f>
        <v/>
      </c>
      <c r="E228" s="137" t="str">
        <f t="array" ref="E228">IFERROR(IF(A228="","",VLOOKUP(A228,INDIRECT("HISTÓRICO COBROS!A3:E"&amp;COUNTA('HISTÓRICO COBROS'!A:A)),5,FALSE)),"")</f>
        <v/>
      </c>
      <c r="F228" s="137" t="str">
        <f t="array" ref="F228">IF(A228="","",VLOOKUP(A228,INDIRECT("CXC!A2:I"&amp;COUNTA(CXC!A:A)),9,FALSE))</f>
        <v/>
      </c>
      <c r="G228" s="137" t="str">
        <f t="array" ref="G228">IFERROR(IF(A228="","",VLOOKUP(A228,INDIRECT("HISTÓRICO COBROS!A3:F"&amp;COUNTA('HISTÓRICO COBROS'!A:A)),6,FALSE)),"")</f>
        <v/>
      </c>
      <c r="H228" s="138" t="str">
        <f t="shared" ref="H228:I228" si="229">IF(D228="","",D228+F228)</f>
        <v/>
      </c>
      <c r="I228" s="135" t="str">
        <f t="shared" si="229"/>
        <v/>
      </c>
      <c r="J228" s="140" t="str">
        <f t="shared" si="3"/>
        <v/>
      </c>
      <c r="K228" s="140" t="str">
        <f t="shared" si="4"/>
        <v/>
      </c>
    </row>
    <row r="229" ht="22.5" customHeight="1">
      <c r="A229" s="140"/>
      <c r="B229" s="135" t="str">
        <f t="array" ref="B229">IF(A229="","",VLOOKUP(A229,INDIRECT("CXC!A2:B"&amp;COUNTA(CXC!A:A)),2,FALSE))</f>
        <v/>
      </c>
      <c r="C229" s="136" t="str">
        <f t="array" ref="C229">IF(A229="","",VLOOKUP(A229,INDIRECT("CXC!A2:C"&amp;COUNTA(CXC!A:A)),3,FALSE))</f>
        <v/>
      </c>
      <c r="D229" s="137" t="str">
        <f t="array" ref="D229">IF(A229="","",VLOOKUP(A229,INDIRECT("CXC!A2:H"&amp;COUNTA(CXC!A:A)),8,FALSE))</f>
        <v/>
      </c>
      <c r="E229" s="137" t="str">
        <f t="array" ref="E229">IFERROR(IF(A229="","",VLOOKUP(A229,INDIRECT("HISTÓRICO COBROS!A3:E"&amp;COUNTA('HISTÓRICO COBROS'!A:A)),5,FALSE)),"")</f>
        <v/>
      </c>
      <c r="F229" s="137" t="str">
        <f t="array" ref="F229">IF(A229="","",VLOOKUP(A229,INDIRECT("CXC!A2:I"&amp;COUNTA(CXC!A:A)),9,FALSE))</f>
        <v/>
      </c>
      <c r="G229" s="137" t="str">
        <f t="array" ref="G229">IFERROR(IF(A229="","",VLOOKUP(A229,INDIRECT("HISTÓRICO COBROS!A3:F"&amp;COUNTA('HISTÓRICO COBROS'!A:A)),6,FALSE)),"")</f>
        <v/>
      </c>
      <c r="H229" s="138" t="str">
        <f t="shared" ref="H229:I229" si="230">IF(D229="","",D229+F229)</f>
        <v/>
      </c>
      <c r="I229" s="135" t="str">
        <f t="shared" si="230"/>
        <v/>
      </c>
      <c r="J229" s="140" t="str">
        <f t="shared" si="3"/>
        <v/>
      </c>
      <c r="K229" s="140" t="str">
        <f t="shared" si="4"/>
        <v/>
      </c>
    </row>
    <row r="230" ht="22.5" customHeight="1">
      <c r="A230" s="140"/>
      <c r="B230" s="135" t="str">
        <f t="array" ref="B230">IF(A230="","",VLOOKUP(A230,INDIRECT("CXC!A2:B"&amp;COUNTA(CXC!A:A)),2,FALSE))</f>
        <v/>
      </c>
      <c r="C230" s="136" t="str">
        <f t="array" ref="C230">IF(A230="","",VLOOKUP(A230,INDIRECT("CXC!A2:C"&amp;COUNTA(CXC!A:A)),3,FALSE))</f>
        <v/>
      </c>
      <c r="D230" s="137" t="str">
        <f t="array" ref="D230">IF(A230="","",VLOOKUP(A230,INDIRECT("CXC!A2:H"&amp;COUNTA(CXC!A:A)),8,FALSE))</f>
        <v/>
      </c>
      <c r="E230" s="137" t="str">
        <f t="array" ref="E230">IFERROR(IF(A230="","",VLOOKUP(A230,INDIRECT("HISTÓRICO COBROS!A3:E"&amp;COUNTA('HISTÓRICO COBROS'!A:A)),5,FALSE)),"")</f>
        <v/>
      </c>
      <c r="F230" s="137" t="str">
        <f t="array" ref="F230">IF(A230="","",VLOOKUP(A230,INDIRECT("CXC!A2:I"&amp;COUNTA(CXC!A:A)),9,FALSE))</f>
        <v/>
      </c>
      <c r="G230" s="137" t="str">
        <f t="array" ref="G230">IFERROR(IF(A230="","",VLOOKUP(A230,INDIRECT("HISTÓRICO COBROS!A3:F"&amp;COUNTA('HISTÓRICO COBROS'!A:A)),6,FALSE)),"")</f>
        <v/>
      </c>
      <c r="H230" s="138" t="str">
        <f t="shared" ref="H230:I230" si="231">IF(D230="","",D230+F230)</f>
        <v/>
      </c>
      <c r="I230" s="135" t="str">
        <f t="shared" si="231"/>
        <v/>
      </c>
      <c r="J230" s="140" t="str">
        <f t="shared" si="3"/>
        <v/>
      </c>
      <c r="K230" s="140" t="str">
        <f t="shared" si="4"/>
        <v/>
      </c>
    </row>
    <row r="231" ht="22.5" customHeight="1">
      <c r="A231" s="140"/>
      <c r="B231" s="135" t="str">
        <f t="array" ref="B231">IF(A231="","",VLOOKUP(A231,INDIRECT("CXC!A2:B"&amp;COUNTA(CXC!A:A)),2,FALSE))</f>
        <v/>
      </c>
      <c r="C231" s="136" t="str">
        <f t="array" ref="C231">IF(A231="","",VLOOKUP(A231,INDIRECT("CXC!A2:C"&amp;COUNTA(CXC!A:A)),3,FALSE))</f>
        <v/>
      </c>
      <c r="D231" s="137" t="str">
        <f t="array" ref="D231">IF(A231="","",VLOOKUP(A231,INDIRECT("CXC!A2:H"&amp;COUNTA(CXC!A:A)),8,FALSE))</f>
        <v/>
      </c>
      <c r="E231" s="137" t="str">
        <f t="array" ref="E231">IFERROR(IF(A231="","",VLOOKUP(A231,INDIRECT("HISTÓRICO COBROS!A3:E"&amp;COUNTA('HISTÓRICO COBROS'!A:A)),5,FALSE)),"")</f>
        <v/>
      </c>
      <c r="F231" s="137" t="str">
        <f t="array" ref="F231">IF(A231="","",VLOOKUP(A231,INDIRECT("CXC!A2:I"&amp;COUNTA(CXC!A:A)),9,FALSE))</f>
        <v/>
      </c>
      <c r="G231" s="137" t="str">
        <f t="array" ref="G231">IFERROR(IF(A231="","",VLOOKUP(A231,INDIRECT("HISTÓRICO COBROS!A3:F"&amp;COUNTA('HISTÓRICO COBROS'!A:A)),6,FALSE)),"")</f>
        <v/>
      </c>
      <c r="H231" s="138" t="str">
        <f t="shared" ref="H231:I231" si="232">IF(D231="","",D231+F231)</f>
        <v/>
      </c>
      <c r="I231" s="135" t="str">
        <f t="shared" si="232"/>
        <v/>
      </c>
      <c r="J231" s="140" t="str">
        <f t="shared" si="3"/>
        <v/>
      </c>
      <c r="K231" s="140" t="str">
        <f t="shared" si="4"/>
        <v/>
      </c>
    </row>
    <row r="232" ht="22.5" customHeight="1">
      <c r="A232" s="140"/>
      <c r="B232" s="135" t="str">
        <f t="array" ref="B232">IF(A232="","",VLOOKUP(A232,INDIRECT("CXC!A2:B"&amp;COUNTA(CXC!A:A)),2,FALSE))</f>
        <v/>
      </c>
      <c r="C232" s="136" t="str">
        <f t="array" ref="C232">IF(A232="","",VLOOKUP(A232,INDIRECT("CXC!A2:C"&amp;COUNTA(CXC!A:A)),3,FALSE))</f>
        <v/>
      </c>
      <c r="D232" s="137" t="str">
        <f t="array" ref="D232">IF(A232="","",VLOOKUP(A232,INDIRECT("CXC!A2:H"&amp;COUNTA(CXC!A:A)),8,FALSE))</f>
        <v/>
      </c>
      <c r="E232" s="137" t="str">
        <f t="array" ref="E232">IFERROR(IF(A232="","",VLOOKUP(A232,INDIRECT("HISTÓRICO COBROS!A3:E"&amp;COUNTA('HISTÓRICO COBROS'!A:A)),5,FALSE)),"")</f>
        <v/>
      </c>
      <c r="F232" s="137" t="str">
        <f t="array" ref="F232">IF(A232="","",VLOOKUP(A232,INDIRECT("CXC!A2:I"&amp;COUNTA(CXC!A:A)),9,FALSE))</f>
        <v/>
      </c>
      <c r="G232" s="137" t="str">
        <f t="array" ref="G232">IFERROR(IF(A232="","",VLOOKUP(A232,INDIRECT("HISTÓRICO COBROS!A3:F"&amp;COUNTA('HISTÓRICO COBROS'!A:A)),6,FALSE)),"")</f>
        <v/>
      </c>
      <c r="H232" s="138" t="str">
        <f t="shared" ref="H232:I232" si="233">IF(D232="","",D232+F232)</f>
        <v/>
      </c>
      <c r="I232" s="135" t="str">
        <f t="shared" si="233"/>
        <v/>
      </c>
      <c r="J232" s="140" t="str">
        <f t="shared" si="3"/>
        <v/>
      </c>
      <c r="K232" s="140" t="str">
        <f t="shared" si="4"/>
        <v/>
      </c>
    </row>
    <row r="233" ht="22.5" customHeight="1">
      <c r="A233" s="140"/>
      <c r="B233" s="135" t="str">
        <f t="array" ref="B233">IF(A233="","",VLOOKUP(A233,INDIRECT("CXC!A2:B"&amp;COUNTA(CXC!A:A)),2,FALSE))</f>
        <v/>
      </c>
      <c r="C233" s="136" t="str">
        <f t="array" ref="C233">IF(A233="","",VLOOKUP(A233,INDIRECT("CXC!A2:C"&amp;COUNTA(CXC!A:A)),3,FALSE))</f>
        <v/>
      </c>
      <c r="D233" s="137" t="str">
        <f t="array" ref="D233">IF(A233="","",VLOOKUP(A233,INDIRECT("CXC!A2:H"&amp;COUNTA(CXC!A:A)),8,FALSE))</f>
        <v/>
      </c>
      <c r="E233" s="137" t="str">
        <f t="array" ref="E233">IFERROR(IF(A233="","",VLOOKUP(A233,INDIRECT("HISTÓRICO COBROS!A3:E"&amp;COUNTA('HISTÓRICO COBROS'!A:A)),5,FALSE)),"")</f>
        <v/>
      </c>
      <c r="F233" s="137" t="str">
        <f t="array" ref="F233">IF(A233="","",VLOOKUP(A233,INDIRECT("CXC!A2:I"&amp;COUNTA(CXC!A:A)),9,FALSE))</f>
        <v/>
      </c>
      <c r="G233" s="137" t="str">
        <f t="array" ref="G233">IFERROR(IF(A233="","",VLOOKUP(A233,INDIRECT("HISTÓRICO COBROS!A3:F"&amp;COUNTA('HISTÓRICO COBROS'!A:A)),6,FALSE)),"")</f>
        <v/>
      </c>
      <c r="H233" s="138" t="str">
        <f t="shared" ref="H233:I233" si="234">IF(D233="","",D233+F233)</f>
        <v/>
      </c>
      <c r="I233" s="135" t="str">
        <f t="shared" si="234"/>
        <v/>
      </c>
      <c r="J233" s="140" t="str">
        <f t="shared" si="3"/>
        <v/>
      </c>
      <c r="K233" s="140" t="str">
        <f t="shared" si="4"/>
        <v/>
      </c>
    </row>
    <row r="234" ht="22.5" customHeight="1">
      <c r="A234" s="140"/>
      <c r="B234" s="135" t="str">
        <f t="array" ref="B234">IF(A234="","",VLOOKUP(A234,INDIRECT("CXC!A2:B"&amp;COUNTA(CXC!A:A)),2,FALSE))</f>
        <v/>
      </c>
      <c r="C234" s="136" t="str">
        <f t="array" ref="C234">IF(A234="","",VLOOKUP(A234,INDIRECT("CXC!A2:C"&amp;COUNTA(CXC!A:A)),3,FALSE))</f>
        <v/>
      </c>
      <c r="D234" s="137" t="str">
        <f t="array" ref="D234">IF(A234="","",VLOOKUP(A234,INDIRECT("CXC!A2:H"&amp;COUNTA(CXC!A:A)),8,FALSE))</f>
        <v/>
      </c>
      <c r="E234" s="137" t="str">
        <f t="array" ref="E234">IFERROR(IF(A234="","",VLOOKUP(A234,INDIRECT("HISTÓRICO COBROS!A3:E"&amp;COUNTA('HISTÓRICO COBROS'!A:A)),5,FALSE)),"")</f>
        <v/>
      </c>
      <c r="F234" s="137" t="str">
        <f t="array" ref="F234">IF(A234="","",VLOOKUP(A234,INDIRECT("CXC!A2:I"&amp;COUNTA(CXC!A:A)),9,FALSE))</f>
        <v/>
      </c>
      <c r="G234" s="137" t="str">
        <f t="array" ref="G234">IFERROR(IF(A234="","",VLOOKUP(A234,INDIRECT("HISTÓRICO COBROS!A3:F"&amp;COUNTA('HISTÓRICO COBROS'!A:A)),6,FALSE)),"")</f>
        <v/>
      </c>
      <c r="H234" s="138" t="str">
        <f t="shared" ref="H234:I234" si="235">IF(D234="","",D234+F234)</f>
        <v/>
      </c>
      <c r="I234" s="135" t="str">
        <f t="shared" si="235"/>
        <v/>
      </c>
      <c r="J234" s="140" t="str">
        <f t="shared" si="3"/>
        <v/>
      </c>
      <c r="K234" s="140" t="str">
        <f t="shared" si="4"/>
        <v/>
      </c>
    </row>
    <row r="235" ht="22.5" customHeight="1">
      <c r="A235" s="140"/>
      <c r="B235" s="135" t="str">
        <f t="array" ref="B235">IF(A235="","",VLOOKUP(A235,INDIRECT("CXC!A2:B"&amp;COUNTA(CXC!A:A)),2,FALSE))</f>
        <v/>
      </c>
      <c r="C235" s="136" t="str">
        <f t="array" ref="C235">IF(A235="","",VLOOKUP(A235,INDIRECT("CXC!A2:C"&amp;COUNTA(CXC!A:A)),3,FALSE))</f>
        <v/>
      </c>
      <c r="D235" s="137" t="str">
        <f t="array" ref="D235">IF(A235="","",VLOOKUP(A235,INDIRECT("CXC!A2:H"&amp;COUNTA(CXC!A:A)),8,FALSE))</f>
        <v/>
      </c>
      <c r="E235" s="137" t="str">
        <f t="array" ref="E235">IFERROR(IF(A235="","",VLOOKUP(A235,INDIRECT("HISTÓRICO COBROS!A3:E"&amp;COUNTA('HISTÓRICO COBROS'!A:A)),5,FALSE)),"")</f>
        <v/>
      </c>
      <c r="F235" s="137" t="str">
        <f t="array" ref="F235">IF(A235="","",VLOOKUP(A235,INDIRECT("CXC!A2:I"&amp;COUNTA(CXC!A:A)),9,FALSE))</f>
        <v/>
      </c>
      <c r="G235" s="137" t="str">
        <f t="array" ref="G235">IFERROR(IF(A235="","",VLOOKUP(A235,INDIRECT("HISTÓRICO COBROS!A3:F"&amp;COUNTA('HISTÓRICO COBROS'!A:A)),6,FALSE)),"")</f>
        <v/>
      </c>
      <c r="H235" s="138" t="str">
        <f t="shared" ref="H235:I235" si="236">IF(D235="","",D235+F235)</f>
        <v/>
      </c>
      <c r="I235" s="135" t="str">
        <f t="shared" si="236"/>
        <v/>
      </c>
      <c r="J235" s="140" t="str">
        <f t="shared" si="3"/>
        <v/>
      </c>
      <c r="K235" s="140" t="str">
        <f t="shared" si="4"/>
        <v/>
      </c>
    </row>
    <row r="236" ht="22.5" customHeight="1">
      <c r="A236" s="140"/>
      <c r="B236" s="135" t="str">
        <f t="array" ref="B236">IF(A236="","",VLOOKUP(A236,INDIRECT("CXC!A2:B"&amp;COUNTA(CXC!A:A)),2,FALSE))</f>
        <v/>
      </c>
      <c r="C236" s="136" t="str">
        <f t="array" ref="C236">IF(A236="","",VLOOKUP(A236,INDIRECT("CXC!A2:C"&amp;COUNTA(CXC!A:A)),3,FALSE))</f>
        <v/>
      </c>
      <c r="D236" s="137" t="str">
        <f t="array" ref="D236">IF(A236="","",VLOOKUP(A236,INDIRECT("CXC!A2:H"&amp;COUNTA(CXC!A:A)),8,FALSE))</f>
        <v/>
      </c>
      <c r="E236" s="137" t="str">
        <f t="array" ref="E236">IFERROR(IF(A236="","",VLOOKUP(A236,INDIRECT("HISTÓRICO COBROS!A3:E"&amp;COUNTA('HISTÓRICO COBROS'!A:A)),5,FALSE)),"")</f>
        <v/>
      </c>
      <c r="F236" s="137" t="str">
        <f t="array" ref="F236">IF(A236="","",VLOOKUP(A236,INDIRECT("CXC!A2:I"&amp;COUNTA(CXC!A:A)),9,FALSE))</f>
        <v/>
      </c>
      <c r="G236" s="137" t="str">
        <f t="array" ref="G236">IFERROR(IF(A236="","",VLOOKUP(A236,INDIRECT("HISTÓRICO COBROS!A3:F"&amp;COUNTA('HISTÓRICO COBROS'!A:A)),6,FALSE)),"")</f>
        <v/>
      </c>
      <c r="H236" s="138" t="str">
        <f t="shared" ref="H236:I236" si="237">IF(D236="","",D236+F236)</f>
        <v/>
      </c>
      <c r="I236" s="135" t="str">
        <f t="shared" si="237"/>
        <v/>
      </c>
      <c r="J236" s="140" t="str">
        <f t="shared" si="3"/>
        <v/>
      </c>
      <c r="K236" s="140" t="str">
        <f t="shared" si="4"/>
        <v/>
      </c>
    </row>
    <row r="237" ht="22.5" customHeight="1">
      <c r="A237" s="140"/>
      <c r="B237" s="135" t="str">
        <f t="array" ref="B237">IF(A237="","",VLOOKUP(A237,INDIRECT("CXC!A2:B"&amp;COUNTA(CXC!A:A)),2,FALSE))</f>
        <v/>
      </c>
      <c r="C237" s="136" t="str">
        <f t="array" ref="C237">IF(A237="","",VLOOKUP(A237,INDIRECT("CXC!A2:C"&amp;COUNTA(CXC!A:A)),3,FALSE))</f>
        <v/>
      </c>
      <c r="D237" s="137" t="str">
        <f t="array" ref="D237">IF(A237="","",VLOOKUP(A237,INDIRECT("CXC!A2:H"&amp;COUNTA(CXC!A:A)),8,FALSE))</f>
        <v/>
      </c>
      <c r="E237" s="137" t="str">
        <f t="array" ref="E237">IFERROR(IF(A237="","",VLOOKUP(A237,INDIRECT("HISTÓRICO COBROS!A3:E"&amp;COUNTA('HISTÓRICO COBROS'!A:A)),5,FALSE)),"")</f>
        <v/>
      </c>
      <c r="F237" s="137" t="str">
        <f t="array" ref="F237">IF(A237="","",VLOOKUP(A237,INDIRECT("CXC!A2:I"&amp;COUNTA(CXC!A:A)),9,FALSE))</f>
        <v/>
      </c>
      <c r="G237" s="137" t="str">
        <f t="array" ref="G237">IFERROR(IF(A237="","",VLOOKUP(A237,INDIRECT("HISTÓRICO COBROS!A3:F"&amp;COUNTA('HISTÓRICO COBROS'!A:A)),6,FALSE)),"")</f>
        <v/>
      </c>
      <c r="H237" s="138" t="str">
        <f t="shared" ref="H237:I237" si="238">IF(D237="","",D237+F237)</f>
        <v/>
      </c>
      <c r="I237" s="135" t="str">
        <f t="shared" si="238"/>
        <v/>
      </c>
      <c r="J237" s="140" t="str">
        <f t="shared" si="3"/>
        <v/>
      </c>
      <c r="K237" s="140" t="str">
        <f t="shared" si="4"/>
        <v/>
      </c>
    </row>
    <row r="238" ht="22.5" customHeight="1">
      <c r="A238" s="140"/>
      <c r="B238" s="135" t="str">
        <f t="array" ref="B238">IF(A238="","",VLOOKUP(A238,INDIRECT("CXC!A2:B"&amp;COUNTA(CXC!A:A)),2,FALSE))</f>
        <v/>
      </c>
      <c r="C238" s="136" t="str">
        <f t="array" ref="C238">IF(A238="","",VLOOKUP(A238,INDIRECT("CXC!A2:C"&amp;COUNTA(CXC!A:A)),3,FALSE))</f>
        <v/>
      </c>
      <c r="D238" s="137" t="str">
        <f t="array" ref="D238">IF(A238="","",VLOOKUP(A238,INDIRECT("CXC!A2:H"&amp;COUNTA(CXC!A:A)),8,FALSE))</f>
        <v/>
      </c>
      <c r="E238" s="137" t="str">
        <f t="array" ref="E238">IFERROR(IF(A238="","",VLOOKUP(A238,INDIRECT("HISTÓRICO COBROS!A3:E"&amp;COUNTA('HISTÓRICO COBROS'!A:A)),5,FALSE)),"")</f>
        <v/>
      </c>
      <c r="F238" s="137" t="str">
        <f t="array" ref="F238">IF(A238="","",VLOOKUP(A238,INDIRECT("CXC!A2:I"&amp;COUNTA(CXC!A:A)),9,FALSE))</f>
        <v/>
      </c>
      <c r="G238" s="137" t="str">
        <f t="array" ref="G238">IFERROR(IF(A238="","",VLOOKUP(A238,INDIRECT("HISTÓRICO COBROS!A3:F"&amp;COUNTA('HISTÓRICO COBROS'!A:A)),6,FALSE)),"")</f>
        <v/>
      </c>
      <c r="H238" s="138" t="str">
        <f t="shared" ref="H238:I238" si="239">IF(D238="","",D238+F238)</f>
        <v/>
      </c>
      <c r="I238" s="135" t="str">
        <f t="shared" si="239"/>
        <v/>
      </c>
      <c r="J238" s="140" t="str">
        <f t="shared" si="3"/>
        <v/>
      </c>
      <c r="K238" s="140" t="str">
        <f t="shared" si="4"/>
        <v/>
      </c>
    </row>
    <row r="239" ht="22.5" customHeight="1">
      <c r="A239" s="140"/>
      <c r="B239" s="135" t="str">
        <f t="array" ref="B239">IF(A239="","",VLOOKUP(A239,INDIRECT("CXC!A2:B"&amp;COUNTA(CXC!A:A)),2,FALSE))</f>
        <v/>
      </c>
      <c r="C239" s="136" t="str">
        <f t="array" ref="C239">IF(A239="","",VLOOKUP(A239,INDIRECT("CXC!A2:C"&amp;COUNTA(CXC!A:A)),3,FALSE))</f>
        <v/>
      </c>
      <c r="D239" s="137" t="str">
        <f t="array" ref="D239">IF(A239="","",VLOOKUP(A239,INDIRECT("CXC!A2:H"&amp;COUNTA(CXC!A:A)),8,FALSE))</f>
        <v/>
      </c>
      <c r="E239" s="137" t="str">
        <f t="array" ref="E239">IFERROR(IF(A239="","",VLOOKUP(A239,INDIRECT("HISTÓRICO COBROS!A3:E"&amp;COUNTA('HISTÓRICO COBROS'!A:A)),5,FALSE)),"")</f>
        <v/>
      </c>
      <c r="F239" s="137" t="str">
        <f t="array" ref="F239">IF(A239="","",VLOOKUP(A239,INDIRECT("CXC!A2:I"&amp;COUNTA(CXC!A:A)),9,FALSE))</f>
        <v/>
      </c>
      <c r="G239" s="137" t="str">
        <f t="array" ref="G239">IFERROR(IF(A239="","",VLOOKUP(A239,INDIRECT("HISTÓRICO COBROS!A3:F"&amp;COUNTA('HISTÓRICO COBROS'!A:A)),6,FALSE)),"")</f>
        <v/>
      </c>
      <c r="H239" s="138" t="str">
        <f t="shared" ref="H239:I239" si="240">IF(D239="","",D239+F239)</f>
        <v/>
      </c>
      <c r="I239" s="135" t="str">
        <f t="shared" si="240"/>
        <v/>
      </c>
      <c r="J239" s="140" t="str">
        <f t="shared" si="3"/>
        <v/>
      </c>
      <c r="K239" s="140" t="str">
        <f t="shared" si="4"/>
        <v/>
      </c>
    </row>
    <row r="240" ht="22.5" customHeight="1">
      <c r="A240" s="140"/>
      <c r="B240" s="135" t="str">
        <f t="array" ref="B240">IF(A240="","",VLOOKUP(A240,INDIRECT("CXC!A2:B"&amp;COUNTA(CXC!A:A)),2,FALSE))</f>
        <v/>
      </c>
      <c r="C240" s="136" t="str">
        <f t="array" ref="C240">IF(A240="","",VLOOKUP(A240,INDIRECT("CXC!A2:C"&amp;COUNTA(CXC!A:A)),3,FALSE))</f>
        <v/>
      </c>
      <c r="D240" s="137" t="str">
        <f t="array" ref="D240">IF(A240="","",VLOOKUP(A240,INDIRECT("CXC!A2:H"&amp;COUNTA(CXC!A:A)),8,FALSE))</f>
        <v/>
      </c>
      <c r="E240" s="137" t="str">
        <f t="array" ref="E240">IFERROR(IF(A240="","",VLOOKUP(A240,INDIRECT("HISTÓRICO COBROS!A3:E"&amp;COUNTA('HISTÓRICO COBROS'!A:A)),5,FALSE)),"")</f>
        <v/>
      </c>
      <c r="F240" s="137" t="str">
        <f t="array" ref="F240">IF(A240="","",VLOOKUP(A240,INDIRECT("CXC!A2:I"&amp;COUNTA(CXC!A:A)),9,FALSE))</f>
        <v/>
      </c>
      <c r="G240" s="137" t="str">
        <f t="array" ref="G240">IFERROR(IF(A240="","",VLOOKUP(A240,INDIRECT("HISTÓRICO COBROS!A3:F"&amp;COUNTA('HISTÓRICO COBROS'!A:A)),6,FALSE)),"")</f>
        <v/>
      </c>
      <c r="H240" s="138" t="str">
        <f t="shared" ref="H240:I240" si="241">IF(D240="","",D240+F240)</f>
        <v/>
      </c>
      <c r="I240" s="135" t="str">
        <f t="shared" si="241"/>
        <v/>
      </c>
      <c r="J240" s="140" t="str">
        <f t="shared" si="3"/>
        <v/>
      </c>
      <c r="K240" s="140" t="str">
        <f t="shared" si="4"/>
        <v/>
      </c>
    </row>
    <row r="241" ht="22.5" customHeight="1">
      <c r="A241" s="140"/>
      <c r="B241" s="135" t="str">
        <f t="array" ref="B241">IF(A241="","",VLOOKUP(A241,INDIRECT("CXC!A2:B"&amp;COUNTA(CXC!A:A)),2,FALSE))</f>
        <v/>
      </c>
      <c r="C241" s="136" t="str">
        <f t="array" ref="C241">IF(A241="","",VLOOKUP(A241,INDIRECT("CXC!A2:C"&amp;COUNTA(CXC!A:A)),3,FALSE))</f>
        <v/>
      </c>
      <c r="D241" s="137" t="str">
        <f t="array" ref="D241">IF(A241="","",VLOOKUP(A241,INDIRECT("CXC!A2:H"&amp;COUNTA(CXC!A:A)),8,FALSE))</f>
        <v/>
      </c>
      <c r="E241" s="137" t="str">
        <f t="array" ref="E241">IFERROR(IF(A241="","",VLOOKUP(A241,INDIRECT("HISTÓRICO COBROS!A3:E"&amp;COUNTA('HISTÓRICO COBROS'!A:A)),5,FALSE)),"")</f>
        <v/>
      </c>
      <c r="F241" s="137" t="str">
        <f t="array" ref="F241">IF(A241="","",VLOOKUP(A241,INDIRECT("CXC!A2:I"&amp;COUNTA(CXC!A:A)),9,FALSE))</f>
        <v/>
      </c>
      <c r="G241" s="137" t="str">
        <f t="array" ref="G241">IFERROR(IF(A241="","",VLOOKUP(A241,INDIRECT("HISTÓRICO COBROS!A3:F"&amp;COUNTA('HISTÓRICO COBROS'!A:A)),6,FALSE)),"")</f>
        <v/>
      </c>
      <c r="H241" s="138" t="str">
        <f t="shared" ref="H241:I241" si="242">IF(D241="","",D241+F241)</f>
        <v/>
      </c>
      <c r="I241" s="135" t="str">
        <f t="shared" si="242"/>
        <v/>
      </c>
      <c r="J241" s="140" t="str">
        <f t="shared" si="3"/>
        <v/>
      </c>
      <c r="K241" s="140" t="str">
        <f t="shared" si="4"/>
        <v/>
      </c>
    </row>
    <row r="242" ht="22.5" customHeight="1">
      <c r="A242" s="140"/>
      <c r="B242" s="135" t="str">
        <f t="array" ref="B242">IF(A242="","",VLOOKUP(A242,INDIRECT("CXC!A2:B"&amp;COUNTA(CXC!A:A)),2,FALSE))</f>
        <v/>
      </c>
      <c r="C242" s="136" t="str">
        <f t="array" ref="C242">IF(A242="","",VLOOKUP(A242,INDIRECT("CXC!A2:C"&amp;COUNTA(CXC!A:A)),3,FALSE))</f>
        <v/>
      </c>
      <c r="D242" s="137" t="str">
        <f t="array" ref="D242">IF(A242="","",VLOOKUP(A242,INDIRECT("CXC!A2:H"&amp;COUNTA(CXC!A:A)),8,FALSE))</f>
        <v/>
      </c>
      <c r="E242" s="137" t="str">
        <f t="array" ref="E242">IFERROR(IF(A242="","",VLOOKUP(A242,INDIRECT("HISTÓRICO COBROS!A3:E"&amp;COUNTA('HISTÓRICO COBROS'!A:A)),5,FALSE)),"")</f>
        <v/>
      </c>
      <c r="F242" s="137" t="str">
        <f t="array" ref="F242">IF(A242="","",VLOOKUP(A242,INDIRECT("CXC!A2:I"&amp;COUNTA(CXC!A:A)),9,FALSE))</f>
        <v/>
      </c>
      <c r="G242" s="137" t="str">
        <f t="array" ref="G242">IFERROR(IF(A242="","",VLOOKUP(A242,INDIRECT("HISTÓRICO COBROS!A3:F"&amp;COUNTA('HISTÓRICO COBROS'!A:A)),6,FALSE)),"")</f>
        <v/>
      </c>
      <c r="H242" s="138" t="str">
        <f t="shared" ref="H242:I242" si="243">IF(D242="","",D242+F242)</f>
        <v/>
      </c>
      <c r="I242" s="135" t="str">
        <f t="shared" si="243"/>
        <v/>
      </c>
      <c r="J242" s="140" t="str">
        <f t="shared" si="3"/>
        <v/>
      </c>
      <c r="K242" s="140" t="str">
        <f t="shared" si="4"/>
        <v/>
      </c>
    </row>
    <row r="243" ht="22.5" customHeight="1">
      <c r="A243" s="140"/>
      <c r="B243" s="135" t="str">
        <f t="array" ref="B243">IF(A243="","",VLOOKUP(A243,INDIRECT("CXC!A2:B"&amp;COUNTA(CXC!A:A)),2,FALSE))</f>
        <v/>
      </c>
      <c r="C243" s="136" t="str">
        <f t="array" ref="C243">IF(A243="","",VLOOKUP(A243,INDIRECT("CXC!A2:C"&amp;COUNTA(CXC!A:A)),3,FALSE))</f>
        <v/>
      </c>
      <c r="D243" s="137" t="str">
        <f t="array" ref="D243">IF(A243="","",VLOOKUP(A243,INDIRECT("CXC!A2:H"&amp;COUNTA(CXC!A:A)),8,FALSE))</f>
        <v/>
      </c>
      <c r="E243" s="137" t="str">
        <f t="array" ref="E243">IFERROR(IF(A243="","",VLOOKUP(A243,INDIRECT("HISTÓRICO COBROS!A3:E"&amp;COUNTA('HISTÓRICO COBROS'!A:A)),5,FALSE)),"")</f>
        <v/>
      </c>
      <c r="F243" s="137" t="str">
        <f t="array" ref="F243">IF(A243="","",VLOOKUP(A243,INDIRECT("CXC!A2:I"&amp;COUNTA(CXC!A:A)),9,FALSE))</f>
        <v/>
      </c>
      <c r="G243" s="137" t="str">
        <f t="array" ref="G243">IFERROR(IF(A243="","",VLOOKUP(A243,INDIRECT("HISTÓRICO COBROS!A3:F"&amp;COUNTA('HISTÓRICO COBROS'!A:A)),6,FALSE)),"")</f>
        <v/>
      </c>
      <c r="H243" s="138" t="str">
        <f t="shared" ref="H243:I243" si="244">IF(D243="","",D243+F243)</f>
        <v/>
      </c>
      <c r="I243" s="135" t="str">
        <f t="shared" si="244"/>
        <v/>
      </c>
      <c r="J243" s="140" t="str">
        <f t="shared" si="3"/>
        <v/>
      </c>
      <c r="K243" s="140" t="str">
        <f t="shared" si="4"/>
        <v/>
      </c>
    </row>
    <row r="244" ht="22.5" customHeight="1">
      <c r="A244" s="140"/>
      <c r="B244" s="135" t="str">
        <f t="array" ref="B244">IF(A244="","",VLOOKUP(A244,INDIRECT("CXC!A2:B"&amp;COUNTA(CXC!A:A)),2,FALSE))</f>
        <v/>
      </c>
      <c r="C244" s="136" t="str">
        <f t="array" ref="C244">IF(A244="","",VLOOKUP(A244,INDIRECT("CXC!A2:C"&amp;COUNTA(CXC!A:A)),3,FALSE))</f>
        <v/>
      </c>
      <c r="D244" s="137" t="str">
        <f t="array" ref="D244">IF(A244="","",VLOOKUP(A244,INDIRECT("CXC!A2:H"&amp;COUNTA(CXC!A:A)),8,FALSE))</f>
        <v/>
      </c>
      <c r="E244" s="137" t="str">
        <f t="array" ref="E244">IFERROR(IF(A244="","",VLOOKUP(A244,INDIRECT("HISTÓRICO COBROS!A3:E"&amp;COUNTA('HISTÓRICO COBROS'!A:A)),5,FALSE)),"")</f>
        <v/>
      </c>
      <c r="F244" s="137" t="str">
        <f t="array" ref="F244">IF(A244="","",VLOOKUP(A244,INDIRECT("CXC!A2:I"&amp;COUNTA(CXC!A:A)),9,FALSE))</f>
        <v/>
      </c>
      <c r="G244" s="137" t="str">
        <f t="array" ref="G244">IFERROR(IF(A244="","",VLOOKUP(A244,INDIRECT("HISTÓRICO COBROS!A3:F"&amp;COUNTA('HISTÓRICO COBROS'!A:A)),6,FALSE)),"")</f>
        <v/>
      </c>
      <c r="H244" s="138" t="str">
        <f t="shared" ref="H244:I244" si="245">IF(D244="","",D244+F244)</f>
        <v/>
      </c>
      <c r="I244" s="135" t="str">
        <f t="shared" si="245"/>
        <v/>
      </c>
      <c r="J244" s="140" t="str">
        <f t="shared" si="3"/>
        <v/>
      </c>
      <c r="K244" s="140" t="str">
        <f t="shared" si="4"/>
        <v/>
      </c>
    </row>
    <row r="245" ht="22.5" customHeight="1">
      <c r="A245" s="140"/>
      <c r="B245" s="135" t="str">
        <f t="array" ref="B245">IF(A245="","",VLOOKUP(A245,INDIRECT("CXC!A2:B"&amp;COUNTA(CXC!A:A)),2,FALSE))</f>
        <v/>
      </c>
      <c r="C245" s="136" t="str">
        <f t="array" ref="C245">IF(A245="","",VLOOKUP(A245,INDIRECT("CXC!A2:C"&amp;COUNTA(CXC!A:A)),3,FALSE))</f>
        <v/>
      </c>
      <c r="D245" s="137" t="str">
        <f t="array" ref="D245">IF(A245="","",VLOOKUP(A245,INDIRECT("CXC!A2:H"&amp;COUNTA(CXC!A:A)),8,FALSE))</f>
        <v/>
      </c>
      <c r="E245" s="137" t="str">
        <f t="array" ref="E245">IFERROR(IF(A245="","",VLOOKUP(A245,INDIRECT("HISTÓRICO COBROS!A3:E"&amp;COUNTA('HISTÓRICO COBROS'!A:A)),5,FALSE)),"")</f>
        <v/>
      </c>
      <c r="F245" s="137" t="str">
        <f t="array" ref="F245">IF(A245="","",VLOOKUP(A245,INDIRECT("CXC!A2:I"&amp;COUNTA(CXC!A:A)),9,FALSE))</f>
        <v/>
      </c>
      <c r="G245" s="137" t="str">
        <f t="array" ref="G245">IFERROR(IF(A245="","",VLOOKUP(A245,INDIRECT("HISTÓRICO COBROS!A3:F"&amp;COUNTA('HISTÓRICO COBROS'!A:A)),6,FALSE)),"")</f>
        <v/>
      </c>
      <c r="H245" s="138" t="str">
        <f t="shared" ref="H245:I245" si="246">IF(D245="","",D245+F245)</f>
        <v/>
      </c>
      <c r="I245" s="135" t="str">
        <f t="shared" si="246"/>
        <v/>
      </c>
      <c r="J245" s="140" t="str">
        <f t="shared" si="3"/>
        <v/>
      </c>
      <c r="K245" s="140" t="str">
        <f t="shared" si="4"/>
        <v/>
      </c>
    </row>
    <row r="246" ht="22.5" customHeight="1">
      <c r="A246" s="140"/>
      <c r="B246" s="135" t="str">
        <f t="array" ref="B246">IF(A246="","",VLOOKUP(A246,INDIRECT("CXC!A2:B"&amp;COUNTA(CXC!A:A)),2,FALSE))</f>
        <v/>
      </c>
      <c r="C246" s="136" t="str">
        <f t="array" ref="C246">IF(A246="","",VLOOKUP(A246,INDIRECT("CXC!A2:C"&amp;COUNTA(CXC!A:A)),3,FALSE))</f>
        <v/>
      </c>
      <c r="D246" s="137" t="str">
        <f t="array" ref="D246">IF(A246="","",VLOOKUP(A246,INDIRECT("CXC!A2:H"&amp;COUNTA(CXC!A:A)),8,FALSE))</f>
        <v/>
      </c>
      <c r="E246" s="137" t="str">
        <f t="array" ref="E246">IFERROR(IF(A246="","",VLOOKUP(A246,INDIRECT("HISTÓRICO COBROS!A3:E"&amp;COUNTA('HISTÓRICO COBROS'!A:A)),5,FALSE)),"")</f>
        <v/>
      </c>
      <c r="F246" s="137" t="str">
        <f t="array" ref="F246">IF(A246="","",VLOOKUP(A246,INDIRECT("CXC!A2:I"&amp;COUNTA(CXC!A:A)),9,FALSE))</f>
        <v/>
      </c>
      <c r="G246" s="137" t="str">
        <f t="array" ref="G246">IFERROR(IF(A246="","",VLOOKUP(A246,INDIRECT("HISTÓRICO COBROS!A3:F"&amp;COUNTA('HISTÓRICO COBROS'!A:A)),6,FALSE)),"")</f>
        <v/>
      </c>
      <c r="H246" s="138" t="str">
        <f t="shared" ref="H246:I246" si="247">IF(D246="","",D246+F246)</f>
        <v/>
      </c>
      <c r="I246" s="135" t="str">
        <f t="shared" si="247"/>
        <v/>
      </c>
      <c r="J246" s="140" t="str">
        <f t="shared" si="3"/>
        <v/>
      </c>
      <c r="K246" s="140" t="str">
        <f t="shared" si="4"/>
        <v/>
      </c>
    </row>
    <row r="247" ht="22.5" customHeight="1">
      <c r="A247" s="140"/>
      <c r="B247" s="135" t="str">
        <f t="array" ref="B247">IF(A247="","",VLOOKUP(A247,INDIRECT("CXC!A2:B"&amp;COUNTA(CXC!A:A)),2,FALSE))</f>
        <v/>
      </c>
      <c r="C247" s="136" t="str">
        <f t="array" ref="C247">IF(A247="","",VLOOKUP(A247,INDIRECT("CXC!A2:C"&amp;COUNTA(CXC!A:A)),3,FALSE))</f>
        <v/>
      </c>
      <c r="D247" s="137" t="str">
        <f t="array" ref="D247">IF(A247="","",VLOOKUP(A247,INDIRECT("CXC!A2:H"&amp;COUNTA(CXC!A:A)),8,FALSE))</f>
        <v/>
      </c>
      <c r="E247" s="137" t="str">
        <f t="array" ref="E247">IFERROR(IF(A247="","",VLOOKUP(A247,INDIRECT("HISTÓRICO COBROS!A3:E"&amp;COUNTA('HISTÓRICO COBROS'!A:A)),5,FALSE)),"")</f>
        <v/>
      </c>
      <c r="F247" s="137" t="str">
        <f t="array" ref="F247">IF(A247="","",VLOOKUP(A247,INDIRECT("CXC!A2:I"&amp;COUNTA(CXC!A:A)),9,FALSE))</f>
        <v/>
      </c>
      <c r="G247" s="137" t="str">
        <f t="array" ref="G247">IFERROR(IF(A247="","",VLOOKUP(A247,INDIRECT("HISTÓRICO COBROS!A3:F"&amp;COUNTA('HISTÓRICO COBROS'!A:A)),6,FALSE)),"")</f>
        <v/>
      </c>
      <c r="H247" s="138" t="str">
        <f t="shared" ref="H247:I247" si="248">IF(D247="","",D247+F247)</f>
        <v/>
      </c>
      <c r="I247" s="135" t="str">
        <f t="shared" si="248"/>
        <v/>
      </c>
      <c r="J247" s="140" t="str">
        <f t="shared" si="3"/>
        <v/>
      </c>
      <c r="K247" s="140" t="str">
        <f t="shared" si="4"/>
        <v/>
      </c>
    </row>
    <row r="248" ht="22.5" customHeight="1">
      <c r="A248" s="140"/>
      <c r="B248" s="135" t="str">
        <f t="array" ref="B248">IF(A248="","",VLOOKUP(A248,INDIRECT("CXC!A2:B"&amp;COUNTA(CXC!A:A)),2,FALSE))</f>
        <v/>
      </c>
      <c r="C248" s="136" t="str">
        <f t="array" ref="C248">IF(A248="","",VLOOKUP(A248,INDIRECT("CXC!A2:C"&amp;COUNTA(CXC!A:A)),3,FALSE))</f>
        <v/>
      </c>
      <c r="D248" s="137" t="str">
        <f t="array" ref="D248">IF(A248="","",VLOOKUP(A248,INDIRECT("CXC!A2:H"&amp;COUNTA(CXC!A:A)),8,FALSE))</f>
        <v/>
      </c>
      <c r="E248" s="137" t="str">
        <f t="array" ref="E248">IFERROR(IF(A248="","",VLOOKUP(A248,INDIRECT("HISTÓRICO COBROS!A3:E"&amp;COUNTA('HISTÓRICO COBROS'!A:A)),5,FALSE)),"")</f>
        <v/>
      </c>
      <c r="F248" s="137" t="str">
        <f t="array" ref="F248">IF(A248="","",VLOOKUP(A248,INDIRECT("CXC!A2:I"&amp;COUNTA(CXC!A:A)),9,FALSE))</f>
        <v/>
      </c>
      <c r="G248" s="137" t="str">
        <f t="array" ref="G248">IFERROR(IF(A248="","",VLOOKUP(A248,INDIRECT("HISTÓRICO COBROS!A3:F"&amp;COUNTA('HISTÓRICO COBROS'!A:A)),6,FALSE)),"")</f>
        <v/>
      </c>
      <c r="H248" s="138" t="str">
        <f t="shared" ref="H248:I248" si="249">IF(D248="","",D248+F248)</f>
        <v/>
      </c>
      <c r="I248" s="135" t="str">
        <f t="shared" si="249"/>
        <v/>
      </c>
      <c r="J248" s="140" t="str">
        <f t="shared" si="3"/>
        <v/>
      </c>
      <c r="K248" s="140" t="str">
        <f t="shared" si="4"/>
        <v/>
      </c>
    </row>
    <row r="249" ht="22.5" customHeight="1">
      <c r="A249" s="140"/>
      <c r="B249" s="135" t="str">
        <f t="array" ref="B249">IF(A249="","",VLOOKUP(A249,INDIRECT("CXC!A2:B"&amp;COUNTA(CXC!A:A)),2,FALSE))</f>
        <v/>
      </c>
      <c r="C249" s="136" t="str">
        <f t="array" ref="C249">IF(A249="","",VLOOKUP(A249,INDIRECT("CXC!A2:C"&amp;COUNTA(CXC!A:A)),3,FALSE))</f>
        <v/>
      </c>
      <c r="D249" s="137" t="str">
        <f t="array" ref="D249">IF(A249="","",VLOOKUP(A249,INDIRECT("CXC!A2:H"&amp;COUNTA(CXC!A:A)),8,FALSE))</f>
        <v/>
      </c>
      <c r="E249" s="137" t="str">
        <f t="array" ref="E249">IFERROR(IF(A249="","",VLOOKUP(A249,INDIRECT("HISTÓRICO COBROS!A3:E"&amp;COUNTA('HISTÓRICO COBROS'!A:A)),5,FALSE)),"")</f>
        <v/>
      </c>
      <c r="F249" s="137" t="str">
        <f t="array" ref="F249">IF(A249="","",VLOOKUP(A249,INDIRECT("CXC!A2:I"&amp;COUNTA(CXC!A:A)),9,FALSE))</f>
        <v/>
      </c>
      <c r="G249" s="137" t="str">
        <f t="array" ref="G249">IFERROR(IF(A249="","",VLOOKUP(A249,INDIRECT("HISTÓRICO COBROS!A3:F"&amp;COUNTA('HISTÓRICO COBROS'!A:A)),6,FALSE)),"")</f>
        <v/>
      </c>
      <c r="H249" s="138" t="str">
        <f t="shared" ref="H249:I249" si="250">IF(D249="","",D249+F249)</f>
        <v/>
      </c>
      <c r="I249" s="135" t="str">
        <f t="shared" si="250"/>
        <v/>
      </c>
      <c r="J249" s="140" t="str">
        <f t="shared" si="3"/>
        <v/>
      </c>
      <c r="K249" s="140" t="str">
        <f t="shared" si="4"/>
        <v/>
      </c>
    </row>
    <row r="250" ht="22.5" customHeight="1">
      <c r="A250" s="140"/>
      <c r="B250" s="135" t="str">
        <f t="array" ref="B250">IF(A250="","",VLOOKUP(A250,INDIRECT("CXC!A2:B"&amp;COUNTA(CXC!A:A)),2,FALSE))</f>
        <v/>
      </c>
      <c r="C250" s="136" t="str">
        <f t="array" ref="C250">IF(A250="","",VLOOKUP(A250,INDIRECT("CXC!A2:C"&amp;COUNTA(CXC!A:A)),3,FALSE))</f>
        <v/>
      </c>
      <c r="D250" s="137" t="str">
        <f t="array" ref="D250">IF(A250="","",VLOOKUP(A250,INDIRECT("CXC!A2:H"&amp;COUNTA(CXC!A:A)),8,FALSE))</f>
        <v/>
      </c>
      <c r="E250" s="137" t="str">
        <f t="array" ref="E250">IFERROR(IF(A250="","",VLOOKUP(A250,INDIRECT("HISTÓRICO COBROS!A3:E"&amp;COUNTA('HISTÓRICO COBROS'!A:A)),5,FALSE)),"")</f>
        <v/>
      </c>
      <c r="F250" s="137" t="str">
        <f t="array" ref="F250">IF(A250="","",VLOOKUP(A250,INDIRECT("CXC!A2:I"&amp;COUNTA(CXC!A:A)),9,FALSE))</f>
        <v/>
      </c>
      <c r="G250" s="137" t="str">
        <f t="array" ref="G250">IFERROR(IF(A250="","",VLOOKUP(A250,INDIRECT("HISTÓRICO COBROS!A3:F"&amp;COUNTA('HISTÓRICO COBROS'!A:A)),6,FALSE)),"")</f>
        <v/>
      </c>
      <c r="H250" s="138" t="str">
        <f t="shared" ref="H250:I250" si="251">IF(D250="","",D250+F250)</f>
        <v/>
      </c>
      <c r="I250" s="135" t="str">
        <f t="shared" si="251"/>
        <v/>
      </c>
      <c r="J250" s="140" t="str">
        <f t="shared" si="3"/>
        <v/>
      </c>
      <c r="K250" s="140" t="str">
        <f t="shared" si="4"/>
        <v/>
      </c>
    </row>
    <row r="251" ht="22.5" customHeight="1">
      <c r="A251" s="140"/>
      <c r="B251" s="135" t="str">
        <f t="array" ref="B251">IF(A251="","",VLOOKUP(A251,INDIRECT("CXC!A2:B"&amp;COUNTA(CXC!A:A)),2,FALSE))</f>
        <v/>
      </c>
      <c r="C251" s="136" t="str">
        <f t="array" ref="C251">IF(A251="","",VLOOKUP(A251,INDIRECT("CXC!A2:C"&amp;COUNTA(CXC!A:A)),3,FALSE))</f>
        <v/>
      </c>
      <c r="D251" s="137" t="str">
        <f t="array" ref="D251">IF(A251="","",VLOOKUP(A251,INDIRECT("CXC!A2:H"&amp;COUNTA(CXC!A:A)),8,FALSE))</f>
        <v/>
      </c>
      <c r="E251" s="137" t="str">
        <f t="array" ref="E251">IFERROR(IF(A251="","",VLOOKUP(A251,INDIRECT("HISTÓRICO COBROS!A3:E"&amp;COUNTA('HISTÓRICO COBROS'!A:A)),5,FALSE)),"")</f>
        <v/>
      </c>
      <c r="F251" s="137" t="str">
        <f t="array" ref="F251">IF(A251="","",VLOOKUP(A251,INDIRECT("CXC!A2:I"&amp;COUNTA(CXC!A:A)),9,FALSE))</f>
        <v/>
      </c>
      <c r="G251" s="137" t="str">
        <f t="array" ref="G251">IFERROR(IF(A251="","",VLOOKUP(A251,INDIRECT("HISTÓRICO COBROS!A3:F"&amp;COUNTA('HISTÓRICO COBROS'!A:A)),6,FALSE)),"")</f>
        <v/>
      </c>
      <c r="H251" s="138" t="str">
        <f t="shared" ref="H251:I251" si="252">IF(D251="","",D251+F251)</f>
        <v/>
      </c>
      <c r="I251" s="135" t="str">
        <f t="shared" si="252"/>
        <v/>
      </c>
      <c r="J251" s="140" t="str">
        <f t="shared" si="3"/>
        <v/>
      </c>
      <c r="K251" s="140" t="str">
        <f t="shared" si="4"/>
        <v/>
      </c>
    </row>
    <row r="252" ht="22.5" customHeight="1">
      <c r="A252" s="140"/>
      <c r="B252" s="135" t="str">
        <f t="array" ref="B252">IF(A252="","",VLOOKUP(A252,INDIRECT("CXC!A2:B"&amp;COUNTA(CXC!A:A)),2,FALSE))</f>
        <v/>
      </c>
      <c r="C252" s="136" t="str">
        <f t="array" ref="C252">IF(A252="","",VLOOKUP(A252,INDIRECT("CXC!A2:C"&amp;COUNTA(CXC!A:A)),3,FALSE))</f>
        <v/>
      </c>
      <c r="D252" s="137" t="str">
        <f t="array" ref="D252">IF(A252="","",VLOOKUP(A252,INDIRECT("CXC!A2:H"&amp;COUNTA(CXC!A:A)),8,FALSE))</f>
        <v/>
      </c>
      <c r="E252" s="137" t="str">
        <f t="array" ref="E252">IFERROR(IF(A252="","",VLOOKUP(A252,INDIRECT("HISTÓRICO COBROS!A3:E"&amp;COUNTA('HISTÓRICO COBROS'!A:A)),5,FALSE)),"")</f>
        <v/>
      </c>
      <c r="F252" s="137" t="str">
        <f t="array" ref="F252">IF(A252="","",VLOOKUP(A252,INDIRECT("CXC!A2:I"&amp;COUNTA(CXC!A:A)),9,FALSE))</f>
        <v/>
      </c>
      <c r="G252" s="137" t="str">
        <f t="array" ref="G252">IFERROR(IF(A252="","",VLOOKUP(A252,INDIRECT("HISTÓRICO COBROS!A3:F"&amp;COUNTA('HISTÓRICO COBROS'!A:A)),6,FALSE)),"")</f>
        <v/>
      </c>
      <c r="H252" s="138" t="str">
        <f t="shared" ref="H252:I252" si="253">IF(D252="","",D252+F252)</f>
        <v/>
      </c>
      <c r="I252" s="135" t="str">
        <f t="shared" si="253"/>
        <v/>
      </c>
      <c r="J252" s="140" t="str">
        <f t="shared" si="3"/>
        <v/>
      </c>
      <c r="K252" s="140" t="str">
        <f t="shared" si="4"/>
        <v/>
      </c>
    </row>
    <row r="253" ht="22.5" customHeight="1">
      <c r="A253" s="140"/>
      <c r="B253" s="135" t="str">
        <f t="array" ref="B253">IF(A253="","",VLOOKUP(A253,INDIRECT("CXC!A2:B"&amp;COUNTA(CXC!A:A)),2,FALSE))</f>
        <v/>
      </c>
      <c r="C253" s="136" t="str">
        <f t="array" ref="C253">IF(A253="","",VLOOKUP(A253,INDIRECT("CXC!A2:C"&amp;COUNTA(CXC!A:A)),3,FALSE))</f>
        <v/>
      </c>
      <c r="D253" s="137" t="str">
        <f t="array" ref="D253">IF(A253="","",VLOOKUP(A253,INDIRECT("CXC!A2:H"&amp;COUNTA(CXC!A:A)),8,FALSE))</f>
        <v/>
      </c>
      <c r="E253" s="137" t="str">
        <f t="array" ref="E253">IFERROR(IF(A253="","",VLOOKUP(A253,INDIRECT("HISTÓRICO COBROS!A3:E"&amp;COUNTA('HISTÓRICO COBROS'!A:A)),5,FALSE)),"")</f>
        <v/>
      </c>
      <c r="F253" s="137" t="str">
        <f t="array" ref="F253">IF(A253="","",VLOOKUP(A253,INDIRECT("CXC!A2:I"&amp;COUNTA(CXC!A:A)),9,FALSE))</f>
        <v/>
      </c>
      <c r="G253" s="137" t="str">
        <f t="array" ref="G253">IFERROR(IF(A253="","",VLOOKUP(A253,INDIRECT("HISTÓRICO COBROS!A3:F"&amp;COUNTA('HISTÓRICO COBROS'!A:A)),6,FALSE)),"")</f>
        <v/>
      </c>
      <c r="H253" s="138" t="str">
        <f t="shared" ref="H253:I253" si="254">IF(D253="","",D253+F253)</f>
        <v/>
      </c>
      <c r="I253" s="135" t="str">
        <f t="shared" si="254"/>
        <v/>
      </c>
      <c r="J253" s="140" t="str">
        <f t="shared" si="3"/>
        <v/>
      </c>
      <c r="K253" s="140" t="str">
        <f t="shared" si="4"/>
        <v/>
      </c>
    </row>
    <row r="254" ht="22.5" customHeight="1">
      <c r="A254" s="140"/>
      <c r="B254" s="135" t="str">
        <f t="array" ref="B254">IF(A254="","",VLOOKUP(A254,INDIRECT("CXC!A2:B"&amp;COUNTA(CXC!A:A)),2,FALSE))</f>
        <v/>
      </c>
      <c r="C254" s="136" t="str">
        <f t="array" ref="C254">IF(A254="","",VLOOKUP(A254,INDIRECT("CXC!A2:C"&amp;COUNTA(CXC!A:A)),3,FALSE))</f>
        <v/>
      </c>
      <c r="D254" s="137" t="str">
        <f t="array" ref="D254">IF(A254="","",VLOOKUP(A254,INDIRECT("CXC!A2:H"&amp;COUNTA(CXC!A:A)),8,FALSE))</f>
        <v/>
      </c>
      <c r="E254" s="137" t="str">
        <f t="array" ref="E254">IFERROR(IF(A254="","",VLOOKUP(A254,INDIRECT("HISTÓRICO COBROS!A3:E"&amp;COUNTA('HISTÓRICO COBROS'!A:A)),5,FALSE)),"")</f>
        <v/>
      </c>
      <c r="F254" s="137" t="str">
        <f t="array" ref="F254">IF(A254="","",VLOOKUP(A254,INDIRECT("CXC!A2:I"&amp;COUNTA(CXC!A:A)),9,FALSE))</f>
        <v/>
      </c>
      <c r="G254" s="137" t="str">
        <f t="array" ref="G254">IFERROR(IF(A254="","",VLOOKUP(A254,INDIRECT("HISTÓRICO COBROS!A3:F"&amp;COUNTA('HISTÓRICO COBROS'!A:A)),6,FALSE)),"")</f>
        <v/>
      </c>
      <c r="H254" s="138" t="str">
        <f t="shared" ref="H254:I254" si="255">IF(D254="","",D254+F254)</f>
        <v/>
      </c>
      <c r="I254" s="135" t="str">
        <f t="shared" si="255"/>
        <v/>
      </c>
      <c r="J254" s="140" t="str">
        <f t="shared" si="3"/>
        <v/>
      </c>
      <c r="K254" s="140" t="str">
        <f t="shared" si="4"/>
        <v/>
      </c>
    </row>
    <row r="255" ht="22.5" customHeight="1">
      <c r="A255" s="140"/>
      <c r="B255" s="135" t="str">
        <f t="array" ref="B255">IF(A255="","",VLOOKUP(A255,INDIRECT("CXC!A2:B"&amp;COUNTA(CXC!A:A)),2,FALSE))</f>
        <v/>
      </c>
      <c r="C255" s="136" t="str">
        <f t="array" ref="C255">IF(A255="","",VLOOKUP(A255,INDIRECT("CXC!A2:C"&amp;COUNTA(CXC!A:A)),3,FALSE))</f>
        <v/>
      </c>
      <c r="D255" s="137" t="str">
        <f t="array" ref="D255">IF(A255="","",VLOOKUP(A255,INDIRECT("CXC!A2:H"&amp;COUNTA(CXC!A:A)),8,FALSE))</f>
        <v/>
      </c>
      <c r="E255" s="137" t="str">
        <f t="array" ref="E255">IFERROR(IF(A255="","",VLOOKUP(A255,INDIRECT("HISTÓRICO COBROS!A3:E"&amp;COUNTA('HISTÓRICO COBROS'!A:A)),5,FALSE)),"")</f>
        <v/>
      </c>
      <c r="F255" s="137" t="str">
        <f t="array" ref="F255">IF(A255="","",VLOOKUP(A255,INDIRECT("CXC!A2:I"&amp;COUNTA(CXC!A:A)),9,FALSE))</f>
        <v/>
      </c>
      <c r="G255" s="137" t="str">
        <f t="array" ref="G255">IFERROR(IF(A255="","",VLOOKUP(A255,INDIRECT("HISTÓRICO COBROS!A3:F"&amp;COUNTA('HISTÓRICO COBROS'!A:A)),6,FALSE)),"")</f>
        <v/>
      </c>
      <c r="H255" s="138" t="str">
        <f t="shared" ref="H255:I255" si="256">IF(D255="","",D255+F255)</f>
        <v/>
      </c>
      <c r="I255" s="135" t="str">
        <f t="shared" si="256"/>
        <v/>
      </c>
      <c r="J255" s="140" t="str">
        <f t="shared" si="3"/>
        <v/>
      </c>
      <c r="K255" s="140" t="str">
        <f t="shared" si="4"/>
        <v/>
      </c>
    </row>
    <row r="256" ht="22.5" customHeight="1">
      <c r="A256" s="140"/>
      <c r="B256" s="135" t="str">
        <f t="array" ref="B256">IF(A256="","",VLOOKUP(A256,INDIRECT("CXC!A2:B"&amp;COUNTA(CXC!A:A)),2,FALSE))</f>
        <v/>
      </c>
      <c r="C256" s="136" t="str">
        <f t="array" ref="C256">IF(A256="","",VLOOKUP(A256,INDIRECT("CXC!A2:C"&amp;COUNTA(CXC!A:A)),3,FALSE))</f>
        <v/>
      </c>
      <c r="D256" s="137" t="str">
        <f t="array" ref="D256">IF(A256="","",VLOOKUP(A256,INDIRECT("CXC!A2:H"&amp;COUNTA(CXC!A:A)),8,FALSE))</f>
        <v/>
      </c>
      <c r="E256" s="137" t="str">
        <f t="array" ref="E256">IFERROR(IF(A256="","",VLOOKUP(A256,INDIRECT("HISTÓRICO COBROS!A3:E"&amp;COUNTA('HISTÓRICO COBROS'!A:A)),5,FALSE)),"")</f>
        <v/>
      </c>
      <c r="F256" s="137" t="str">
        <f t="array" ref="F256">IF(A256="","",VLOOKUP(A256,INDIRECT("CXC!A2:I"&amp;COUNTA(CXC!A:A)),9,FALSE))</f>
        <v/>
      </c>
      <c r="G256" s="137" t="str">
        <f t="array" ref="G256">IFERROR(IF(A256="","",VLOOKUP(A256,INDIRECT("HISTÓRICO COBROS!A3:F"&amp;COUNTA('HISTÓRICO COBROS'!A:A)),6,FALSE)),"")</f>
        <v/>
      </c>
      <c r="H256" s="138" t="str">
        <f t="shared" ref="H256:I256" si="257">IF(D256="","",D256+F256)</f>
        <v/>
      </c>
      <c r="I256" s="135" t="str">
        <f t="shared" si="257"/>
        <v/>
      </c>
      <c r="J256" s="140" t="str">
        <f t="shared" si="3"/>
        <v/>
      </c>
      <c r="K256" s="140" t="str">
        <f t="shared" si="4"/>
        <v/>
      </c>
    </row>
    <row r="257" ht="22.5" customHeight="1">
      <c r="A257" s="140"/>
      <c r="B257" s="135" t="str">
        <f t="array" ref="B257">IF(A257="","",VLOOKUP(A257,INDIRECT("CXC!A2:B"&amp;COUNTA(CXC!A:A)),2,FALSE))</f>
        <v/>
      </c>
      <c r="C257" s="136" t="str">
        <f t="array" ref="C257">IF(A257="","",VLOOKUP(A257,INDIRECT("CXC!A2:C"&amp;COUNTA(CXC!A:A)),3,FALSE))</f>
        <v/>
      </c>
      <c r="D257" s="137" t="str">
        <f t="array" ref="D257">IF(A257="","",VLOOKUP(A257,INDIRECT("CXC!A2:H"&amp;COUNTA(CXC!A:A)),8,FALSE))</f>
        <v/>
      </c>
      <c r="E257" s="137" t="str">
        <f t="array" ref="E257">IFERROR(IF(A257="","",VLOOKUP(A257,INDIRECT("HISTÓRICO COBROS!A3:E"&amp;COUNTA('HISTÓRICO COBROS'!A:A)),5,FALSE)),"")</f>
        <v/>
      </c>
      <c r="F257" s="137" t="str">
        <f t="array" ref="F257">IF(A257="","",VLOOKUP(A257,INDIRECT("CXC!A2:I"&amp;COUNTA(CXC!A:A)),9,FALSE))</f>
        <v/>
      </c>
      <c r="G257" s="137" t="str">
        <f t="array" ref="G257">IFERROR(IF(A257="","",VLOOKUP(A257,INDIRECT("HISTÓRICO COBROS!A3:F"&amp;COUNTA('HISTÓRICO COBROS'!A:A)),6,FALSE)),"")</f>
        <v/>
      </c>
      <c r="H257" s="138" t="str">
        <f t="shared" ref="H257:I257" si="258">IF(D257="","",D257+F257)</f>
        <v/>
      </c>
      <c r="I257" s="135" t="str">
        <f t="shared" si="258"/>
        <v/>
      </c>
      <c r="J257" s="140" t="str">
        <f t="shared" si="3"/>
        <v/>
      </c>
      <c r="K257" s="140" t="str">
        <f t="shared" si="4"/>
        <v/>
      </c>
    </row>
    <row r="258" ht="22.5" customHeight="1">
      <c r="A258" s="140"/>
      <c r="B258" s="135" t="str">
        <f t="array" ref="B258">IF(A258="","",VLOOKUP(A258,INDIRECT("CXC!A2:B"&amp;COUNTA(CXC!A:A)),2,FALSE))</f>
        <v/>
      </c>
      <c r="C258" s="136" t="str">
        <f t="array" ref="C258">IF(A258="","",VLOOKUP(A258,INDIRECT("CXC!A2:C"&amp;COUNTA(CXC!A:A)),3,FALSE))</f>
        <v/>
      </c>
      <c r="D258" s="137" t="str">
        <f t="array" ref="D258">IF(A258="","",VLOOKUP(A258,INDIRECT("CXC!A2:H"&amp;COUNTA(CXC!A:A)),8,FALSE))</f>
        <v/>
      </c>
      <c r="E258" s="137" t="str">
        <f t="array" ref="E258">IFERROR(IF(A258="","",VLOOKUP(A258,INDIRECT("HISTÓRICO COBROS!A3:E"&amp;COUNTA('HISTÓRICO COBROS'!A:A)),5,FALSE)),"")</f>
        <v/>
      </c>
      <c r="F258" s="137" t="str">
        <f t="array" ref="F258">IF(A258="","",VLOOKUP(A258,INDIRECT("CXC!A2:I"&amp;COUNTA(CXC!A:A)),9,FALSE))</f>
        <v/>
      </c>
      <c r="G258" s="137" t="str">
        <f t="array" ref="G258">IFERROR(IF(A258="","",VLOOKUP(A258,INDIRECT("HISTÓRICO COBROS!A3:F"&amp;COUNTA('HISTÓRICO COBROS'!A:A)),6,FALSE)),"")</f>
        <v/>
      </c>
      <c r="H258" s="138" t="str">
        <f t="shared" ref="H258:I258" si="259">IF(D258="","",D258+F258)</f>
        <v/>
      </c>
      <c r="I258" s="135" t="str">
        <f t="shared" si="259"/>
        <v/>
      </c>
      <c r="J258" s="140" t="str">
        <f t="shared" si="3"/>
        <v/>
      </c>
      <c r="K258" s="140" t="str">
        <f t="shared" si="4"/>
        <v/>
      </c>
    </row>
    <row r="259" ht="22.5" customHeight="1">
      <c r="A259" s="140"/>
      <c r="B259" s="135" t="str">
        <f t="array" ref="B259">IF(A259="","",VLOOKUP(A259,INDIRECT("CXC!A2:B"&amp;COUNTA(CXC!A:A)),2,FALSE))</f>
        <v/>
      </c>
      <c r="C259" s="136" t="str">
        <f t="array" ref="C259">IF(A259="","",VLOOKUP(A259,INDIRECT("CXC!A2:C"&amp;COUNTA(CXC!A:A)),3,FALSE))</f>
        <v/>
      </c>
      <c r="D259" s="137" t="str">
        <f t="array" ref="D259">IF(A259="","",VLOOKUP(A259,INDIRECT("CXC!A2:H"&amp;COUNTA(CXC!A:A)),8,FALSE))</f>
        <v/>
      </c>
      <c r="E259" s="137" t="str">
        <f t="array" ref="E259">IFERROR(IF(A259="","",VLOOKUP(A259,INDIRECT("HISTÓRICO COBROS!A3:E"&amp;COUNTA('HISTÓRICO COBROS'!A:A)),5,FALSE)),"")</f>
        <v/>
      </c>
      <c r="F259" s="137" t="str">
        <f t="array" ref="F259">IF(A259="","",VLOOKUP(A259,INDIRECT("CXC!A2:I"&amp;COUNTA(CXC!A:A)),9,FALSE))</f>
        <v/>
      </c>
      <c r="G259" s="137" t="str">
        <f t="array" ref="G259">IFERROR(IF(A259="","",VLOOKUP(A259,INDIRECT("HISTÓRICO COBROS!A3:F"&amp;COUNTA('HISTÓRICO COBROS'!A:A)),6,FALSE)),"")</f>
        <v/>
      </c>
      <c r="H259" s="138" t="str">
        <f t="shared" ref="H259:I259" si="260">IF(D259="","",D259+F259)</f>
        <v/>
      </c>
      <c r="I259" s="135" t="str">
        <f t="shared" si="260"/>
        <v/>
      </c>
      <c r="J259" s="140" t="str">
        <f t="shared" si="3"/>
        <v/>
      </c>
      <c r="K259" s="140" t="str">
        <f t="shared" si="4"/>
        <v/>
      </c>
    </row>
    <row r="260" ht="22.5" customHeight="1">
      <c r="A260" s="140"/>
      <c r="B260" s="135" t="str">
        <f t="array" ref="B260">IF(A260="","",VLOOKUP(A260,INDIRECT("CXC!A2:B"&amp;COUNTA(CXC!A:A)),2,FALSE))</f>
        <v/>
      </c>
      <c r="C260" s="136" t="str">
        <f t="array" ref="C260">IF(A260="","",VLOOKUP(A260,INDIRECT("CXC!A2:C"&amp;COUNTA(CXC!A:A)),3,FALSE))</f>
        <v/>
      </c>
      <c r="D260" s="137" t="str">
        <f t="array" ref="D260">IF(A260="","",VLOOKUP(A260,INDIRECT("CXC!A2:H"&amp;COUNTA(CXC!A:A)),8,FALSE))</f>
        <v/>
      </c>
      <c r="E260" s="137" t="str">
        <f t="array" ref="E260">IFERROR(IF(A260="","",VLOOKUP(A260,INDIRECT("HISTÓRICO COBROS!A3:E"&amp;COUNTA('HISTÓRICO COBROS'!A:A)),5,FALSE)),"")</f>
        <v/>
      </c>
      <c r="F260" s="137" t="str">
        <f t="array" ref="F260">IF(A260="","",VLOOKUP(A260,INDIRECT("CXC!A2:I"&amp;COUNTA(CXC!A:A)),9,FALSE))</f>
        <v/>
      </c>
      <c r="G260" s="137" t="str">
        <f t="array" ref="G260">IFERROR(IF(A260="","",VLOOKUP(A260,INDIRECT("HISTÓRICO COBROS!A3:F"&amp;COUNTA('HISTÓRICO COBROS'!A:A)),6,FALSE)),"")</f>
        <v/>
      </c>
      <c r="H260" s="138" t="str">
        <f t="shared" ref="H260:I260" si="261">IF(D260="","",D260+F260)</f>
        <v/>
      </c>
      <c r="I260" s="135" t="str">
        <f t="shared" si="261"/>
        <v/>
      </c>
      <c r="J260" s="140" t="str">
        <f t="shared" si="3"/>
        <v/>
      </c>
      <c r="K260" s="140" t="str">
        <f t="shared" si="4"/>
        <v/>
      </c>
    </row>
    <row r="261" ht="22.5" customHeight="1">
      <c r="A261" s="140"/>
      <c r="B261" s="135" t="str">
        <f t="array" ref="B261">IF(A261="","",VLOOKUP(A261,INDIRECT("CXC!A2:B"&amp;COUNTA(CXC!A:A)),2,FALSE))</f>
        <v/>
      </c>
      <c r="C261" s="136" t="str">
        <f t="array" ref="C261">IF(A261="","",VLOOKUP(A261,INDIRECT("CXC!A2:C"&amp;COUNTA(CXC!A:A)),3,FALSE))</f>
        <v/>
      </c>
      <c r="D261" s="137" t="str">
        <f t="array" ref="D261">IF(A261="","",VLOOKUP(A261,INDIRECT("CXC!A2:H"&amp;COUNTA(CXC!A:A)),8,FALSE))</f>
        <v/>
      </c>
      <c r="E261" s="137" t="str">
        <f t="array" ref="E261">IFERROR(IF(A261="","",VLOOKUP(A261,INDIRECT("HISTÓRICO COBROS!A3:E"&amp;COUNTA('HISTÓRICO COBROS'!A:A)),5,FALSE)),"")</f>
        <v/>
      </c>
      <c r="F261" s="137" t="str">
        <f t="array" ref="F261">IF(A261="","",VLOOKUP(A261,INDIRECT("CXC!A2:I"&amp;COUNTA(CXC!A:A)),9,FALSE))</f>
        <v/>
      </c>
      <c r="G261" s="137" t="str">
        <f t="array" ref="G261">IFERROR(IF(A261="","",VLOOKUP(A261,INDIRECT("HISTÓRICO COBROS!A3:F"&amp;COUNTA('HISTÓRICO COBROS'!A:A)),6,FALSE)),"")</f>
        <v/>
      </c>
      <c r="H261" s="138" t="str">
        <f t="shared" ref="H261:I261" si="262">IF(D261="","",D261+F261)</f>
        <v/>
      </c>
      <c r="I261" s="135" t="str">
        <f t="shared" si="262"/>
        <v/>
      </c>
      <c r="J261" s="140" t="str">
        <f t="shared" si="3"/>
        <v/>
      </c>
      <c r="K261" s="140" t="str">
        <f t="shared" si="4"/>
        <v/>
      </c>
    </row>
    <row r="262" ht="22.5" customHeight="1">
      <c r="A262" s="140"/>
      <c r="B262" s="135" t="str">
        <f t="array" ref="B262">IF(A262="","",VLOOKUP(A262,INDIRECT("CXC!A2:B"&amp;COUNTA(CXC!A:A)),2,FALSE))</f>
        <v/>
      </c>
      <c r="C262" s="136" t="str">
        <f t="array" ref="C262">IF(A262="","",VLOOKUP(A262,INDIRECT("CXC!A2:C"&amp;COUNTA(CXC!A:A)),3,FALSE))</f>
        <v/>
      </c>
      <c r="D262" s="137" t="str">
        <f t="array" ref="D262">IF(A262="","",VLOOKUP(A262,INDIRECT("CXC!A2:H"&amp;COUNTA(CXC!A:A)),8,FALSE))</f>
        <v/>
      </c>
      <c r="E262" s="137" t="str">
        <f t="array" ref="E262">IFERROR(IF(A262="","",VLOOKUP(A262,INDIRECT("HISTÓRICO COBROS!A3:E"&amp;COUNTA('HISTÓRICO COBROS'!A:A)),5,FALSE)),"")</f>
        <v/>
      </c>
      <c r="F262" s="137" t="str">
        <f t="array" ref="F262">IF(A262="","",VLOOKUP(A262,INDIRECT("CXC!A2:I"&amp;COUNTA(CXC!A:A)),9,FALSE))</f>
        <v/>
      </c>
      <c r="G262" s="137" t="str">
        <f t="array" ref="G262">IFERROR(IF(A262="","",VLOOKUP(A262,INDIRECT("HISTÓRICO COBROS!A3:F"&amp;COUNTA('HISTÓRICO COBROS'!A:A)),6,FALSE)),"")</f>
        <v/>
      </c>
      <c r="H262" s="138" t="str">
        <f t="shared" ref="H262:I262" si="263">IF(D262="","",D262+F262)</f>
        <v/>
      </c>
      <c r="I262" s="135" t="str">
        <f t="shared" si="263"/>
        <v/>
      </c>
      <c r="J262" s="140" t="str">
        <f t="shared" si="3"/>
        <v/>
      </c>
      <c r="K262" s="140" t="str">
        <f t="shared" si="4"/>
        <v/>
      </c>
    </row>
    <row r="263" ht="22.5" customHeight="1">
      <c r="A263" s="140"/>
      <c r="B263" s="135" t="str">
        <f t="array" ref="B263">IF(A263="","",VLOOKUP(A263,INDIRECT("CXC!A2:B"&amp;COUNTA(CXC!A:A)),2,FALSE))</f>
        <v/>
      </c>
      <c r="C263" s="136" t="str">
        <f t="array" ref="C263">IF(A263="","",VLOOKUP(A263,INDIRECT("CXC!A2:C"&amp;COUNTA(CXC!A:A)),3,FALSE))</f>
        <v/>
      </c>
      <c r="D263" s="137" t="str">
        <f t="array" ref="D263">IF(A263="","",VLOOKUP(A263,INDIRECT("CXC!A2:H"&amp;COUNTA(CXC!A:A)),8,FALSE))</f>
        <v/>
      </c>
      <c r="E263" s="137" t="str">
        <f t="array" ref="E263">IFERROR(IF(A263="","",VLOOKUP(A263,INDIRECT("HISTÓRICO COBROS!A3:E"&amp;COUNTA('HISTÓRICO COBROS'!A:A)),5,FALSE)),"")</f>
        <v/>
      </c>
      <c r="F263" s="137" t="str">
        <f t="array" ref="F263">IF(A263="","",VLOOKUP(A263,INDIRECT("CXC!A2:I"&amp;COUNTA(CXC!A:A)),9,FALSE))</f>
        <v/>
      </c>
      <c r="G263" s="137" t="str">
        <f t="array" ref="G263">IFERROR(IF(A263="","",VLOOKUP(A263,INDIRECT("HISTÓRICO COBROS!A3:F"&amp;COUNTA('HISTÓRICO COBROS'!A:A)),6,FALSE)),"")</f>
        <v/>
      </c>
      <c r="H263" s="138" t="str">
        <f t="shared" ref="H263:I263" si="264">IF(D263="","",D263+F263)</f>
        <v/>
      </c>
      <c r="I263" s="135" t="str">
        <f t="shared" si="264"/>
        <v/>
      </c>
      <c r="J263" s="140" t="str">
        <f t="shared" si="3"/>
        <v/>
      </c>
      <c r="K263" s="140" t="str">
        <f t="shared" si="4"/>
        <v/>
      </c>
    </row>
    <row r="264" ht="22.5" customHeight="1">
      <c r="A264" s="140"/>
      <c r="B264" s="135" t="str">
        <f t="array" ref="B264">IF(A264="","",VLOOKUP(A264,INDIRECT("CXC!A2:B"&amp;COUNTA(CXC!A:A)),2,FALSE))</f>
        <v/>
      </c>
      <c r="C264" s="136" t="str">
        <f t="array" ref="C264">IF(A264="","",VLOOKUP(A264,INDIRECT("CXC!A2:C"&amp;COUNTA(CXC!A:A)),3,FALSE))</f>
        <v/>
      </c>
      <c r="D264" s="137" t="str">
        <f t="array" ref="D264">IF(A264="","",VLOOKUP(A264,INDIRECT("CXC!A2:H"&amp;COUNTA(CXC!A:A)),8,FALSE))</f>
        <v/>
      </c>
      <c r="E264" s="137" t="str">
        <f t="array" ref="E264">IFERROR(IF(A264="","",VLOOKUP(A264,INDIRECT("HISTÓRICO COBROS!A3:E"&amp;COUNTA('HISTÓRICO COBROS'!A:A)),5,FALSE)),"")</f>
        <v/>
      </c>
      <c r="F264" s="137" t="str">
        <f t="array" ref="F264">IF(A264="","",VLOOKUP(A264,INDIRECT("CXC!A2:I"&amp;COUNTA(CXC!A:A)),9,FALSE))</f>
        <v/>
      </c>
      <c r="G264" s="137" t="str">
        <f t="array" ref="G264">IFERROR(IF(A264="","",VLOOKUP(A264,INDIRECT("HISTÓRICO COBROS!A3:F"&amp;COUNTA('HISTÓRICO COBROS'!A:A)),6,FALSE)),"")</f>
        <v/>
      </c>
      <c r="H264" s="138" t="str">
        <f t="shared" ref="H264:I264" si="265">IF(D264="","",D264+F264)</f>
        <v/>
      </c>
      <c r="I264" s="135" t="str">
        <f t="shared" si="265"/>
        <v/>
      </c>
      <c r="J264" s="140" t="str">
        <f t="shared" si="3"/>
        <v/>
      </c>
      <c r="K264" s="140" t="str">
        <f t="shared" si="4"/>
        <v/>
      </c>
    </row>
    <row r="265" ht="22.5" customHeight="1">
      <c r="A265" s="140"/>
      <c r="B265" s="135" t="str">
        <f t="array" ref="B265">IF(A265="","",VLOOKUP(A265,INDIRECT("CXC!A2:B"&amp;COUNTA(CXC!A:A)),2,FALSE))</f>
        <v/>
      </c>
      <c r="C265" s="136" t="str">
        <f t="array" ref="C265">IF(A265="","",VLOOKUP(A265,INDIRECT("CXC!A2:C"&amp;COUNTA(CXC!A:A)),3,FALSE))</f>
        <v/>
      </c>
      <c r="D265" s="137" t="str">
        <f t="array" ref="D265">IF(A265="","",VLOOKUP(A265,INDIRECT("CXC!A2:H"&amp;COUNTA(CXC!A:A)),8,FALSE))</f>
        <v/>
      </c>
      <c r="E265" s="137" t="str">
        <f t="array" ref="E265">IFERROR(IF(A265="","",VLOOKUP(A265,INDIRECT("HISTÓRICO COBROS!A3:E"&amp;COUNTA('HISTÓRICO COBROS'!A:A)),5,FALSE)),"")</f>
        <v/>
      </c>
      <c r="F265" s="137" t="str">
        <f t="array" ref="F265">IF(A265="","",VLOOKUP(A265,INDIRECT("CXC!A2:I"&amp;COUNTA(CXC!A:A)),9,FALSE))</f>
        <v/>
      </c>
      <c r="G265" s="137" t="str">
        <f t="array" ref="G265">IFERROR(IF(A265="","",VLOOKUP(A265,INDIRECT("HISTÓRICO COBROS!A3:F"&amp;COUNTA('HISTÓRICO COBROS'!A:A)),6,FALSE)),"")</f>
        <v/>
      </c>
      <c r="H265" s="138" t="str">
        <f t="shared" ref="H265:I265" si="266">IF(D265="","",D265+F265)</f>
        <v/>
      </c>
      <c r="I265" s="135" t="str">
        <f t="shared" si="266"/>
        <v/>
      </c>
      <c r="J265" s="140" t="str">
        <f t="shared" si="3"/>
        <v/>
      </c>
      <c r="K265" s="140" t="str">
        <f t="shared" si="4"/>
        <v/>
      </c>
    </row>
    <row r="266" ht="22.5" customHeight="1">
      <c r="A266" s="140"/>
      <c r="B266" s="135" t="str">
        <f t="array" ref="B266">IF(A266="","",VLOOKUP(A266,INDIRECT("CXC!A2:B"&amp;COUNTA(CXC!A:A)),2,FALSE))</f>
        <v/>
      </c>
      <c r="C266" s="136" t="str">
        <f t="array" ref="C266">IF(A266="","",VLOOKUP(A266,INDIRECT("CXC!A2:C"&amp;COUNTA(CXC!A:A)),3,FALSE))</f>
        <v/>
      </c>
      <c r="D266" s="137" t="str">
        <f t="array" ref="D266">IF(A266="","",VLOOKUP(A266,INDIRECT("CXC!A2:H"&amp;COUNTA(CXC!A:A)),8,FALSE))</f>
        <v/>
      </c>
      <c r="E266" s="137" t="str">
        <f t="array" ref="E266">IFERROR(IF(A266="","",VLOOKUP(A266,INDIRECT("HISTÓRICO COBROS!A3:E"&amp;COUNTA('HISTÓRICO COBROS'!A:A)),5,FALSE)),"")</f>
        <v/>
      </c>
      <c r="F266" s="137" t="str">
        <f t="array" ref="F266">IF(A266="","",VLOOKUP(A266,INDIRECT("CXC!A2:I"&amp;COUNTA(CXC!A:A)),9,FALSE))</f>
        <v/>
      </c>
      <c r="G266" s="137" t="str">
        <f t="array" ref="G266">IFERROR(IF(A266="","",VLOOKUP(A266,INDIRECT("HISTÓRICO COBROS!A3:F"&amp;COUNTA('HISTÓRICO COBROS'!A:A)),6,FALSE)),"")</f>
        <v/>
      </c>
      <c r="H266" s="138" t="str">
        <f t="shared" ref="H266:I266" si="267">IF(D266="","",D266+F266)</f>
        <v/>
      </c>
      <c r="I266" s="135" t="str">
        <f t="shared" si="267"/>
        <v/>
      </c>
      <c r="J266" s="140" t="str">
        <f t="shared" si="3"/>
        <v/>
      </c>
      <c r="K266" s="140" t="str">
        <f t="shared" si="4"/>
        <v/>
      </c>
    </row>
    <row r="267" ht="22.5" customHeight="1">
      <c r="A267" s="140"/>
      <c r="B267" s="135" t="str">
        <f t="array" ref="B267">IF(A267="","",VLOOKUP(A267,INDIRECT("CXC!A2:B"&amp;COUNTA(CXC!A:A)),2,FALSE))</f>
        <v/>
      </c>
      <c r="C267" s="136" t="str">
        <f t="array" ref="C267">IF(A267="","",VLOOKUP(A267,INDIRECT("CXC!A2:C"&amp;COUNTA(CXC!A:A)),3,FALSE))</f>
        <v/>
      </c>
      <c r="D267" s="137" t="str">
        <f t="array" ref="D267">IF(A267="","",VLOOKUP(A267,INDIRECT("CXC!A2:H"&amp;COUNTA(CXC!A:A)),8,FALSE))</f>
        <v/>
      </c>
      <c r="E267" s="137" t="str">
        <f t="array" ref="E267">IFERROR(IF(A267="","",VLOOKUP(A267,INDIRECT("HISTÓRICO COBROS!A3:E"&amp;COUNTA('HISTÓRICO COBROS'!A:A)),5,FALSE)),"")</f>
        <v/>
      </c>
      <c r="F267" s="137" t="str">
        <f t="array" ref="F267">IF(A267="","",VLOOKUP(A267,INDIRECT("CXC!A2:I"&amp;COUNTA(CXC!A:A)),9,FALSE))</f>
        <v/>
      </c>
      <c r="G267" s="137" t="str">
        <f t="array" ref="G267">IFERROR(IF(A267="","",VLOOKUP(A267,INDIRECT("HISTÓRICO COBROS!A3:F"&amp;COUNTA('HISTÓRICO COBROS'!A:A)),6,FALSE)),"")</f>
        <v/>
      </c>
      <c r="H267" s="138" t="str">
        <f t="shared" ref="H267:I267" si="268">IF(D267="","",D267+F267)</f>
        <v/>
      </c>
      <c r="I267" s="135" t="str">
        <f t="shared" si="268"/>
        <v/>
      </c>
      <c r="J267" s="140" t="str">
        <f t="shared" si="3"/>
        <v/>
      </c>
      <c r="K267" s="140" t="str">
        <f t="shared" si="4"/>
        <v/>
      </c>
    </row>
    <row r="268" ht="22.5" customHeight="1">
      <c r="A268" s="140"/>
      <c r="B268" s="135" t="str">
        <f t="array" ref="B268">IF(A268="","",VLOOKUP(A268,INDIRECT("CXC!A2:B"&amp;COUNTA(CXC!A:A)),2,FALSE))</f>
        <v/>
      </c>
      <c r="C268" s="136" t="str">
        <f t="array" ref="C268">IF(A268="","",VLOOKUP(A268,INDIRECT("CXC!A2:C"&amp;COUNTA(CXC!A:A)),3,FALSE))</f>
        <v/>
      </c>
      <c r="D268" s="137" t="str">
        <f t="array" ref="D268">IF(A268="","",VLOOKUP(A268,INDIRECT("CXC!A2:H"&amp;COUNTA(CXC!A:A)),8,FALSE))</f>
        <v/>
      </c>
      <c r="E268" s="137" t="str">
        <f t="array" ref="E268">IFERROR(IF(A268="","",VLOOKUP(A268,INDIRECT("HISTÓRICO COBROS!A3:E"&amp;COUNTA('HISTÓRICO COBROS'!A:A)),5,FALSE)),"")</f>
        <v/>
      </c>
      <c r="F268" s="137" t="str">
        <f t="array" ref="F268">IF(A268="","",VLOOKUP(A268,INDIRECT("CXC!A2:I"&amp;COUNTA(CXC!A:A)),9,FALSE))</f>
        <v/>
      </c>
      <c r="G268" s="137" t="str">
        <f t="array" ref="G268">IFERROR(IF(A268="","",VLOOKUP(A268,INDIRECT("HISTÓRICO COBROS!A3:F"&amp;COUNTA('HISTÓRICO COBROS'!A:A)),6,FALSE)),"")</f>
        <v/>
      </c>
      <c r="H268" s="138" t="str">
        <f t="shared" ref="H268:I268" si="269">IF(D268="","",D268+F268)</f>
        <v/>
      </c>
      <c r="I268" s="135" t="str">
        <f t="shared" si="269"/>
        <v/>
      </c>
      <c r="J268" s="140" t="str">
        <f t="shared" si="3"/>
        <v/>
      </c>
      <c r="K268" s="140" t="str">
        <f t="shared" si="4"/>
        <v/>
      </c>
    </row>
    <row r="269" ht="22.5" customHeight="1">
      <c r="A269" s="140"/>
      <c r="B269" s="135" t="str">
        <f t="array" ref="B269">IF(A269="","",VLOOKUP(A269,INDIRECT("CXC!A2:B"&amp;COUNTA(CXC!A:A)),2,FALSE))</f>
        <v/>
      </c>
      <c r="C269" s="136" t="str">
        <f t="array" ref="C269">IF(A269="","",VLOOKUP(A269,INDIRECT("CXC!A2:C"&amp;COUNTA(CXC!A:A)),3,FALSE))</f>
        <v/>
      </c>
      <c r="D269" s="137" t="str">
        <f t="array" ref="D269">IF(A269="","",VLOOKUP(A269,INDIRECT("CXC!A2:H"&amp;COUNTA(CXC!A:A)),8,FALSE))</f>
        <v/>
      </c>
      <c r="E269" s="137" t="str">
        <f t="array" ref="E269">IFERROR(IF(A269="","",VLOOKUP(A269,INDIRECT("HISTÓRICO COBROS!A3:E"&amp;COUNTA('HISTÓRICO COBROS'!A:A)),5,FALSE)),"")</f>
        <v/>
      </c>
      <c r="F269" s="137" t="str">
        <f t="array" ref="F269">IF(A269="","",VLOOKUP(A269,INDIRECT("CXC!A2:I"&amp;COUNTA(CXC!A:A)),9,FALSE))</f>
        <v/>
      </c>
      <c r="G269" s="137" t="str">
        <f t="array" ref="G269">IFERROR(IF(A269="","",VLOOKUP(A269,INDIRECT("HISTÓRICO COBROS!A3:F"&amp;COUNTA('HISTÓRICO COBROS'!A:A)),6,FALSE)),"")</f>
        <v/>
      </c>
      <c r="H269" s="138" t="str">
        <f t="shared" ref="H269:I269" si="270">IF(D269="","",D269+F269)</f>
        <v/>
      </c>
      <c r="I269" s="135" t="str">
        <f t="shared" si="270"/>
        <v/>
      </c>
      <c r="J269" s="140" t="str">
        <f t="shared" si="3"/>
        <v/>
      </c>
      <c r="K269" s="140" t="str">
        <f t="shared" si="4"/>
        <v/>
      </c>
    </row>
    <row r="270" ht="22.5" customHeight="1">
      <c r="A270" s="140"/>
      <c r="B270" s="135" t="str">
        <f t="array" ref="B270">IF(A270="","",VLOOKUP(A270,INDIRECT("CXC!A2:B"&amp;COUNTA(CXC!A:A)),2,FALSE))</f>
        <v/>
      </c>
      <c r="C270" s="136" t="str">
        <f t="array" ref="C270">IF(A270="","",VLOOKUP(A270,INDIRECT("CXC!A2:C"&amp;COUNTA(CXC!A:A)),3,FALSE))</f>
        <v/>
      </c>
      <c r="D270" s="137" t="str">
        <f t="array" ref="D270">IF(A270="","",VLOOKUP(A270,INDIRECT("CXC!A2:H"&amp;COUNTA(CXC!A:A)),8,FALSE))</f>
        <v/>
      </c>
      <c r="E270" s="137" t="str">
        <f t="array" ref="E270">IFERROR(IF(A270="","",VLOOKUP(A270,INDIRECT("HISTÓRICO COBROS!A3:E"&amp;COUNTA('HISTÓRICO COBROS'!A:A)),5,FALSE)),"")</f>
        <v/>
      </c>
      <c r="F270" s="137" t="str">
        <f t="array" ref="F270">IF(A270="","",VLOOKUP(A270,INDIRECT("CXC!A2:I"&amp;COUNTA(CXC!A:A)),9,FALSE))</f>
        <v/>
      </c>
      <c r="G270" s="137" t="str">
        <f t="array" ref="G270">IFERROR(IF(A270="","",VLOOKUP(A270,INDIRECT("HISTÓRICO COBROS!A3:F"&amp;COUNTA('HISTÓRICO COBROS'!A:A)),6,FALSE)),"")</f>
        <v/>
      </c>
      <c r="H270" s="138" t="str">
        <f t="shared" ref="H270:I270" si="271">IF(D270="","",D270+F270)</f>
        <v/>
      </c>
      <c r="I270" s="135" t="str">
        <f t="shared" si="271"/>
        <v/>
      </c>
      <c r="J270" s="140" t="str">
        <f t="shared" si="3"/>
        <v/>
      </c>
      <c r="K270" s="140" t="str">
        <f t="shared" si="4"/>
        <v/>
      </c>
    </row>
    <row r="271" ht="22.5" customHeight="1">
      <c r="A271" s="140"/>
      <c r="B271" s="135" t="str">
        <f t="array" ref="B271">IF(A271="","",VLOOKUP(A271,INDIRECT("CXC!A2:B"&amp;COUNTA(CXC!A:A)),2,FALSE))</f>
        <v/>
      </c>
      <c r="C271" s="136" t="str">
        <f t="array" ref="C271">IF(A271="","",VLOOKUP(A271,INDIRECT("CXC!A2:C"&amp;COUNTA(CXC!A:A)),3,FALSE))</f>
        <v/>
      </c>
      <c r="D271" s="137" t="str">
        <f t="array" ref="D271">IF(A271="","",VLOOKUP(A271,INDIRECT("CXC!A2:H"&amp;COUNTA(CXC!A:A)),8,FALSE))</f>
        <v/>
      </c>
      <c r="E271" s="137" t="str">
        <f t="array" ref="E271">IFERROR(IF(A271="","",VLOOKUP(A271,INDIRECT("HISTÓRICO COBROS!A3:E"&amp;COUNTA('HISTÓRICO COBROS'!A:A)),5,FALSE)),"")</f>
        <v/>
      </c>
      <c r="F271" s="137" t="str">
        <f t="array" ref="F271">IF(A271="","",VLOOKUP(A271,INDIRECT("CXC!A2:I"&amp;COUNTA(CXC!A:A)),9,FALSE))</f>
        <v/>
      </c>
      <c r="G271" s="137" t="str">
        <f t="array" ref="G271">IFERROR(IF(A271="","",VLOOKUP(A271,INDIRECT("HISTÓRICO COBROS!A3:F"&amp;COUNTA('HISTÓRICO COBROS'!A:A)),6,FALSE)),"")</f>
        <v/>
      </c>
      <c r="H271" s="138" t="str">
        <f t="shared" ref="H271:I271" si="272">IF(D271="","",D271+F271)</f>
        <v/>
      </c>
      <c r="I271" s="135" t="str">
        <f t="shared" si="272"/>
        <v/>
      </c>
      <c r="J271" s="140" t="str">
        <f t="shared" si="3"/>
        <v/>
      </c>
      <c r="K271" s="140" t="str">
        <f t="shared" si="4"/>
        <v/>
      </c>
    </row>
    <row r="272" ht="22.5" customHeight="1">
      <c r="A272" s="140"/>
      <c r="B272" s="135" t="str">
        <f t="array" ref="B272">IF(A272="","",VLOOKUP(A272,INDIRECT("CXC!A2:B"&amp;COUNTA(CXC!A:A)),2,FALSE))</f>
        <v/>
      </c>
      <c r="C272" s="136" t="str">
        <f t="array" ref="C272">IF(A272="","",VLOOKUP(A272,INDIRECT("CXC!A2:C"&amp;COUNTA(CXC!A:A)),3,FALSE))</f>
        <v/>
      </c>
      <c r="D272" s="137" t="str">
        <f t="array" ref="D272">IF(A272="","",VLOOKUP(A272,INDIRECT("CXC!A2:H"&amp;COUNTA(CXC!A:A)),8,FALSE))</f>
        <v/>
      </c>
      <c r="E272" s="137" t="str">
        <f t="array" ref="E272">IFERROR(IF(A272="","",VLOOKUP(A272,INDIRECT("HISTÓRICO COBROS!A3:E"&amp;COUNTA('HISTÓRICO COBROS'!A:A)),5,FALSE)),"")</f>
        <v/>
      </c>
      <c r="F272" s="137" t="str">
        <f t="array" ref="F272">IF(A272="","",VLOOKUP(A272,INDIRECT("CXC!A2:I"&amp;COUNTA(CXC!A:A)),9,FALSE))</f>
        <v/>
      </c>
      <c r="G272" s="137" t="str">
        <f t="array" ref="G272">IFERROR(IF(A272="","",VLOOKUP(A272,INDIRECT("HISTÓRICO COBROS!A3:F"&amp;COUNTA('HISTÓRICO COBROS'!A:A)),6,FALSE)),"")</f>
        <v/>
      </c>
      <c r="H272" s="138" t="str">
        <f t="shared" ref="H272:I272" si="273">IF(D272="","",D272+F272)</f>
        <v/>
      </c>
      <c r="I272" s="135" t="str">
        <f t="shared" si="273"/>
        <v/>
      </c>
      <c r="J272" s="140" t="str">
        <f t="shared" si="3"/>
        <v/>
      </c>
      <c r="K272" s="140" t="str">
        <f t="shared" si="4"/>
        <v/>
      </c>
    </row>
    <row r="273" ht="22.5" customHeight="1">
      <c r="A273" s="140"/>
      <c r="B273" s="135" t="str">
        <f t="array" ref="B273">IF(A273="","",VLOOKUP(A273,INDIRECT("CXC!A2:B"&amp;COUNTA(CXC!A:A)),2,FALSE))</f>
        <v/>
      </c>
      <c r="C273" s="136" t="str">
        <f t="array" ref="C273">IF(A273="","",VLOOKUP(A273,INDIRECT("CXC!A2:C"&amp;COUNTA(CXC!A:A)),3,FALSE))</f>
        <v/>
      </c>
      <c r="D273" s="137" t="str">
        <f t="array" ref="D273">IF(A273="","",VLOOKUP(A273,INDIRECT("CXC!A2:H"&amp;COUNTA(CXC!A:A)),8,FALSE))</f>
        <v/>
      </c>
      <c r="E273" s="137" t="str">
        <f t="array" ref="E273">IFERROR(IF(A273="","",VLOOKUP(A273,INDIRECT("HISTÓRICO COBROS!A3:E"&amp;COUNTA('HISTÓRICO COBROS'!A:A)),5,FALSE)),"")</f>
        <v/>
      </c>
      <c r="F273" s="137" t="str">
        <f t="array" ref="F273">IF(A273="","",VLOOKUP(A273,INDIRECT("CXC!A2:I"&amp;COUNTA(CXC!A:A)),9,FALSE))</f>
        <v/>
      </c>
      <c r="G273" s="137" t="str">
        <f t="array" ref="G273">IFERROR(IF(A273="","",VLOOKUP(A273,INDIRECT("HISTÓRICO COBROS!A3:F"&amp;COUNTA('HISTÓRICO COBROS'!A:A)),6,FALSE)),"")</f>
        <v/>
      </c>
      <c r="H273" s="138" t="str">
        <f t="shared" ref="H273:I273" si="274">IF(D273="","",D273+F273)</f>
        <v/>
      </c>
      <c r="I273" s="135" t="str">
        <f t="shared" si="274"/>
        <v/>
      </c>
      <c r="J273" s="140" t="str">
        <f t="shared" si="3"/>
        <v/>
      </c>
      <c r="K273" s="140" t="str">
        <f t="shared" si="4"/>
        <v/>
      </c>
    </row>
    <row r="274" ht="22.5" customHeight="1">
      <c r="A274" s="140"/>
      <c r="B274" s="135" t="str">
        <f t="array" ref="B274">IF(A274="","",VLOOKUP(A274,INDIRECT("CXC!A2:B"&amp;COUNTA(CXC!A:A)),2,FALSE))</f>
        <v/>
      </c>
      <c r="C274" s="136" t="str">
        <f t="array" ref="C274">IF(A274="","",VLOOKUP(A274,INDIRECT("CXC!A2:C"&amp;COUNTA(CXC!A:A)),3,FALSE))</f>
        <v/>
      </c>
      <c r="D274" s="137" t="str">
        <f t="array" ref="D274">IF(A274="","",VLOOKUP(A274,INDIRECT("CXC!A2:H"&amp;COUNTA(CXC!A:A)),8,FALSE))</f>
        <v/>
      </c>
      <c r="E274" s="137" t="str">
        <f t="array" ref="E274">IFERROR(IF(A274="","",VLOOKUP(A274,INDIRECT("HISTÓRICO COBROS!A3:E"&amp;COUNTA('HISTÓRICO COBROS'!A:A)),5,FALSE)),"")</f>
        <v/>
      </c>
      <c r="F274" s="137" t="str">
        <f t="array" ref="F274">IF(A274="","",VLOOKUP(A274,INDIRECT("CXC!A2:I"&amp;COUNTA(CXC!A:A)),9,FALSE))</f>
        <v/>
      </c>
      <c r="G274" s="137" t="str">
        <f t="array" ref="G274">IFERROR(IF(A274="","",VLOOKUP(A274,INDIRECT("HISTÓRICO COBROS!A3:F"&amp;COUNTA('HISTÓRICO COBROS'!A:A)),6,FALSE)),"")</f>
        <v/>
      </c>
      <c r="H274" s="138" t="str">
        <f t="shared" ref="H274:I274" si="275">IF(D274="","",D274+F274)</f>
        <v/>
      </c>
      <c r="I274" s="135" t="str">
        <f t="shared" si="275"/>
        <v/>
      </c>
      <c r="J274" s="140" t="str">
        <f t="shared" si="3"/>
        <v/>
      </c>
      <c r="K274" s="140" t="str">
        <f t="shared" si="4"/>
        <v/>
      </c>
    </row>
    <row r="275" ht="22.5" customHeight="1">
      <c r="A275" s="140"/>
      <c r="B275" s="135" t="str">
        <f t="array" ref="B275">IF(A275="","",VLOOKUP(A275,INDIRECT("CXC!A2:B"&amp;COUNTA(CXC!A:A)),2,FALSE))</f>
        <v/>
      </c>
      <c r="C275" s="136" t="str">
        <f t="array" ref="C275">IF(A275="","",VLOOKUP(A275,INDIRECT("CXC!A2:C"&amp;COUNTA(CXC!A:A)),3,FALSE))</f>
        <v/>
      </c>
      <c r="D275" s="137" t="str">
        <f t="array" ref="D275">IF(A275="","",VLOOKUP(A275,INDIRECT("CXC!A2:H"&amp;COUNTA(CXC!A:A)),8,FALSE))</f>
        <v/>
      </c>
      <c r="E275" s="137" t="str">
        <f t="array" ref="E275">IFERROR(IF(A275="","",VLOOKUP(A275,INDIRECT("HISTÓRICO COBROS!A3:E"&amp;COUNTA('HISTÓRICO COBROS'!A:A)),5,FALSE)),"")</f>
        <v/>
      </c>
      <c r="F275" s="137" t="str">
        <f t="array" ref="F275">IF(A275="","",VLOOKUP(A275,INDIRECT("CXC!A2:I"&amp;COUNTA(CXC!A:A)),9,FALSE))</f>
        <v/>
      </c>
      <c r="G275" s="137" t="str">
        <f t="array" ref="G275">IFERROR(IF(A275="","",VLOOKUP(A275,INDIRECT("HISTÓRICO COBROS!A3:F"&amp;COUNTA('HISTÓRICO COBROS'!A:A)),6,FALSE)),"")</f>
        <v/>
      </c>
      <c r="H275" s="138" t="str">
        <f t="shared" ref="H275:I275" si="276">IF(D275="","",D275+F275)</f>
        <v/>
      </c>
      <c r="I275" s="135" t="str">
        <f t="shared" si="276"/>
        <v/>
      </c>
      <c r="J275" s="140" t="str">
        <f t="shared" si="3"/>
        <v/>
      </c>
      <c r="K275" s="140" t="str">
        <f t="shared" si="4"/>
        <v/>
      </c>
    </row>
    <row r="276" ht="22.5" customHeight="1">
      <c r="A276" s="140"/>
      <c r="B276" s="135" t="str">
        <f t="array" ref="B276">IF(A276="","",VLOOKUP(A276,INDIRECT("CXC!A2:B"&amp;COUNTA(CXC!A:A)),2,FALSE))</f>
        <v/>
      </c>
      <c r="C276" s="136" t="str">
        <f t="array" ref="C276">IF(A276="","",VLOOKUP(A276,INDIRECT("CXC!A2:C"&amp;COUNTA(CXC!A:A)),3,FALSE))</f>
        <v/>
      </c>
      <c r="D276" s="137" t="str">
        <f t="array" ref="D276">IF(A276="","",VLOOKUP(A276,INDIRECT("CXC!A2:H"&amp;COUNTA(CXC!A:A)),8,FALSE))</f>
        <v/>
      </c>
      <c r="E276" s="137" t="str">
        <f t="array" ref="E276">IFERROR(IF(A276="","",VLOOKUP(A276,INDIRECT("HISTÓRICO COBROS!A3:E"&amp;COUNTA('HISTÓRICO COBROS'!A:A)),5,FALSE)),"")</f>
        <v/>
      </c>
      <c r="F276" s="137" t="str">
        <f t="array" ref="F276">IF(A276="","",VLOOKUP(A276,INDIRECT("CXC!A2:I"&amp;COUNTA(CXC!A:A)),9,FALSE))</f>
        <v/>
      </c>
      <c r="G276" s="137" t="str">
        <f t="array" ref="G276">IFERROR(IF(A276="","",VLOOKUP(A276,INDIRECT("HISTÓRICO COBROS!A3:F"&amp;COUNTA('HISTÓRICO COBROS'!A:A)),6,FALSE)),"")</f>
        <v/>
      </c>
      <c r="H276" s="138" t="str">
        <f t="shared" ref="H276:I276" si="277">IF(D276="","",D276+F276)</f>
        <v/>
      </c>
      <c r="I276" s="135" t="str">
        <f t="shared" si="277"/>
        <v/>
      </c>
      <c r="J276" s="140" t="str">
        <f t="shared" si="3"/>
        <v/>
      </c>
      <c r="K276" s="140" t="str">
        <f t="shared" si="4"/>
        <v/>
      </c>
    </row>
    <row r="277" ht="22.5" customHeight="1">
      <c r="A277" s="140"/>
      <c r="B277" s="135" t="str">
        <f t="array" ref="B277">IF(A277="","",VLOOKUP(A277,INDIRECT("CXC!A2:B"&amp;COUNTA(CXC!A:A)),2,FALSE))</f>
        <v/>
      </c>
      <c r="C277" s="136" t="str">
        <f t="array" ref="C277">IF(A277="","",VLOOKUP(A277,INDIRECT("CXC!A2:C"&amp;COUNTA(CXC!A:A)),3,FALSE))</f>
        <v/>
      </c>
      <c r="D277" s="137" t="str">
        <f t="array" ref="D277">IF(A277="","",VLOOKUP(A277,INDIRECT("CXC!A2:H"&amp;COUNTA(CXC!A:A)),8,FALSE))</f>
        <v/>
      </c>
      <c r="E277" s="137" t="str">
        <f t="array" ref="E277">IFERROR(IF(A277="","",VLOOKUP(A277,INDIRECT("HISTÓRICO COBROS!A3:E"&amp;COUNTA('HISTÓRICO COBROS'!A:A)),5,FALSE)),"")</f>
        <v/>
      </c>
      <c r="F277" s="137" t="str">
        <f t="array" ref="F277">IF(A277="","",VLOOKUP(A277,INDIRECT("CXC!A2:I"&amp;COUNTA(CXC!A:A)),9,FALSE))</f>
        <v/>
      </c>
      <c r="G277" s="137" t="str">
        <f t="array" ref="G277">IFERROR(IF(A277="","",VLOOKUP(A277,INDIRECT("HISTÓRICO COBROS!A3:F"&amp;COUNTA('HISTÓRICO COBROS'!A:A)),6,FALSE)),"")</f>
        <v/>
      </c>
      <c r="H277" s="138" t="str">
        <f t="shared" ref="H277:I277" si="278">IF(D277="","",D277+F277)</f>
        <v/>
      </c>
      <c r="I277" s="135" t="str">
        <f t="shared" si="278"/>
        <v/>
      </c>
      <c r="J277" s="140" t="str">
        <f t="shared" si="3"/>
        <v/>
      </c>
      <c r="K277" s="140" t="str">
        <f t="shared" si="4"/>
        <v/>
      </c>
    </row>
    <row r="278" ht="22.5" customHeight="1">
      <c r="A278" s="140"/>
      <c r="B278" s="135" t="str">
        <f t="array" ref="B278">IF(A278="","",VLOOKUP(A278,INDIRECT("CXC!A2:B"&amp;COUNTA(CXC!A:A)),2,FALSE))</f>
        <v/>
      </c>
      <c r="C278" s="136" t="str">
        <f t="array" ref="C278">IF(A278="","",VLOOKUP(A278,INDIRECT("CXC!A2:C"&amp;COUNTA(CXC!A:A)),3,FALSE))</f>
        <v/>
      </c>
      <c r="D278" s="137" t="str">
        <f t="array" ref="D278">IF(A278="","",VLOOKUP(A278,INDIRECT("CXC!A2:H"&amp;COUNTA(CXC!A:A)),8,FALSE))</f>
        <v/>
      </c>
      <c r="E278" s="137" t="str">
        <f t="array" ref="E278">IFERROR(IF(A278="","",VLOOKUP(A278,INDIRECT("HISTÓRICO COBROS!A3:E"&amp;COUNTA('HISTÓRICO COBROS'!A:A)),5,FALSE)),"")</f>
        <v/>
      </c>
      <c r="F278" s="137" t="str">
        <f t="array" ref="F278">IF(A278="","",VLOOKUP(A278,INDIRECT("CXC!A2:I"&amp;COUNTA(CXC!A:A)),9,FALSE))</f>
        <v/>
      </c>
      <c r="G278" s="137" t="str">
        <f t="array" ref="G278">IFERROR(IF(A278="","",VLOOKUP(A278,INDIRECT("HISTÓRICO COBROS!A3:F"&amp;COUNTA('HISTÓRICO COBROS'!A:A)),6,FALSE)),"")</f>
        <v/>
      </c>
      <c r="H278" s="138" t="str">
        <f t="shared" ref="H278:I278" si="279">IF(D278="","",D278+F278)</f>
        <v/>
      </c>
      <c r="I278" s="135" t="str">
        <f t="shared" si="279"/>
        <v/>
      </c>
      <c r="J278" s="140" t="str">
        <f t="shared" si="3"/>
        <v/>
      </c>
      <c r="K278" s="140" t="str">
        <f t="shared" si="4"/>
        <v/>
      </c>
    </row>
    <row r="279" ht="22.5" customHeight="1">
      <c r="A279" s="140"/>
      <c r="B279" s="135" t="str">
        <f t="array" ref="B279">IF(A279="","",VLOOKUP(A279,INDIRECT("CXC!A2:B"&amp;COUNTA(CXC!A:A)),2,FALSE))</f>
        <v/>
      </c>
      <c r="C279" s="136" t="str">
        <f t="array" ref="C279">IF(A279="","",VLOOKUP(A279,INDIRECT("CXC!A2:C"&amp;COUNTA(CXC!A:A)),3,FALSE))</f>
        <v/>
      </c>
      <c r="D279" s="137" t="str">
        <f t="array" ref="D279">IF(A279="","",VLOOKUP(A279,INDIRECT("CXC!A2:H"&amp;COUNTA(CXC!A:A)),8,FALSE))</f>
        <v/>
      </c>
      <c r="E279" s="137" t="str">
        <f t="array" ref="E279">IFERROR(IF(A279="","",VLOOKUP(A279,INDIRECT("HISTÓRICO COBROS!A3:E"&amp;COUNTA('HISTÓRICO COBROS'!A:A)),5,FALSE)),"")</f>
        <v/>
      </c>
      <c r="F279" s="137" t="str">
        <f t="array" ref="F279">IF(A279="","",VLOOKUP(A279,INDIRECT("CXC!A2:I"&amp;COUNTA(CXC!A:A)),9,FALSE))</f>
        <v/>
      </c>
      <c r="G279" s="137" t="str">
        <f t="array" ref="G279">IFERROR(IF(A279="","",VLOOKUP(A279,INDIRECT("HISTÓRICO COBROS!A3:F"&amp;COUNTA('HISTÓRICO COBROS'!A:A)),6,FALSE)),"")</f>
        <v/>
      </c>
      <c r="H279" s="138" t="str">
        <f t="shared" ref="H279:I279" si="280">IF(D279="","",D279+F279)</f>
        <v/>
      </c>
      <c r="I279" s="135" t="str">
        <f t="shared" si="280"/>
        <v/>
      </c>
      <c r="J279" s="140" t="str">
        <f t="shared" si="3"/>
        <v/>
      </c>
      <c r="K279" s="140" t="str">
        <f t="shared" si="4"/>
        <v/>
      </c>
    </row>
    <row r="280" ht="22.5" customHeight="1">
      <c r="A280" s="140"/>
      <c r="B280" s="135" t="str">
        <f t="array" ref="B280">IF(A280="","",VLOOKUP(A280,INDIRECT("CXC!A2:B"&amp;COUNTA(CXC!A:A)),2,FALSE))</f>
        <v/>
      </c>
      <c r="C280" s="136" t="str">
        <f t="array" ref="C280">IF(A280="","",VLOOKUP(A280,INDIRECT("CXC!A2:C"&amp;COUNTA(CXC!A:A)),3,FALSE))</f>
        <v/>
      </c>
      <c r="D280" s="137" t="str">
        <f t="array" ref="D280">IF(A280="","",VLOOKUP(A280,INDIRECT("CXC!A2:H"&amp;COUNTA(CXC!A:A)),8,FALSE))</f>
        <v/>
      </c>
      <c r="E280" s="137" t="str">
        <f t="array" ref="E280">IFERROR(IF(A280="","",VLOOKUP(A280,INDIRECT("HISTÓRICO COBROS!A3:E"&amp;COUNTA('HISTÓRICO COBROS'!A:A)),5,FALSE)),"")</f>
        <v/>
      </c>
      <c r="F280" s="137" t="str">
        <f t="array" ref="F280">IF(A280="","",VLOOKUP(A280,INDIRECT("CXC!A2:I"&amp;COUNTA(CXC!A:A)),9,FALSE))</f>
        <v/>
      </c>
      <c r="G280" s="137" t="str">
        <f t="array" ref="G280">IFERROR(IF(A280="","",VLOOKUP(A280,INDIRECT("HISTÓRICO COBROS!A3:F"&amp;COUNTA('HISTÓRICO COBROS'!A:A)),6,FALSE)),"")</f>
        <v/>
      </c>
      <c r="H280" s="138" t="str">
        <f t="shared" ref="H280:I280" si="281">IF(D280="","",D280+F280)</f>
        <v/>
      </c>
      <c r="I280" s="135" t="str">
        <f t="shared" si="281"/>
        <v/>
      </c>
      <c r="J280" s="140" t="str">
        <f t="shared" si="3"/>
        <v/>
      </c>
      <c r="K280" s="140" t="str">
        <f t="shared" si="4"/>
        <v/>
      </c>
    </row>
    <row r="281" ht="22.5" customHeight="1">
      <c r="A281" s="140"/>
      <c r="B281" s="135" t="str">
        <f t="array" ref="B281">IF(A281="","",VLOOKUP(A281,INDIRECT("CXC!A2:B"&amp;COUNTA(CXC!A:A)),2,FALSE))</f>
        <v/>
      </c>
      <c r="C281" s="136" t="str">
        <f t="array" ref="C281">IF(A281="","",VLOOKUP(A281,INDIRECT("CXC!A2:C"&amp;COUNTA(CXC!A:A)),3,FALSE))</f>
        <v/>
      </c>
      <c r="D281" s="137" t="str">
        <f t="array" ref="D281">IF(A281="","",VLOOKUP(A281,INDIRECT("CXC!A2:H"&amp;COUNTA(CXC!A:A)),8,FALSE))</f>
        <v/>
      </c>
      <c r="E281" s="137" t="str">
        <f t="array" ref="E281">IFERROR(IF(A281="","",VLOOKUP(A281,INDIRECT("HISTÓRICO COBROS!A3:E"&amp;COUNTA('HISTÓRICO COBROS'!A:A)),5,FALSE)),"")</f>
        <v/>
      </c>
      <c r="F281" s="137" t="str">
        <f t="array" ref="F281">IF(A281="","",VLOOKUP(A281,INDIRECT("CXC!A2:I"&amp;COUNTA(CXC!A:A)),9,FALSE))</f>
        <v/>
      </c>
      <c r="G281" s="137" t="str">
        <f t="array" ref="G281">IFERROR(IF(A281="","",VLOOKUP(A281,INDIRECT("HISTÓRICO COBROS!A3:F"&amp;COUNTA('HISTÓRICO COBROS'!A:A)),6,FALSE)),"")</f>
        <v/>
      </c>
      <c r="H281" s="138" t="str">
        <f t="shared" ref="H281:I281" si="282">IF(D281="","",D281+F281)</f>
        <v/>
      </c>
      <c r="I281" s="135" t="str">
        <f t="shared" si="282"/>
        <v/>
      </c>
      <c r="J281" s="140" t="str">
        <f t="shared" si="3"/>
        <v/>
      </c>
      <c r="K281" s="140" t="str">
        <f t="shared" si="4"/>
        <v/>
      </c>
    </row>
    <row r="282" ht="22.5" customHeight="1">
      <c r="A282" s="140"/>
      <c r="B282" s="135" t="str">
        <f t="array" ref="B282">IF(A282="","",VLOOKUP(A282,INDIRECT("CXC!A2:B"&amp;COUNTA(CXC!A:A)),2,FALSE))</f>
        <v/>
      </c>
      <c r="C282" s="136" t="str">
        <f t="array" ref="C282">IF(A282="","",VLOOKUP(A282,INDIRECT("CXC!A2:C"&amp;COUNTA(CXC!A:A)),3,FALSE))</f>
        <v/>
      </c>
      <c r="D282" s="137" t="str">
        <f t="array" ref="D282">IF(A282="","",VLOOKUP(A282,INDIRECT("CXC!A2:H"&amp;COUNTA(CXC!A:A)),8,FALSE))</f>
        <v/>
      </c>
      <c r="E282" s="137" t="str">
        <f t="array" ref="E282">IFERROR(IF(A282="","",VLOOKUP(A282,INDIRECT("HISTÓRICO COBROS!A3:E"&amp;COUNTA('HISTÓRICO COBROS'!A:A)),5,FALSE)),"")</f>
        <v/>
      </c>
      <c r="F282" s="137" t="str">
        <f t="array" ref="F282">IF(A282="","",VLOOKUP(A282,INDIRECT("CXC!A2:I"&amp;COUNTA(CXC!A:A)),9,FALSE))</f>
        <v/>
      </c>
      <c r="G282" s="137" t="str">
        <f t="array" ref="G282">IFERROR(IF(A282="","",VLOOKUP(A282,INDIRECT("HISTÓRICO COBROS!A3:F"&amp;COUNTA('HISTÓRICO COBROS'!A:A)),6,FALSE)),"")</f>
        <v/>
      </c>
      <c r="H282" s="138" t="str">
        <f t="shared" ref="H282:I282" si="283">IF(D282="","",D282+F282)</f>
        <v/>
      </c>
      <c r="I282" s="135" t="str">
        <f t="shared" si="283"/>
        <v/>
      </c>
      <c r="J282" s="140" t="str">
        <f t="shared" si="3"/>
        <v/>
      </c>
      <c r="K282" s="140" t="str">
        <f t="shared" si="4"/>
        <v/>
      </c>
    </row>
    <row r="283" ht="22.5" customHeight="1">
      <c r="A283" s="140"/>
      <c r="B283" s="135" t="str">
        <f t="array" ref="B283">IF(A283="","",VLOOKUP(A283,INDIRECT("CXC!A2:B"&amp;COUNTA(CXC!A:A)),2,FALSE))</f>
        <v/>
      </c>
      <c r="C283" s="136" t="str">
        <f t="array" ref="C283">IF(A283="","",VLOOKUP(A283,INDIRECT("CXC!A2:C"&amp;COUNTA(CXC!A:A)),3,FALSE))</f>
        <v/>
      </c>
      <c r="D283" s="137" t="str">
        <f t="array" ref="D283">IF(A283="","",VLOOKUP(A283,INDIRECT("CXC!A2:H"&amp;COUNTA(CXC!A:A)),8,FALSE))</f>
        <v/>
      </c>
      <c r="E283" s="137" t="str">
        <f t="array" ref="E283">IFERROR(IF(A283="","",VLOOKUP(A283,INDIRECT("HISTÓRICO COBROS!A3:E"&amp;COUNTA('HISTÓRICO COBROS'!A:A)),5,FALSE)),"")</f>
        <v/>
      </c>
      <c r="F283" s="137" t="str">
        <f t="array" ref="F283">IF(A283="","",VLOOKUP(A283,INDIRECT("CXC!A2:I"&amp;COUNTA(CXC!A:A)),9,FALSE))</f>
        <v/>
      </c>
      <c r="G283" s="137" t="str">
        <f t="array" ref="G283">IFERROR(IF(A283="","",VLOOKUP(A283,INDIRECT("HISTÓRICO COBROS!A3:F"&amp;COUNTA('HISTÓRICO COBROS'!A:A)),6,FALSE)),"")</f>
        <v/>
      </c>
      <c r="H283" s="138" t="str">
        <f t="shared" ref="H283:I283" si="284">IF(D283="","",D283+F283)</f>
        <v/>
      </c>
      <c r="I283" s="135" t="str">
        <f t="shared" si="284"/>
        <v/>
      </c>
      <c r="J283" s="140" t="str">
        <f t="shared" si="3"/>
        <v/>
      </c>
      <c r="K283" s="140" t="str">
        <f t="shared" si="4"/>
        <v/>
      </c>
    </row>
    <row r="284" ht="22.5" customHeight="1">
      <c r="A284" s="140"/>
      <c r="B284" s="135" t="str">
        <f t="array" ref="B284">IF(A284="","",VLOOKUP(A284,INDIRECT("CXC!A2:B"&amp;COUNTA(CXC!A:A)),2,FALSE))</f>
        <v/>
      </c>
      <c r="C284" s="136" t="str">
        <f t="array" ref="C284">IF(A284="","",VLOOKUP(A284,INDIRECT("CXC!A2:C"&amp;COUNTA(CXC!A:A)),3,FALSE))</f>
        <v/>
      </c>
      <c r="D284" s="137" t="str">
        <f t="array" ref="D284">IF(A284="","",VLOOKUP(A284,INDIRECT("CXC!A2:H"&amp;COUNTA(CXC!A:A)),8,FALSE))</f>
        <v/>
      </c>
      <c r="E284" s="137" t="str">
        <f t="array" ref="E284">IFERROR(IF(A284="","",VLOOKUP(A284,INDIRECT("HISTÓRICO COBROS!A3:E"&amp;COUNTA('HISTÓRICO COBROS'!A:A)),5,FALSE)),"")</f>
        <v/>
      </c>
      <c r="F284" s="137" t="str">
        <f t="array" ref="F284">IF(A284="","",VLOOKUP(A284,INDIRECT("CXC!A2:I"&amp;COUNTA(CXC!A:A)),9,FALSE))</f>
        <v/>
      </c>
      <c r="G284" s="137" t="str">
        <f t="array" ref="G284">IFERROR(IF(A284="","",VLOOKUP(A284,INDIRECT("HISTÓRICO COBROS!A3:F"&amp;COUNTA('HISTÓRICO COBROS'!A:A)),6,FALSE)),"")</f>
        <v/>
      </c>
      <c r="H284" s="138" t="str">
        <f t="shared" ref="H284:I284" si="285">IF(D284="","",D284+F284)</f>
        <v/>
      </c>
      <c r="I284" s="135" t="str">
        <f t="shared" si="285"/>
        <v/>
      </c>
      <c r="J284" s="140" t="str">
        <f t="shared" si="3"/>
        <v/>
      </c>
      <c r="K284" s="140" t="str">
        <f t="shared" si="4"/>
        <v/>
      </c>
    </row>
    <row r="285" ht="22.5" customHeight="1">
      <c r="A285" s="140"/>
      <c r="B285" s="135" t="str">
        <f t="array" ref="B285">IF(A285="","",VLOOKUP(A285,INDIRECT("CXC!A2:B"&amp;COUNTA(CXC!A:A)),2,FALSE))</f>
        <v/>
      </c>
      <c r="C285" s="136" t="str">
        <f t="array" ref="C285">IF(A285="","",VLOOKUP(A285,INDIRECT("CXC!A2:C"&amp;COUNTA(CXC!A:A)),3,FALSE))</f>
        <v/>
      </c>
      <c r="D285" s="137" t="str">
        <f t="array" ref="D285">IF(A285="","",VLOOKUP(A285,INDIRECT("CXC!A2:H"&amp;COUNTA(CXC!A:A)),8,FALSE))</f>
        <v/>
      </c>
      <c r="E285" s="137" t="str">
        <f t="array" ref="E285">IFERROR(IF(A285="","",VLOOKUP(A285,INDIRECT("HISTÓRICO COBROS!A3:E"&amp;COUNTA('HISTÓRICO COBROS'!A:A)),5,FALSE)),"")</f>
        <v/>
      </c>
      <c r="F285" s="137" t="str">
        <f t="array" ref="F285">IF(A285="","",VLOOKUP(A285,INDIRECT("CXC!A2:I"&amp;COUNTA(CXC!A:A)),9,FALSE))</f>
        <v/>
      </c>
      <c r="G285" s="137" t="str">
        <f t="array" ref="G285">IFERROR(IF(A285="","",VLOOKUP(A285,INDIRECT("HISTÓRICO COBROS!A3:F"&amp;COUNTA('HISTÓRICO COBROS'!A:A)),6,FALSE)),"")</f>
        <v/>
      </c>
      <c r="H285" s="138" t="str">
        <f t="shared" ref="H285:I285" si="286">IF(D285="","",D285+F285)</f>
        <v/>
      </c>
      <c r="I285" s="135" t="str">
        <f t="shared" si="286"/>
        <v/>
      </c>
      <c r="J285" s="140" t="str">
        <f t="shared" si="3"/>
        <v/>
      </c>
      <c r="K285" s="140" t="str">
        <f t="shared" si="4"/>
        <v/>
      </c>
    </row>
    <row r="286" ht="22.5" customHeight="1">
      <c r="A286" s="140"/>
      <c r="B286" s="135" t="str">
        <f t="array" ref="B286">IF(A286="","",VLOOKUP(A286,INDIRECT("CXC!A2:B"&amp;COUNTA(CXC!A:A)),2,FALSE))</f>
        <v/>
      </c>
      <c r="C286" s="136" t="str">
        <f t="array" ref="C286">IF(A286="","",VLOOKUP(A286,INDIRECT("CXC!A2:C"&amp;COUNTA(CXC!A:A)),3,FALSE))</f>
        <v/>
      </c>
      <c r="D286" s="137" t="str">
        <f t="array" ref="D286">IF(A286="","",VLOOKUP(A286,INDIRECT("CXC!A2:H"&amp;COUNTA(CXC!A:A)),8,FALSE))</f>
        <v/>
      </c>
      <c r="E286" s="137" t="str">
        <f t="array" ref="E286">IFERROR(IF(A286="","",VLOOKUP(A286,INDIRECT("HISTÓRICO COBROS!A3:E"&amp;COUNTA('HISTÓRICO COBROS'!A:A)),5,FALSE)),"")</f>
        <v/>
      </c>
      <c r="F286" s="137" t="str">
        <f t="array" ref="F286">IF(A286="","",VLOOKUP(A286,INDIRECT("CXC!A2:I"&amp;COUNTA(CXC!A:A)),9,FALSE))</f>
        <v/>
      </c>
      <c r="G286" s="137" t="str">
        <f t="array" ref="G286">IFERROR(IF(A286="","",VLOOKUP(A286,INDIRECT("HISTÓRICO COBROS!A3:F"&amp;COUNTA('HISTÓRICO COBROS'!A:A)),6,FALSE)),"")</f>
        <v/>
      </c>
      <c r="H286" s="138" t="str">
        <f t="shared" ref="H286:I286" si="287">IF(D286="","",D286+F286)</f>
        <v/>
      </c>
      <c r="I286" s="135" t="str">
        <f t="shared" si="287"/>
        <v/>
      </c>
      <c r="J286" s="140" t="str">
        <f t="shared" si="3"/>
        <v/>
      </c>
      <c r="K286" s="140" t="str">
        <f t="shared" si="4"/>
        <v/>
      </c>
    </row>
    <row r="287" ht="22.5" customHeight="1">
      <c r="A287" s="140"/>
      <c r="B287" s="135" t="str">
        <f t="array" ref="B287">IF(A287="","",VLOOKUP(A287,INDIRECT("CXC!A2:B"&amp;COUNTA(CXC!A:A)),2,FALSE))</f>
        <v/>
      </c>
      <c r="C287" s="136" t="str">
        <f t="array" ref="C287">IF(A287="","",VLOOKUP(A287,INDIRECT("CXC!A2:C"&amp;COUNTA(CXC!A:A)),3,FALSE))</f>
        <v/>
      </c>
      <c r="D287" s="137" t="str">
        <f t="array" ref="D287">IF(A287="","",VLOOKUP(A287,INDIRECT("CXC!A2:H"&amp;COUNTA(CXC!A:A)),8,FALSE))</f>
        <v/>
      </c>
      <c r="E287" s="137" t="str">
        <f t="array" ref="E287">IFERROR(IF(A287="","",VLOOKUP(A287,INDIRECT("HISTÓRICO COBROS!A3:E"&amp;COUNTA('HISTÓRICO COBROS'!A:A)),5,FALSE)),"")</f>
        <v/>
      </c>
      <c r="F287" s="137" t="str">
        <f t="array" ref="F287">IF(A287="","",VLOOKUP(A287,INDIRECT("CXC!A2:I"&amp;COUNTA(CXC!A:A)),9,FALSE))</f>
        <v/>
      </c>
      <c r="G287" s="137" t="str">
        <f t="array" ref="G287">IFERROR(IF(A287="","",VLOOKUP(A287,INDIRECT("HISTÓRICO COBROS!A3:F"&amp;COUNTA('HISTÓRICO COBROS'!A:A)),6,FALSE)),"")</f>
        <v/>
      </c>
      <c r="H287" s="138" t="str">
        <f t="shared" ref="H287:I287" si="288">IF(D287="","",D287+F287)</f>
        <v/>
      </c>
      <c r="I287" s="135" t="str">
        <f t="shared" si="288"/>
        <v/>
      </c>
      <c r="J287" s="140" t="str">
        <f t="shared" si="3"/>
        <v/>
      </c>
      <c r="K287" s="140" t="str">
        <f t="shared" si="4"/>
        <v/>
      </c>
    </row>
    <row r="288" ht="22.5" customHeight="1">
      <c r="A288" s="140"/>
      <c r="B288" s="135" t="str">
        <f t="array" ref="B288">IF(A288="","",VLOOKUP(A288,INDIRECT("CXC!A2:B"&amp;COUNTA(CXC!A:A)),2,FALSE))</f>
        <v/>
      </c>
      <c r="C288" s="136" t="str">
        <f t="array" ref="C288">IF(A288="","",VLOOKUP(A288,INDIRECT("CXC!A2:C"&amp;COUNTA(CXC!A:A)),3,FALSE))</f>
        <v/>
      </c>
      <c r="D288" s="137" t="str">
        <f t="array" ref="D288">IF(A288="","",VLOOKUP(A288,INDIRECT("CXC!A2:H"&amp;COUNTA(CXC!A:A)),8,FALSE))</f>
        <v/>
      </c>
      <c r="E288" s="137" t="str">
        <f t="array" ref="E288">IFERROR(IF(A288="","",VLOOKUP(A288,INDIRECT("HISTÓRICO COBROS!A3:E"&amp;COUNTA('HISTÓRICO COBROS'!A:A)),5,FALSE)),"")</f>
        <v/>
      </c>
      <c r="F288" s="137" t="str">
        <f t="array" ref="F288">IF(A288="","",VLOOKUP(A288,INDIRECT("CXC!A2:I"&amp;COUNTA(CXC!A:A)),9,FALSE))</f>
        <v/>
      </c>
      <c r="G288" s="137" t="str">
        <f t="array" ref="G288">IFERROR(IF(A288="","",VLOOKUP(A288,INDIRECT("HISTÓRICO COBROS!A3:F"&amp;COUNTA('HISTÓRICO COBROS'!A:A)),6,FALSE)),"")</f>
        <v/>
      </c>
      <c r="H288" s="138" t="str">
        <f t="shared" ref="H288:I288" si="289">IF(D288="","",D288+F288)</f>
        <v/>
      </c>
      <c r="I288" s="135" t="str">
        <f t="shared" si="289"/>
        <v/>
      </c>
      <c r="J288" s="140" t="str">
        <f t="shared" si="3"/>
        <v/>
      </c>
      <c r="K288" s="140" t="str">
        <f t="shared" si="4"/>
        <v/>
      </c>
    </row>
    <row r="289" ht="22.5" customHeight="1">
      <c r="A289" s="140"/>
      <c r="B289" s="135" t="str">
        <f t="array" ref="B289">IF(A289="","",VLOOKUP(A289,INDIRECT("CXC!A2:B"&amp;COUNTA(CXC!A:A)),2,FALSE))</f>
        <v/>
      </c>
      <c r="C289" s="136" t="str">
        <f t="array" ref="C289">IF(A289="","",VLOOKUP(A289,INDIRECT("CXC!A2:C"&amp;COUNTA(CXC!A:A)),3,FALSE))</f>
        <v/>
      </c>
      <c r="D289" s="137" t="str">
        <f t="array" ref="D289">IF(A289="","",VLOOKUP(A289,INDIRECT("CXC!A2:H"&amp;COUNTA(CXC!A:A)),8,FALSE))</f>
        <v/>
      </c>
      <c r="E289" s="137" t="str">
        <f t="array" ref="E289">IFERROR(IF(A289="","",VLOOKUP(A289,INDIRECT("HISTÓRICO COBROS!A3:E"&amp;COUNTA('HISTÓRICO COBROS'!A:A)),5,FALSE)),"")</f>
        <v/>
      </c>
      <c r="F289" s="137" t="str">
        <f t="array" ref="F289">IF(A289="","",VLOOKUP(A289,INDIRECT("CXC!A2:I"&amp;COUNTA(CXC!A:A)),9,FALSE))</f>
        <v/>
      </c>
      <c r="G289" s="137" t="str">
        <f t="array" ref="G289">IFERROR(IF(A289="","",VLOOKUP(A289,INDIRECT("HISTÓRICO COBROS!A3:F"&amp;COUNTA('HISTÓRICO COBROS'!A:A)),6,FALSE)),"")</f>
        <v/>
      </c>
      <c r="H289" s="138" t="str">
        <f t="shared" ref="H289:I289" si="290">IF(D289="","",D289+F289)</f>
        <v/>
      </c>
      <c r="I289" s="135" t="str">
        <f t="shared" si="290"/>
        <v/>
      </c>
      <c r="J289" s="140" t="str">
        <f t="shared" si="3"/>
        <v/>
      </c>
      <c r="K289" s="140" t="str">
        <f t="shared" si="4"/>
        <v/>
      </c>
    </row>
    <row r="290" ht="22.5" customHeight="1">
      <c r="A290" s="140"/>
      <c r="B290" s="135" t="str">
        <f t="array" ref="B290">IF(A290="","",VLOOKUP(A290,INDIRECT("CXC!A2:B"&amp;COUNTA(CXC!A:A)),2,FALSE))</f>
        <v/>
      </c>
      <c r="C290" s="136" t="str">
        <f t="array" ref="C290">IF(A290="","",VLOOKUP(A290,INDIRECT("CXC!A2:C"&amp;COUNTA(CXC!A:A)),3,FALSE))</f>
        <v/>
      </c>
      <c r="D290" s="137" t="str">
        <f t="array" ref="D290">IF(A290="","",VLOOKUP(A290,INDIRECT("CXC!A2:H"&amp;COUNTA(CXC!A:A)),8,FALSE))</f>
        <v/>
      </c>
      <c r="E290" s="137" t="str">
        <f t="array" ref="E290">IFERROR(IF(A290="","",VLOOKUP(A290,INDIRECT("HISTÓRICO COBROS!A3:E"&amp;COUNTA('HISTÓRICO COBROS'!A:A)),5,FALSE)),"")</f>
        <v/>
      </c>
      <c r="F290" s="137" t="str">
        <f t="array" ref="F290">IF(A290="","",VLOOKUP(A290,INDIRECT("CXC!A2:I"&amp;COUNTA(CXC!A:A)),9,FALSE))</f>
        <v/>
      </c>
      <c r="G290" s="137" t="str">
        <f t="array" ref="G290">IFERROR(IF(A290="","",VLOOKUP(A290,INDIRECT("HISTÓRICO COBROS!A3:F"&amp;COUNTA('HISTÓRICO COBROS'!A:A)),6,FALSE)),"")</f>
        <v/>
      </c>
      <c r="H290" s="138" t="str">
        <f t="shared" ref="H290:I290" si="291">IF(D290="","",D290+F290)</f>
        <v/>
      </c>
      <c r="I290" s="135" t="str">
        <f t="shared" si="291"/>
        <v/>
      </c>
      <c r="J290" s="140" t="str">
        <f t="shared" si="3"/>
        <v/>
      </c>
      <c r="K290" s="140" t="str">
        <f t="shared" si="4"/>
        <v/>
      </c>
    </row>
    <row r="291" ht="22.5" customHeight="1">
      <c r="A291" s="140"/>
      <c r="B291" s="135" t="str">
        <f t="array" ref="B291">IF(A291="","",VLOOKUP(A291,INDIRECT("CXC!A2:B"&amp;COUNTA(CXC!A:A)),2,FALSE))</f>
        <v/>
      </c>
      <c r="C291" s="136" t="str">
        <f t="array" ref="C291">IF(A291="","",VLOOKUP(A291,INDIRECT("CXC!A2:C"&amp;COUNTA(CXC!A:A)),3,FALSE))</f>
        <v/>
      </c>
      <c r="D291" s="137" t="str">
        <f t="array" ref="D291">IF(A291="","",VLOOKUP(A291,INDIRECT("CXC!A2:H"&amp;COUNTA(CXC!A:A)),8,FALSE))</f>
        <v/>
      </c>
      <c r="E291" s="137" t="str">
        <f t="array" ref="E291">IFERROR(IF(A291="","",VLOOKUP(A291,INDIRECT("HISTÓRICO COBROS!A3:E"&amp;COUNTA('HISTÓRICO COBROS'!A:A)),5,FALSE)),"")</f>
        <v/>
      </c>
      <c r="F291" s="137" t="str">
        <f t="array" ref="F291">IF(A291="","",VLOOKUP(A291,INDIRECT("CXC!A2:I"&amp;COUNTA(CXC!A:A)),9,FALSE))</f>
        <v/>
      </c>
      <c r="G291" s="137" t="str">
        <f t="array" ref="G291">IFERROR(IF(A291="","",VLOOKUP(A291,INDIRECT("HISTÓRICO COBROS!A3:F"&amp;COUNTA('HISTÓRICO COBROS'!A:A)),6,FALSE)),"")</f>
        <v/>
      </c>
      <c r="H291" s="138" t="str">
        <f t="shared" ref="H291:I291" si="292">IF(D291="","",D291+F291)</f>
        <v/>
      </c>
      <c r="I291" s="135" t="str">
        <f t="shared" si="292"/>
        <v/>
      </c>
      <c r="J291" s="140" t="str">
        <f t="shared" si="3"/>
        <v/>
      </c>
      <c r="K291" s="140" t="str">
        <f t="shared" si="4"/>
        <v/>
      </c>
    </row>
    <row r="292" ht="22.5" customHeight="1">
      <c r="A292" s="140"/>
      <c r="B292" s="135" t="str">
        <f t="array" ref="B292">IF(A292="","",VLOOKUP(A292,INDIRECT("CXC!A2:B"&amp;COUNTA(CXC!A:A)),2,FALSE))</f>
        <v/>
      </c>
      <c r="C292" s="136" t="str">
        <f t="array" ref="C292">IF(A292="","",VLOOKUP(A292,INDIRECT("CXC!A2:C"&amp;COUNTA(CXC!A:A)),3,FALSE))</f>
        <v/>
      </c>
      <c r="D292" s="137" t="str">
        <f t="array" ref="D292">IF(A292="","",VLOOKUP(A292,INDIRECT("CXC!A2:H"&amp;COUNTA(CXC!A:A)),8,FALSE))</f>
        <v/>
      </c>
      <c r="E292" s="137" t="str">
        <f t="array" ref="E292">IFERROR(IF(A292="","",VLOOKUP(A292,INDIRECT("HISTÓRICO COBROS!A3:E"&amp;COUNTA('HISTÓRICO COBROS'!A:A)),5,FALSE)),"")</f>
        <v/>
      </c>
      <c r="F292" s="137" t="str">
        <f t="array" ref="F292">IF(A292="","",VLOOKUP(A292,INDIRECT("CXC!A2:I"&amp;COUNTA(CXC!A:A)),9,FALSE))</f>
        <v/>
      </c>
      <c r="G292" s="137" t="str">
        <f t="array" ref="G292">IFERROR(IF(A292="","",VLOOKUP(A292,INDIRECT("HISTÓRICO COBROS!A3:F"&amp;COUNTA('HISTÓRICO COBROS'!A:A)),6,FALSE)),"")</f>
        <v/>
      </c>
      <c r="H292" s="138" t="str">
        <f t="shared" ref="H292:I292" si="293">IF(D292="","",D292+F292)</f>
        <v/>
      </c>
      <c r="I292" s="135" t="str">
        <f t="shared" si="293"/>
        <v/>
      </c>
      <c r="J292" s="140" t="str">
        <f t="shared" si="3"/>
        <v/>
      </c>
      <c r="K292" s="140" t="str">
        <f t="shared" si="4"/>
        <v/>
      </c>
    </row>
    <row r="293" ht="22.5" customHeight="1">
      <c r="A293" s="140"/>
      <c r="B293" s="135" t="str">
        <f t="array" ref="B293">IF(A293="","",VLOOKUP(A293,INDIRECT("CXC!A2:B"&amp;COUNTA(CXC!A:A)),2,FALSE))</f>
        <v/>
      </c>
      <c r="C293" s="136" t="str">
        <f t="array" ref="C293">IF(A293="","",VLOOKUP(A293,INDIRECT("CXC!A2:C"&amp;COUNTA(CXC!A:A)),3,FALSE))</f>
        <v/>
      </c>
      <c r="D293" s="137" t="str">
        <f t="array" ref="D293">IF(A293="","",VLOOKUP(A293,INDIRECT("CXC!A2:H"&amp;COUNTA(CXC!A:A)),8,FALSE))</f>
        <v/>
      </c>
      <c r="E293" s="137" t="str">
        <f t="array" ref="E293">IFERROR(IF(A293="","",VLOOKUP(A293,INDIRECT("HISTÓRICO COBROS!A3:E"&amp;COUNTA('HISTÓRICO COBROS'!A:A)),5,FALSE)),"")</f>
        <v/>
      </c>
      <c r="F293" s="137" t="str">
        <f t="array" ref="F293">IF(A293="","",VLOOKUP(A293,INDIRECT("CXC!A2:I"&amp;COUNTA(CXC!A:A)),9,FALSE))</f>
        <v/>
      </c>
      <c r="G293" s="137" t="str">
        <f t="array" ref="G293">IFERROR(IF(A293="","",VLOOKUP(A293,INDIRECT("HISTÓRICO COBROS!A3:F"&amp;COUNTA('HISTÓRICO COBROS'!A:A)),6,FALSE)),"")</f>
        <v/>
      </c>
      <c r="H293" s="138" t="str">
        <f t="shared" ref="H293:I293" si="294">IF(D293="","",D293+F293)</f>
        <v/>
      </c>
      <c r="I293" s="135" t="str">
        <f t="shared" si="294"/>
        <v/>
      </c>
      <c r="J293" s="140" t="str">
        <f t="shared" si="3"/>
        <v/>
      </c>
      <c r="K293" s="140" t="str">
        <f t="shared" si="4"/>
        <v/>
      </c>
    </row>
    <row r="294" ht="22.5" customHeight="1">
      <c r="A294" s="140"/>
      <c r="B294" s="135" t="str">
        <f t="array" ref="B294">IF(A294="","",VLOOKUP(A294,INDIRECT("CXC!A2:B"&amp;COUNTA(CXC!A:A)),2,FALSE))</f>
        <v/>
      </c>
      <c r="C294" s="136" t="str">
        <f t="array" ref="C294">IF(A294="","",VLOOKUP(A294,INDIRECT("CXC!A2:C"&amp;COUNTA(CXC!A:A)),3,FALSE))</f>
        <v/>
      </c>
      <c r="D294" s="137" t="str">
        <f t="array" ref="D294">IF(A294="","",VLOOKUP(A294,INDIRECT("CXC!A2:H"&amp;COUNTA(CXC!A:A)),8,FALSE))</f>
        <v/>
      </c>
      <c r="E294" s="137" t="str">
        <f t="array" ref="E294">IFERROR(IF(A294="","",VLOOKUP(A294,INDIRECT("HISTÓRICO COBROS!A3:E"&amp;COUNTA('HISTÓRICO COBROS'!A:A)),5,FALSE)),"")</f>
        <v/>
      </c>
      <c r="F294" s="137" t="str">
        <f t="array" ref="F294">IF(A294="","",VLOOKUP(A294,INDIRECT("CXC!A2:I"&amp;COUNTA(CXC!A:A)),9,FALSE))</f>
        <v/>
      </c>
      <c r="G294" s="137" t="str">
        <f t="array" ref="G294">IFERROR(IF(A294="","",VLOOKUP(A294,INDIRECT("HISTÓRICO COBROS!A3:F"&amp;COUNTA('HISTÓRICO COBROS'!A:A)),6,FALSE)),"")</f>
        <v/>
      </c>
      <c r="H294" s="138" t="str">
        <f t="shared" ref="H294:I294" si="295">IF(D294="","",D294+F294)</f>
        <v/>
      </c>
      <c r="I294" s="135" t="str">
        <f t="shared" si="295"/>
        <v/>
      </c>
      <c r="J294" s="140" t="str">
        <f t="shared" si="3"/>
        <v/>
      </c>
      <c r="K294" s="140" t="str">
        <f t="shared" si="4"/>
        <v/>
      </c>
    </row>
    <row r="295" ht="22.5" customHeight="1">
      <c r="A295" s="140"/>
      <c r="B295" s="135" t="str">
        <f t="array" ref="B295">IF(A295="","",VLOOKUP(A295,INDIRECT("CXC!A2:B"&amp;COUNTA(CXC!A:A)),2,FALSE))</f>
        <v/>
      </c>
      <c r="C295" s="136" t="str">
        <f t="array" ref="C295">IF(A295="","",VLOOKUP(A295,INDIRECT("CXC!A2:C"&amp;COUNTA(CXC!A:A)),3,FALSE))</f>
        <v/>
      </c>
      <c r="D295" s="137" t="str">
        <f t="array" ref="D295">IF(A295="","",VLOOKUP(A295,INDIRECT("CXC!A2:H"&amp;COUNTA(CXC!A:A)),8,FALSE))</f>
        <v/>
      </c>
      <c r="E295" s="137" t="str">
        <f t="array" ref="E295">IFERROR(IF(A295="","",VLOOKUP(A295,INDIRECT("HISTÓRICO COBROS!A3:E"&amp;COUNTA('HISTÓRICO COBROS'!A:A)),5,FALSE)),"")</f>
        <v/>
      </c>
      <c r="F295" s="137" t="str">
        <f t="array" ref="F295">IF(A295="","",VLOOKUP(A295,INDIRECT("CXC!A2:I"&amp;COUNTA(CXC!A:A)),9,FALSE))</f>
        <v/>
      </c>
      <c r="G295" s="137" t="str">
        <f t="array" ref="G295">IFERROR(IF(A295="","",VLOOKUP(A295,INDIRECT("HISTÓRICO COBROS!A3:F"&amp;COUNTA('HISTÓRICO COBROS'!A:A)),6,FALSE)),"")</f>
        <v/>
      </c>
      <c r="H295" s="138" t="str">
        <f t="shared" ref="H295:I295" si="296">IF(D295="","",D295+F295)</f>
        <v/>
      </c>
      <c r="I295" s="135" t="str">
        <f t="shared" si="296"/>
        <v/>
      </c>
      <c r="J295" s="140" t="str">
        <f t="shared" si="3"/>
        <v/>
      </c>
      <c r="K295" s="140" t="str">
        <f t="shared" si="4"/>
        <v/>
      </c>
    </row>
    <row r="296" ht="22.5" customHeight="1">
      <c r="A296" s="140"/>
      <c r="B296" s="135" t="str">
        <f t="array" ref="B296">IF(A296="","",VLOOKUP(A296,INDIRECT("CXC!A2:B"&amp;COUNTA(CXC!A:A)),2,FALSE))</f>
        <v/>
      </c>
      <c r="C296" s="136" t="str">
        <f t="array" ref="C296">IF(A296="","",VLOOKUP(A296,INDIRECT("CXC!A2:C"&amp;COUNTA(CXC!A:A)),3,FALSE))</f>
        <v/>
      </c>
      <c r="D296" s="137" t="str">
        <f t="array" ref="D296">IF(A296="","",VLOOKUP(A296,INDIRECT("CXC!A2:H"&amp;COUNTA(CXC!A:A)),8,FALSE))</f>
        <v/>
      </c>
      <c r="E296" s="137" t="str">
        <f t="array" ref="E296">IFERROR(IF(A296="","",VLOOKUP(A296,INDIRECT("HISTÓRICO COBROS!A3:E"&amp;COUNTA('HISTÓRICO COBROS'!A:A)),5,FALSE)),"")</f>
        <v/>
      </c>
      <c r="F296" s="137" t="str">
        <f t="array" ref="F296">IF(A296="","",VLOOKUP(A296,INDIRECT("CXC!A2:I"&amp;COUNTA(CXC!A:A)),9,FALSE))</f>
        <v/>
      </c>
      <c r="G296" s="137" t="str">
        <f t="array" ref="G296">IFERROR(IF(A296="","",VLOOKUP(A296,INDIRECT("HISTÓRICO COBROS!A3:F"&amp;COUNTA('HISTÓRICO COBROS'!A:A)),6,FALSE)),"")</f>
        <v/>
      </c>
      <c r="H296" s="138" t="str">
        <f t="shared" ref="H296:I296" si="297">IF(D296="","",D296+F296)</f>
        <v/>
      </c>
      <c r="I296" s="135" t="str">
        <f t="shared" si="297"/>
        <v/>
      </c>
      <c r="J296" s="140" t="str">
        <f t="shared" si="3"/>
        <v/>
      </c>
      <c r="K296" s="140" t="str">
        <f t="shared" si="4"/>
        <v/>
      </c>
    </row>
    <row r="297" ht="22.5" customHeight="1">
      <c r="A297" s="140"/>
      <c r="B297" s="135" t="str">
        <f t="array" ref="B297">IF(A297="","",VLOOKUP(A297,INDIRECT("CXC!A2:B"&amp;COUNTA(CXC!A:A)),2,FALSE))</f>
        <v/>
      </c>
      <c r="C297" s="136" t="str">
        <f t="array" ref="C297">IF(A297="","",VLOOKUP(A297,INDIRECT("CXC!A2:C"&amp;COUNTA(CXC!A:A)),3,FALSE))</f>
        <v/>
      </c>
      <c r="D297" s="137" t="str">
        <f t="array" ref="D297">IF(A297="","",VLOOKUP(A297,INDIRECT("CXC!A2:H"&amp;COUNTA(CXC!A:A)),8,FALSE))</f>
        <v/>
      </c>
      <c r="E297" s="137" t="str">
        <f t="array" ref="E297">IFERROR(IF(A297="","",VLOOKUP(A297,INDIRECT("HISTÓRICO COBROS!A3:E"&amp;COUNTA('HISTÓRICO COBROS'!A:A)),5,FALSE)),"")</f>
        <v/>
      </c>
      <c r="F297" s="137" t="str">
        <f t="array" ref="F297">IF(A297="","",VLOOKUP(A297,INDIRECT("CXC!A2:I"&amp;COUNTA(CXC!A:A)),9,FALSE))</f>
        <v/>
      </c>
      <c r="G297" s="137" t="str">
        <f t="array" ref="G297">IFERROR(IF(A297="","",VLOOKUP(A297,INDIRECT("HISTÓRICO COBROS!A3:F"&amp;COUNTA('HISTÓRICO COBROS'!A:A)),6,FALSE)),"")</f>
        <v/>
      </c>
      <c r="H297" s="138" t="str">
        <f t="shared" ref="H297:I297" si="298">IF(D297="","",D297+F297)</f>
        <v/>
      </c>
      <c r="I297" s="135" t="str">
        <f t="shared" si="298"/>
        <v/>
      </c>
      <c r="J297" s="140" t="str">
        <f t="shared" si="3"/>
        <v/>
      </c>
      <c r="K297" s="140" t="str">
        <f t="shared" si="4"/>
        <v/>
      </c>
    </row>
    <row r="298" ht="22.5" customHeight="1">
      <c r="A298" s="140"/>
      <c r="B298" s="135" t="str">
        <f t="array" ref="B298">IF(A298="","",VLOOKUP(A298,INDIRECT("CXC!A2:B"&amp;COUNTA(CXC!A:A)),2,FALSE))</f>
        <v/>
      </c>
      <c r="C298" s="136" t="str">
        <f t="array" ref="C298">IF(A298="","",VLOOKUP(A298,INDIRECT("CXC!A2:C"&amp;COUNTA(CXC!A:A)),3,FALSE))</f>
        <v/>
      </c>
      <c r="D298" s="137" t="str">
        <f t="array" ref="D298">IF(A298="","",VLOOKUP(A298,INDIRECT("CXC!A2:H"&amp;COUNTA(CXC!A:A)),8,FALSE))</f>
        <v/>
      </c>
      <c r="E298" s="137" t="str">
        <f t="array" ref="E298">IFERROR(IF(A298="","",VLOOKUP(A298,INDIRECT("HISTÓRICO COBROS!A3:E"&amp;COUNTA('HISTÓRICO COBROS'!A:A)),5,FALSE)),"")</f>
        <v/>
      </c>
      <c r="F298" s="137" t="str">
        <f t="array" ref="F298">IF(A298="","",VLOOKUP(A298,INDIRECT("CXC!A2:I"&amp;COUNTA(CXC!A:A)),9,FALSE))</f>
        <v/>
      </c>
      <c r="G298" s="137" t="str">
        <f t="array" ref="G298">IFERROR(IF(A298="","",VLOOKUP(A298,INDIRECT("HISTÓRICO COBROS!A3:F"&amp;COUNTA('HISTÓRICO COBROS'!A:A)),6,FALSE)),"")</f>
        <v/>
      </c>
      <c r="H298" s="138" t="str">
        <f t="shared" ref="H298:I298" si="299">IF(D298="","",D298+F298)</f>
        <v/>
      </c>
      <c r="I298" s="135" t="str">
        <f t="shared" si="299"/>
        <v/>
      </c>
      <c r="J298" s="140" t="str">
        <f t="shared" si="3"/>
        <v/>
      </c>
      <c r="K298" s="140" t="str">
        <f t="shared" si="4"/>
        <v/>
      </c>
    </row>
    <row r="299" ht="22.5" customHeight="1">
      <c r="A299" s="140"/>
      <c r="B299" s="135" t="str">
        <f t="array" ref="B299">IF(A299="","",VLOOKUP(A299,INDIRECT("CXC!A2:B"&amp;COUNTA(CXC!A:A)),2,FALSE))</f>
        <v/>
      </c>
      <c r="C299" s="136" t="str">
        <f t="array" ref="C299">IF(A299="","",VLOOKUP(A299,INDIRECT("CXC!A2:C"&amp;COUNTA(CXC!A:A)),3,FALSE))</f>
        <v/>
      </c>
      <c r="D299" s="137" t="str">
        <f t="array" ref="D299">IF(A299="","",VLOOKUP(A299,INDIRECT("CXC!A2:H"&amp;COUNTA(CXC!A:A)),8,FALSE))</f>
        <v/>
      </c>
      <c r="E299" s="137" t="str">
        <f t="array" ref="E299">IFERROR(IF(A299="","",VLOOKUP(A299,INDIRECT("HISTÓRICO COBROS!A3:E"&amp;COUNTA('HISTÓRICO COBROS'!A:A)),5,FALSE)),"")</f>
        <v/>
      </c>
      <c r="F299" s="137" t="str">
        <f t="array" ref="F299">IF(A299="","",VLOOKUP(A299,INDIRECT("CXC!A2:I"&amp;COUNTA(CXC!A:A)),9,FALSE))</f>
        <v/>
      </c>
      <c r="G299" s="137" t="str">
        <f t="array" ref="G299">IFERROR(IF(A299="","",VLOOKUP(A299,INDIRECT("HISTÓRICO COBROS!A3:F"&amp;COUNTA('HISTÓRICO COBROS'!A:A)),6,FALSE)),"")</f>
        <v/>
      </c>
      <c r="H299" s="138" t="str">
        <f t="shared" ref="H299:I299" si="300">IF(D299="","",D299+F299)</f>
        <v/>
      </c>
      <c r="I299" s="135" t="str">
        <f t="shared" si="300"/>
        <v/>
      </c>
      <c r="J299" s="140" t="str">
        <f t="shared" si="3"/>
        <v/>
      </c>
      <c r="K299" s="140" t="str">
        <f t="shared" si="4"/>
        <v/>
      </c>
    </row>
    <row r="300" ht="22.5" customHeight="1">
      <c r="A300" s="140"/>
      <c r="B300" s="135" t="str">
        <f t="array" ref="B300">IF(A300="","",VLOOKUP(A300,INDIRECT("CXC!A2:B"&amp;COUNTA(CXC!A:A)),2,FALSE))</f>
        <v/>
      </c>
      <c r="C300" s="136" t="str">
        <f t="array" ref="C300">IF(A300="","",VLOOKUP(A300,INDIRECT("CXC!A2:C"&amp;COUNTA(CXC!A:A)),3,FALSE))</f>
        <v/>
      </c>
      <c r="D300" s="137" t="str">
        <f t="array" ref="D300">IF(A300="","",VLOOKUP(A300,INDIRECT("CXC!A2:H"&amp;COUNTA(CXC!A:A)),8,FALSE))</f>
        <v/>
      </c>
      <c r="E300" s="137" t="str">
        <f t="array" ref="E300">IFERROR(IF(A300="","",VLOOKUP(A300,INDIRECT("HISTÓRICO COBROS!A3:E"&amp;COUNTA('HISTÓRICO COBROS'!A:A)),5,FALSE)),"")</f>
        <v/>
      </c>
      <c r="F300" s="137" t="str">
        <f t="array" ref="F300">IF(A300="","",VLOOKUP(A300,INDIRECT("CXC!A2:I"&amp;COUNTA(CXC!A:A)),9,FALSE))</f>
        <v/>
      </c>
      <c r="G300" s="137" t="str">
        <f t="array" ref="G300">IFERROR(IF(A300="","",VLOOKUP(A300,INDIRECT("HISTÓRICO COBROS!A3:F"&amp;COUNTA('HISTÓRICO COBROS'!A:A)),6,FALSE)),"")</f>
        <v/>
      </c>
      <c r="H300" s="138" t="str">
        <f t="shared" ref="H300:I300" si="301">IF(D300="","",D300+F300)</f>
        <v/>
      </c>
      <c r="I300" s="135" t="str">
        <f t="shared" si="301"/>
        <v/>
      </c>
      <c r="J300" s="140" t="str">
        <f t="shared" si="3"/>
        <v/>
      </c>
      <c r="K300" s="140" t="str">
        <f t="shared" si="4"/>
        <v/>
      </c>
    </row>
    <row r="301" ht="22.5" customHeight="1">
      <c r="A301" s="140"/>
      <c r="B301" s="135" t="str">
        <f t="array" ref="B301">IF(A301="","",VLOOKUP(A301,INDIRECT("CXC!A2:B"&amp;COUNTA(CXC!A:A)),2,FALSE))</f>
        <v/>
      </c>
      <c r="C301" s="136" t="str">
        <f t="array" ref="C301">IF(A301="","",VLOOKUP(A301,INDIRECT("CXC!A2:C"&amp;COUNTA(CXC!A:A)),3,FALSE))</f>
        <v/>
      </c>
      <c r="D301" s="137" t="str">
        <f t="array" ref="D301">IF(A301="","",VLOOKUP(A301,INDIRECT("CXC!A2:H"&amp;COUNTA(CXC!A:A)),8,FALSE))</f>
        <v/>
      </c>
      <c r="E301" s="137" t="str">
        <f t="array" ref="E301">IFERROR(IF(A301="","",VLOOKUP(A301,INDIRECT("HISTÓRICO COBROS!A3:E"&amp;COUNTA('HISTÓRICO COBROS'!A:A)),5,FALSE)),"")</f>
        <v/>
      </c>
      <c r="F301" s="137" t="str">
        <f t="array" ref="F301">IF(A301="","",VLOOKUP(A301,INDIRECT("CXC!A2:I"&amp;COUNTA(CXC!A:A)),9,FALSE))</f>
        <v/>
      </c>
      <c r="G301" s="137" t="str">
        <f t="array" ref="G301">IFERROR(IF(A301="","",VLOOKUP(A301,INDIRECT("HISTÓRICO COBROS!A3:F"&amp;COUNTA('HISTÓRICO COBROS'!A:A)),6,FALSE)),"")</f>
        <v/>
      </c>
      <c r="H301" s="138" t="str">
        <f t="shared" ref="H301:I301" si="302">IF(D301="","",D301+F301)</f>
        <v/>
      </c>
      <c r="I301" s="135" t="str">
        <f t="shared" si="302"/>
        <v/>
      </c>
      <c r="J301" s="140" t="str">
        <f t="shared" si="3"/>
        <v/>
      </c>
      <c r="K301" s="140" t="str">
        <f t="shared" si="4"/>
        <v/>
      </c>
    </row>
    <row r="302" ht="22.5" customHeight="1">
      <c r="A302" s="140"/>
      <c r="B302" s="135" t="str">
        <f t="array" ref="B302">IF(A302="","",VLOOKUP(A302,INDIRECT("CXC!A2:B"&amp;COUNTA(CXC!A:A)),2,FALSE))</f>
        <v/>
      </c>
      <c r="C302" s="136" t="str">
        <f t="array" ref="C302">IF(A302="","",VLOOKUP(A302,INDIRECT("CXC!A2:C"&amp;COUNTA(CXC!A:A)),3,FALSE))</f>
        <v/>
      </c>
      <c r="D302" s="137" t="str">
        <f t="array" ref="D302">IF(A302="","",VLOOKUP(A302,INDIRECT("CXC!A2:H"&amp;COUNTA(CXC!A:A)),8,FALSE))</f>
        <v/>
      </c>
      <c r="E302" s="137" t="str">
        <f t="array" ref="E302">IFERROR(IF(A302="","",VLOOKUP(A302,INDIRECT("HISTÓRICO COBROS!A3:E"&amp;COUNTA('HISTÓRICO COBROS'!A:A)),5,FALSE)),"")</f>
        <v/>
      </c>
      <c r="F302" s="137" t="str">
        <f t="array" ref="F302">IF(A302="","",VLOOKUP(A302,INDIRECT("CXC!A2:I"&amp;COUNTA(CXC!A:A)),9,FALSE))</f>
        <v/>
      </c>
      <c r="G302" s="137" t="str">
        <f t="array" ref="G302">IFERROR(IF(A302="","",VLOOKUP(A302,INDIRECT("HISTÓRICO COBROS!A3:F"&amp;COUNTA('HISTÓRICO COBROS'!A:A)),6,FALSE)),"")</f>
        <v/>
      </c>
      <c r="H302" s="138" t="str">
        <f t="shared" ref="H302:I302" si="303">IF(D302="","",D302+F302)</f>
        <v/>
      </c>
      <c r="I302" s="135" t="str">
        <f t="shared" si="303"/>
        <v/>
      </c>
      <c r="J302" s="140" t="str">
        <f t="shared" si="3"/>
        <v/>
      </c>
      <c r="K302" s="140" t="str">
        <f t="shared" si="4"/>
        <v/>
      </c>
    </row>
    <row r="303" ht="22.5" customHeight="1">
      <c r="A303" s="140"/>
      <c r="B303" s="135" t="str">
        <f t="array" ref="B303">IF(A303="","",VLOOKUP(A303,INDIRECT("CXC!A2:B"&amp;COUNTA(CXC!A:A)),2,FALSE))</f>
        <v/>
      </c>
      <c r="C303" s="136" t="str">
        <f t="array" ref="C303">IF(A303="","",VLOOKUP(A303,INDIRECT("CXC!A2:C"&amp;COUNTA(CXC!A:A)),3,FALSE))</f>
        <v/>
      </c>
      <c r="D303" s="137" t="str">
        <f t="array" ref="D303">IF(A303="","",VLOOKUP(A303,INDIRECT("CXC!A2:H"&amp;COUNTA(CXC!A:A)),8,FALSE))</f>
        <v/>
      </c>
      <c r="E303" s="137" t="str">
        <f t="array" ref="E303">IFERROR(IF(A303="","",VLOOKUP(A303,INDIRECT("HISTÓRICO COBROS!A3:E"&amp;COUNTA('HISTÓRICO COBROS'!A:A)),5,FALSE)),"")</f>
        <v/>
      </c>
      <c r="F303" s="137" t="str">
        <f t="array" ref="F303">IF(A303="","",VLOOKUP(A303,INDIRECT("CXC!A2:I"&amp;COUNTA(CXC!A:A)),9,FALSE))</f>
        <v/>
      </c>
      <c r="G303" s="137" t="str">
        <f t="array" ref="G303">IFERROR(IF(A303="","",VLOOKUP(A303,INDIRECT("HISTÓRICO COBROS!A3:F"&amp;COUNTA('HISTÓRICO COBROS'!A:A)),6,FALSE)),"")</f>
        <v/>
      </c>
      <c r="H303" s="138" t="str">
        <f t="shared" ref="H303:I303" si="304">IF(D303="","",D303+F303)</f>
        <v/>
      </c>
      <c r="I303" s="135" t="str">
        <f t="shared" si="304"/>
        <v/>
      </c>
      <c r="J303" s="140" t="str">
        <f t="shared" si="3"/>
        <v/>
      </c>
      <c r="K303" s="140" t="str">
        <f t="shared" si="4"/>
        <v/>
      </c>
    </row>
    <row r="304" ht="22.5" customHeight="1">
      <c r="A304" s="140"/>
      <c r="B304" s="135" t="str">
        <f t="array" ref="B304">IF(A304="","",VLOOKUP(A304,INDIRECT("CXC!A2:B"&amp;COUNTA(CXC!A:A)),2,FALSE))</f>
        <v/>
      </c>
      <c r="C304" s="136" t="str">
        <f t="array" ref="C304">IF(A304="","",VLOOKUP(A304,INDIRECT("CXC!A2:C"&amp;COUNTA(CXC!A:A)),3,FALSE))</f>
        <v/>
      </c>
      <c r="D304" s="137" t="str">
        <f t="array" ref="D304">IF(A304="","",VLOOKUP(A304,INDIRECT("CXC!A2:H"&amp;COUNTA(CXC!A:A)),8,FALSE))</f>
        <v/>
      </c>
      <c r="E304" s="137" t="str">
        <f t="array" ref="E304">IFERROR(IF(A304="","",VLOOKUP(A304,INDIRECT("HISTÓRICO COBROS!A3:E"&amp;COUNTA('HISTÓRICO COBROS'!A:A)),5,FALSE)),"")</f>
        <v/>
      </c>
      <c r="F304" s="137" t="str">
        <f t="array" ref="F304">IF(A304="","",VLOOKUP(A304,INDIRECT("CXC!A2:I"&amp;COUNTA(CXC!A:A)),9,FALSE))</f>
        <v/>
      </c>
      <c r="G304" s="137" t="str">
        <f t="array" ref="G304">IFERROR(IF(A304="","",VLOOKUP(A304,INDIRECT("HISTÓRICO COBROS!A3:F"&amp;COUNTA('HISTÓRICO COBROS'!A:A)),6,FALSE)),"")</f>
        <v/>
      </c>
      <c r="H304" s="138" t="str">
        <f t="shared" ref="H304:I304" si="305">IF(D304="","",D304+F304)</f>
        <v/>
      </c>
      <c r="I304" s="135" t="str">
        <f t="shared" si="305"/>
        <v/>
      </c>
      <c r="J304" s="140" t="str">
        <f t="shared" si="3"/>
        <v/>
      </c>
      <c r="K304" s="140" t="str">
        <f t="shared" si="4"/>
        <v/>
      </c>
    </row>
    <row r="305" ht="22.5" customHeight="1">
      <c r="A305" s="140"/>
      <c r="B305" s="135" t="str">
        <f t="array" ref="B305">IF(A305="","",VLOOKUP(A305,INDIRECT("CXC!A2:B"&amp;COUNTA(CXC!A:A)),2,FALSE))</f>
        <v/>
      </c>
      <c r="C305" s="136" t="str">
        <f t="array" ref="C305">IF(A305="","",VLOOKUP(A305,INDIRECT("CXC!A2:C"&amp;COUNTA(CXC!A:A)),3,FALSE))</f>
        <v/>
      </c>
      <c r="D305" s="137" t="str">
        <f t="array" ref="D305">IF(A305="","",VLOOKUP(A305,INDIRECT("CXC!A2:H"&amp;COUNTA(CXC!A:A)),8,FALSE))</f>
        <v/>
      </c>
      <c r="E305" s="137" t="str">
        <f t="array" ref="E305">IFERROR(IF(A305="","",VLOOKUP(A305,INDIRECT("HISTÓRICO COBROS!A3:E"&amp;COUNTA('HISTÓRICO COBROS'!A:A)),5,FALSE)),"")</f>
        <v/>
      </c>
      <c r="F305" s="137" t="str">
        <f t="array" ref="F305">IF(A305="","",VLOOKUP(A305,INDIRECT("CXC!A2:I"&amp;COUNTA(CXC!A:A)),9,FALSE))</f>
        <v/>
      </c>
      <c r="G305" s="137" t="str">
        <f t="array" ref="G305">IFERROR(IF(A305="","",VLOOKUP(A305,INDIRECT("HISTÓRICO COBROS!A3:F"&amp;COUNTA('HISTÓRICO COBROS'!A:A)),6,FALSE)),"")</f>
        <v/>
      </c>
      <c r="H305" s="138" t="str">
        <f t="shared" ref="H305:I305" si="306">IF(D305="","",D305+F305)</f>
        <v/>
      </c>
      <c r="I305" s="135" t="str">
        <f t="shared" si="306"/>
        <v/>
      </c>
      <c r="J305" s="140" t="str">
        <f t="shared" si="3"/>
        <v/>
      </c>
      <c r="K305" s="140" t="str">
        <f t="shared" si="4"/>
        <v/>
      </c>
    </row>
    <row r="306" ht="22.5" customHeight="1">
      <c r="A306" s="140"/>
      <c r="B306" s="135" t="str">
        <f t="array" ref="B306">IF(A306="","",VLOOKUP(A306,INDIRECT("CXC!A2:B"&amp;COUNTA(CXC!A:A)),2,FALSE))</f>
        <v/>
      </c>
      <c r="C306" s="136" t="str">
        <f t="array" ref="C306">IF(A306="","",VLOOKUP(A306,INDIRECT("CXC!A2:C"&amp;COUNTA(CXC!A:A)),3,FALSE))</f>
        <v/>
      </c>
      <c r="D306" s="137" t="str">
        <f t="array" ref="D306">IF(A306="","",VLOOKUP(A306,INDIRECT("CXC!A2:H"&amp;COUNTA(CXC!A:A)),8,FALSE))</f>
        <v/>
      </c>
      <c r="E306" s="137" t="str">
        <f t="array" ref="E306">IFERROR(IF(A306="","",VLOOKUP(A306,INDIRECT("HISTÓRICO COBROS!A3:E"&amp;COUNTA('HISTÓRICO COBROS'!A:A)),5,FALSE)),"")</f>
        <v/>
      </c>
      <c r="F306" s="137" t="str">
        <f t="array" ref="F306">IF(A306="","",VLOOKUP(A306,INDIRECT("CXC!A2:I"&amp;COUNTA(CXC!A:A)),9,FALSE))</f>
        <v/>
      </c>
      <c r="G306" s="137" t="str">
        <f t="array" ref="G306">IFERROR(IF(A306="","",VLOOKUP(A306,INDIRECT("HISTÓRICO COBROS!A3:F"&amp;COUNTA('HISTÓRICO COBROS'!A:A)),6,FALSE)),"")</f>
        <v/>
      </c>
      <c r="H306" s="138" t="str">
        <f t="shared" ref="H306:I306" si="307">IF(D306="","",D306+F306)</f>
        <v/>
      </c>
      <c r="I306" s="135" t="str">
        <f t="shared" si="307"/>
        <v/>
      </c>
      <c r="J306" s="140" t="str">
        <f t="shared" si="3"/>
        <v/>
      </c>
      <c r="K306" s="140" t="str">
        <f t="shared" si="4"/>
        <v/>
      </c>
    </row>
    <row r="307" ht="22.5" customHeight="1">
      <c r="A307" s="140"/>
      <c r="B307" s="135" t="str">
        <f t="array" ref="B307">IF(A307="","",VLOOKUP(A307,INDIRECT("CXC!A2:B"&amp;COUNTA(CXC!A:A)),2,FALSE))</f>
        <v/>
      </c>
      <c r="C307" s="136" t="str">
        <f t="array" ref="C307">IF(A307="","",VLOOKUP(A307,INDIRECT("CXC!A2:C"&amp;COUNTA(CXC!A:A)),3,FALSE))</f>
        <v/>
      </c>
      <c r="D307" s="137" t="str">
        <f t="array" ref="D307">IF(A307="","",VLOOKUP(A307,INDIRECT("CXC!A2:H"&amp;COUNTA(CXC!A:A)),8,FALSE))</f>
        <v/>
      </c>
      <c r="E307" s="137" t="str">
        <f t="array" ref="E307">IFERROR(IF(A307="","",VLOOKUP(A307,INDIRECT("HISTÓRICO COBROS!A3:E"&amp;COUNTA('HISTÓRICO COBROS'!A:A)),5,FALSE)),"")</f>
        <v/>
      </c>
      <c r="F307" s="137" t="str">
        <f t="array" ref="F307">IF(A307="","",VLOOKUP(A307,INDIRECT("CXC!A2:I"&amp;COUNTA(CXC!A:A)),9,FALSE))</f>
        <v/>
      </c>
      <c r="G307" s="137" t="str">
        <f t="array" ref="G307">IFERROR(IF(A307="","",VLOOKUP(A307,INDIRECT("HISTÓRICO COBROS!A3:F"&amp;COUNTA('HISTÓRICO COBROS'!A:A)),6,FALSE)),"")</f>
        <v/>
      </c>
      <c r="H307" s="138" t="str">
        <f t="shared" ref="H307:I307" si="308">IF(D307="","",D307+F307)</f>
        <v/>
      </c>
      <c r="I307" s="135" t="str">
        <f t="shared" si="308"/>
        <v/>
      </c>
      <c r="J307" s="140" t="str">
        <f t="shared" si="3"/>
        <v/>
      </c>
      <c r="K307" s="140" t="str">
        <f t="shared" si="4"/>
        <v/>
      </c>
    </row>
    <row r="308" ht="22.5" customHeight="1">
      <c r="A308" s="140"/>
      <c r="B308" s="135" t="str">
        <f t="array" ref="B308">IF(A308="","",VLOOKUP(A308,INDIRECT("CXC!A2:B"&amp;COUNTA(CXC!A:A)),2,FALSE))</f>
        <v/>
      </c>
      <c r="C308" s="136" t="str">
        <f t="array" ref="C308">IF(A308="","",VLOOKUP(A308,INDIRECT("CXC!A2:C"&amp;COUNTA(CXC!A:A)),3,FALSE))</f>
        <v/>
      </c>
      <c r="D308" s="137" t="str">
        <f t="array" ref="D308">IF(A308="","",VLOOKUP(A308,INDIRECT("CXC!A2:H"&amp;COUNTA(CXC!A:A)),8,FALSE))</f>
        <v/>
      </c>
      <c r="E308" s="137" t="str">
        <f t="array" ref="E308">IFERROR(IF(A308="","",VLOOKUP(A308,INDIRECT("HISTÓRICO COBROS!A3:E"&amp;COUNTA('HISTÓRICO COBROS'!A:A)),5,FALSE)),"")</f>
        <v/>
      </c>
      <c r="F308" s="137" t="str">
        <f t="array" ref="F308">IF(A308="","",VLOOKUP(A308,INDIRECT("CXC!A2:I"&amp;COUNTA(CXC!A:A)),9,FALSE))</f>
        <v/>
      </c>
      <c r="G308" s="137" t="str">
        <f t="array" ref="G308">IFERROR(IF(A308="","",VLOOKUP(A308,INDIRECT("HISTÓRICO COBROS!A3:F"&amp;COUNTA('HISTÓRICO COBROS'!A:A)),6,FALSE)),"")</f>
        <v/>
      </c>
      <c r="H308" s="138" t="str">
        <f t="shared" ref="H308:I308" si="309">IF(D308="","",D308+F308)</f>
        <v/>
      </c>
      <c r="I308" s="135" t="str">
        <f t="shared" si="309"/>
        <v/>
      </c>
      <c r="J308" s="140" t="str">
        <f t="shared" si="3"/>
        <v/>
      </c>
      <c r="K308" s="140" t="str">
        <f t="shared" si="4"/>
        <v/>
      </c>
    </row>
    <row r="309" ht="22.5" customHeight="1">
      <c r="A309" s="140"/>
      <c r="B309" s="135" t="str">
        <f t="array" ref="B309">IF(A309="","",VLOOKUP(A309,INDIRECT("CXC!A2:B"&amp;COUNTA(CXC!A:A)),2,FALSE))</f>
        <v/>
      </c>
      <c r="C309" s="136" t="str">
        <f t="array" ref="C309">IF(A309="","",VLOOKUP(A309,INDIRECT("CXC!A2:C"&amp;COUNTA(CXC!A:A)),3,FALSE))</f>
        <v/>
      </c>
      <c r="D309" s="137" t="str">
        <f t="array" ref="D309">IF(A309="","",VLOOKUP(A309,INDIRECT("CXC!A2:H"&amp;COUNTA(CXC!A:A)),8,FALSE))</f>
        <v/>
      </c>
      <c r="E309" s="137" t="str">
        <f t="array" ref="E309">IFERROR(IF(A309="","",VLOOKUP(A309,INDIRECT("HISTÓRICO COBROS!A3:E"&amp;COUNTA('HISTÓRICO COBROS'!A:A)),5,FALSE)),"")</f>
        <v/>
      </c>
      <c r="F309" s="137" t="str">
        <f t="array" ref="F309">IF(A309="","",VLOOKUP(A309,INDIRECT("CXC!A2:I"&amp;COUNTA(CXC!A:A)),9,FALSE))</f>
        <v/>
      </c>
      <c r="G309" s="137" t="str">
        <f t="array" ref="G309">IFERROR(IF(A309="","",VLOOKUP(A309,INDIRECT("HISTÓRICO COBROS!A3:F"&amp;COUNTA('HISTÓRICO COBROS'!A:A)),6,FALSE)),"")</f>
        <v/>
      </c>
      <c r="H309" s="138" t="str">
        <f t="shared" ref="H309:I309" si="310">IF(D309="","",D309+F309)</f>
        <v/>
      </c>
      <c r="I309" s="135" t="str">
        <f t="shared" si="310"/>
        <v/>
      </c>
      <c r="J309" s="140" t="str">
        <f t="shared" si="3"/>
        <v/>
      </c>
      <c r="K309" s="140" t="str">
        <f t="shared" si="4"/>
        <v/>
      </c>
    </row>
    <row r="310" ht="22.5" customHeight="1">
      <c r="A310" s="140"/>
      <c r="B310" s="135" t="str">
        <f t="array" ref="B310">IF(A310="","",VLOOKUP(A310,INDIRECT("CXC!A2:B"&amp;COUNTA(CXC!A:A)),2,FALSE))</f>
        <v/>
      </c>
      <c r="C310" s="136" t="str">
        <f t="array" ref="C310">IF(A310="","",VLOOKUP(A310,INDIRECT("CXC!A2:C"&amp;COUNTA(CXC!A:A)),3,FALSE))</f>
        <v/>
      </c>
      <c r="D310" s="137" t="str">
        <f t="array" ref="D310">IF(A310="","",VLOOKUP(A310,INDIRECT("CXC!A2:H"&amp;COUNTA(CXC!A:A)),8,FALSE))</f>
        <v/>
      </c>
      <c r="E310" s="137" t="str">
        <f t="array" ref="E310">IFERROR(IF(A310="","",VLOOKUP(A310,INDIRECT("HISTÓRICO COBROS!A3:E"&amp;COUNTA('HISTÓRICO COBROS'!A:A)),5,FALSE)),"")</f>
        <v/>
      </c>
      <c r="F310" s="137" t="str">
        <f t="array" ref="F310">IF(A310="","",VLOOKUP(A310,INDIRECT("CXC!A2:I"&amp;COUNTA(CXC!A:A)),9,FALSE))</f>
        <v/>
      </c>
      <c r="G310" s="137" t="str">
        <f t="array" ref="G310">IFERROR(IF(A310="","",VLOOKUP(A310,INDIRECT("HISTÓRICO COBROS!A3:F"&amp;COUNTA('HISTÓRICO COBROS'!A:A)),6,FALSE)),"")</f>
        <v/>
      </c>
      <c r="H310" s="138" t="str">
        <f t="shared" ref="H310:I310" si="311">IF(D310="","",D310+F310)</f>
        <v/>
      </c>
      <c r="I310" s="135" t="str">
        <f t="shared" si="311"/>
        <v/>
      </c>
      <c r="J310" s="140" t="str">
        <f t="shared" si="3"/>
        <v/>
      </c>
      <c r="K310" s="140" t="str">
        <f t="shared" si="4"/>
        <v/>
      </c>
    </row>
    <row r="311" ht="22.5" customHeight="1">
      <c r="A311" s="140"/>
      <c r="B311" s="135" t="str">
        <f t="array" ref="B311">IF(A311="","",VLOOKUP(A311,INDIRECT("CXC!A2:B"&amp;COUNTA(CXC!A:A)),2,FALSE))</f>
        <v/>
      </c>
      <c r="C311" s="136" t="str">
        <f t="array" ref="C311">IF(A311="","",VLOOKUP(A311,INDIRECT("CXC!A2:C"&amp;COUNTA(CXC!A:A)),3,FALSE))</f>
        <v/>
      </c>
      <c r="D311" s="137" t="str">
        <f t="array" ref="D311">IF(A311="","",VLOOKUP(A311,INDIRECT("CXC!A2:H"&amp;COUNTA(CXC!A:A)),8,FALSE))</f>
        <v/>
      </c>
      <c r="E311" s="137" t="str">
        <f t="array" ref="E311">IFERROR(IF(A311="","",VLOOKUP(A311,INDIRECT("HISTÓRICO COBROS!A3:E"&amp;COUNTA('HISTÓRICO COBROS'!A:A)),5,FALSE)),"")</f>
        <v/>
      </c>
      <c r="F311" s="137" t="str">
        <f t="array" ref="F311">IF(A311="","",VLOOKUP(A311,INDIRECT("CXC!A2:I"&amp;COUNTA(CXC!A:A)),9,FALSE))</f>
        <v/>
      </c>
      <c r="G311" s="137" t="str">
        <f t="array" ref="G311">IFERROR(IF(A311="","",VLOOKUP(A311,INDIRECT("HISTÓRICO COBROS!A3:F"&amp;COUNTA('HISTÓRICO COBROS'!A:A)),6,FALSE)),"")</f>
        <v/>
      </c>
      <c r="H311" s="138" t="str">
        <f t="shared" ref="H311:I311" si="312">IF(D311="","",D311+F311)</f>
        <v/>
      </c>
      <c r="I311" s="135" t="str">
        <f t="shared" si="312"/>
        <v/>
      </c>
      <c r="J311" s="140" t="str">
        <f t="shared" si="3"/>
        <v/>
      </c>
      <c r="K311" s="140" t="str">
        <f t="shared" si="4"/>
        <v/>
      </c>
    </row>
    <row r="312" ht="22.5" customHeight="1">
      <c r="A312" s="140"/>
      <c r="B312" s="135" t="str">
        <f t="array" ref="B312">IF(A312="","",VLOOKUP(A312,INDIRECT("CXC!A2:B"&amp;COUNTA(CXC!A:A)),2,FALSE))</f>
        <v/>
      </c>
      <c r="C312" s="136" t="str">
        <f t="array" ref="C312">IF(A312="","",VLOOKUP(A312,INDIRECT("CXC!A2:C"&amp;COUNTA(CXC!A:A)),3,FALSE))</f>
        <v/>
      </c>
      <c r="D312" s="137" t="str">
        <f t="array" ref="D312">IF(A312="","",VLOOKUP(A312,INDIRECT("CXC!A2:H"&amp;COUNTA(CXC!A:A)),8,FALSE))</f>
        <v/>
      </c>
      <c r="E312" s="137" t="str">
        <f t="array" ref="E312">IFERROR(IF(A312="","",VLOOKUP(A312,INDIRECT("HISTÓRICO COBROS!A3:E"&amp;COUNTA('HISTÓRICO COBROS'!A:A)),5,FALSE)),"")</f>
        <v/>
      </c>
      <c r="F312" s="137" t="str">
        <f t="array" ref="F312">IF(A312="","",VLOOKUP(A312,INDIRECT("CXC!A2:I"&amp;COUNTA(CXC!A:A)),9,FALSE))</f>
        <v/>
      </c>
      <c r="G312" s="137" t="str">
        <f t="array" ref="G312">IFERROR(IF(A312="","",VLOOKUP(A312,INDIRECT("HISTÓRICO COBROS!A3:F"&amp;COUNTA('HISTÓRICO COBROS'!A:A)),6,FALSE)),"")</f>
        <v/>
      </c>
      <c r="H312" s="138" t="str">
        <f t="shared" ref="H312:I312" si="313">IF(D312="","",D312+F312)</f>
        <v/>
      </c>
      <c r="I312" s="135" t="str">
        <f t="shared" si="313"/>
        <v/>
      </c>
      <c r="J312" s="140" t="str">
        <f t="shared" si="3"/>
        <v/>
      </c>
      <c r="K312" s="140" t="str">
        <f t="shared" si="4"/>
        <v/>
      </c>
    </row>
    <row r="313" ht="22.5" customHeight="1">
      <c r="A313" s="140"/>
      <c r="B313" s="135" t="str">
        <f t="array" ref="B313">IF(A313="","",VLOOKUP(A313,INDIRECT("CXC!A2:B"&amp;COUNTA(CXC!A:A)),2,FALSE))</f>
        <v/>
      </c>
      <c r="C313" s="136" t="str">
        <f t="array" ref="C313">IF(A313="","",VLOOKUP(A313,INDIRECT("CXC!A2:C"&amp;COUNTA(CXC!A:A)),3,FALSE))</f>
        <v/>
      </c>
      <c r="D313" s="137" t="str">
        <f t="array" ref="D313">IF(A313="","",VLOOKUP(A313,INDIRECT("CXC!A2:H"&amp;COUNTA(CXC!A:A)),8,FALSE))</f>
        <v/>
      </c>
      <c r="E313" s="137" t="str">
        <f t="array" ref="E313">IFERROR(IF(A313="","",VLOOKUP(A313,INDIRECT("HISTÓRICO COBROS!A3:E"&amp;COUNTA('HISTÓRICO COBROS'!A:A)),5,FALSE)),"")</f>
        <v/>
      </c>
      <c r="F313" s="137" t="str">
        <f t="array" ref="F313">IF(A313="","",VLOOKUP(A313,INDIRECT("CXC!A2:I"&amp;COUNTA(CXC!A:A)),9,FALSE))</f>
        <v/>
      </c>
      <c r="G313" s="137" t="str">
        <f t="array" ref="G313">IFERROR(IF(A313="","",VLOOKUP(A313,INDIRECT("HISTÓRICO COBROS!A3:F"&amp;COUNTA('HISTÓRICO COBROS'!A:A)),6,FALSE)),"")</f>
        <v/>
      </c>
      <c r="H313" s="138" t="str">
        <f t="shared" ref="H313:I313" si="314">IF(D313="","",D313+F313)</f>
        <v/>
      </c>
      <c r="I313" s="135" t="str">
        <f t="shared" si="314"/>
        <v/>
      </c>
      <c r="J313" s="140" t="str">
        <f t="shared" si="3"/>
        <v/>
      </c>
      <c r="K313" s="140" t="str">
        <f t="shared" si="4"/>
        <v/>
      </c>
    </row>
    <row r="314" ht="22.5" customHeight="1">
      <c r="A314" s="140"/>
      <c r="B314" s="135" t="str">
        <f t="array" ref="B314">IF(A314="","",VLOOKUP(A314,INDIRECT("CXC!A2:B"&amp;COUNTA(CXC!A:A)),2,FALSE))</f>
        <v/>
      </c>
      <c r="C314" s="136" t="str">
        <f t="array" ref="C314">IF(A314="","",VLOOKUP(A314,INDIRECT("CXC!A2:C"&amp;COUNTA(CXC!A:A)),3,FALSE))</f>
        <v/>
      </c>
      <c r="D314" s="137" t="str">
        <f t="array" ref="D314">IF(A314="","",VLOOKUP(A314,INDIRECT("CXC!A2:H"&amp;COUNTA(CXC!A:A)),8,FALSE))</f>
        <v/>
      </c>
      <c r="E314" s="137" t="str">
        <f t="array" ref="E314">IFERROR(IF(A314="","",VLOOKUP(A314,INDIRECT("HISTÓRICO COBROS!A3:E"&amp;COUNTA('HISTÓRICO COBROS'!A:A)),5,FALSE)),"")</f>
        <v/>
      </c>
      <c r="F314" s="137" t="str">
        <f t="array" ref="F314">IF(A314="","",VLOOKUP(A314,INDIRECT("CXC!A2:I"&amp;COUNTA(CXC!A:A)),9,FALSE))</f>
        <v/>
      </c>
      <c r="G314" s="137" t="str">
        <f t="array" ref="G314">IFERROR(IF(A314="","",VLOOKUP(A314,INDIRECT("HISTÓRICO COBROS!A3:F"&amp;COUNTA('HISTÓRICO COBROS'!A:A)),6,FALSE)),"")</f>
        <v/>
      </c>
      <c r="H314" s="138" t="str">
        <f t="shared" ref="H314:I314" si="315">IF(D314="","",D314+F314)</f>
        <v/>
      </c>
      <c r="I314" s="135" t="str">
        <f t="shared" si="315"/>
        <v/>
      </c>
      <c r="J314" s="140" t="str">
        <f t="shared" si="3"/>
        <v/>
      </c>
      <c r="K314" s="140" t="str">
        <f t="shared" si="4"/>
        <v/>
      </c>
    </row>
    <row r="315" ht="22.5" customHeight="1">
      <c r="A315" s="140"/>
      <c r="B315" s="135" t="str">
        <f t="array" ref="B315">IF(A315="","",VLOOKUP(A315,INDIRECT("CXC!A2:B"&amp;COUNTA(CXC!A:A)),2,FALSE))</f>
        <v/>
      </c>
      <c r="C315" s="136" t="str">
        <f t="array" ref="C315">IF(A315="","",VLOOKUP(A315,INDIRECT("CXC!A2:C"&amp;COUNTA(CXC!A:A)),3,FALSE))</f>
        <v/>
      </c>
      <c r="D315" s="137" t="str">
        <f t="array" ref="D315">IF(A315="","",VLOOKUP(A315,INDIRECT("CXC!A2:H"&amp;COUNTA(CXC!A:A)),8,FALSE))</f>
        <v/>
      </c>
      <c r="E315" s="137" t="str">
        <f t="array" ref="E315">IFERROR(IF(A315="","",VLOOKUP(A315,INDIRECT("HISTÓRICO COBROS!A3:E"&amp;COUNTA('HISTÓRICO COBROS'!A:A)),5,FALSE)),"")</f>
        <v/>
      </c>
      <c r="F315" s="137" t="str">
        <f t="array" ref="F315">IF(A315="","",VLOOKUP(A315,INDIRECT("CXC!A2:I"&amp;COUNTA(CXC!A:A)),9,FALSE))</f>
        <v/>
      </c>
      <c r="G315" s="137" t="str">
        <f t="array" ref="G315">IFERROR(IF(A315="","",VLOOKUP(A315,INDIRECT("HISTÓRICO COBROS!A3:F"&amp;COUNTA('HISTÓRICO COBROS'!A:A)),6,FALSE)),"")</f>
        <v/>
      </c>
      <c r="H315" s="138" t="str">
        <f t="shared" ref="H315:I315" si="316">IF(D315="","",D315+F315)</f>
        <v/>
      </c>
      <c r="I315" s="135" t="str">
        <f t="shared" si="316"/>
        <v/>
      </c>
      <c r="J315" s="140" t="str">
        <f t="shared" si="3"/>
        <v/>
      </c>
      <c r="K315" s="140" t="str">
        <f t="shared" si="4"/>
        <v/>
      </c>
    </row>
    <row r="316" ht="22.5" customHeight="1">
      <c r="A316" s="140"/>
      <c r="B316" s="135" t="str">
        <f t="array" ref="B316">IF(A316="","",VLOOKUP(A316,INDIRECT("CXC!A2:B"&amp;COUNTA(CXC!A:A)),2,FALSE))</f>
        <v/>
      </c>
      <c r="C316" s="136" t="str">
        <f t="array" ref="C316">IF(A316="","",VLOOKUP(A316,INDIRECT("CXC!A2:C"&amp;COUNTA(CXC!A:A)),3,FALSE))</f>
        <v/>
      </c>
      <c r="D316" s="137" t="str">
        <f t="array" ref="D316">IF(A316="","",VLOOKUP(A316,INDIRECT("CXC!A2:H"&amp;COUNTA(CXC!A:A)),8,FALSE))</f>
        <v/>
      </c>
      <c r="E316" s="137" t="str">
        <f t="array" ref="E316">IFERROR(IF(A316="","",VLOOKUP(A316,INDIRECT("HISTÓRICO COBROS!A3:E"&amp;COUNTA('HISTÓRICO COBROS'!A:A)),5,FALSE)),"")</f>
        <v/>
      </c>
      <c r="F316" s="137" t="str">
        <f t="array" ref="F316">IF(A316="","",VLOOKUP(A316,INDIRECT("CXC!A2:I"&amp;COUNTA(CXC!A:A)),9,FALSE))</f>
        <v/>
      </c>
      <c r="G316" s="137" t="str">
        <f t="array" ref="G316">IFERROR(IF(A316="","",VLOOKUP(A316,INDIRECT("HISTÓRICO COBROS!A3:F"&amp;COUNTA('HISTÓRICO COBROS'!A:A)),6,FALSE)),"")</f>
        <v/>
      </c>
      <c r="H316" s="138" t="str">
        <f t="shared" ref="H316:I316" si="317">IF(D316="","",D316+F316)</f>
        <v/>
      </c>
      <c r="I316" s="135" t="str">
        <f t="shared" si="317"/>
        <v/>
      </c>
      <c r="J316" s="140" t="str">
        <f t="shared" si="3"/>
        <v/>
      </c>
      <c r="K316" s="140" t="str">
        <f t="shared" si="4"/>
        <v/>
      </c>
    </row>
    <row r="317" ht="22.5" customHeight="1">
      <c r="A317" s="140"/>
      <c r="B317" s="135" t="str">
        <f t="array" ref="B317">IF(A317="","",VLOOKUP(A317,INDIRECT("CXC!A2:B"&amp;COUNTA(CXC!A:A)),2,FALSE))</f>
        <v/>
      </c>
      <c r="C317" s="136" t="str">
        <f t="array" ref="C317">IF(A317="","",VLOOKUP(A317,INDIRECT("CXC!A2:C"&amp;COUNTA(CXC!A:A)),3,FALSE))</f>
        <v/>
      </c>
      <c r="D317" s="137" t="str">
        <f t="array" ref="D317">IF(A317="","",VLOOKUP(A317,INDIRECT("CXC!A2:H"&amp;COUNTA(CXC!A:A)),8,FALSE))</f>
        <v/>
      </c>
      <c r="E317" s="137" t="str">
        <f t="array" ref="E317">IFERROR(IF(A317="","",VLOOKUP(A317,INDIRECT("HISTÓRICO COBROS!A3:E"&amp;COUNTA('HISTÓRICO COBROS'!A:A)),5,FALSE)),"")</f>
        <v/>
      </c>
      <c r="F317" s="137" t="str">
        <f t="array" ref="F317">IF(A317="","",VLOOKUP(A317,INDIRECT("CXC!A2:I"&amp;COUNTA(CXC!A:A)),9,FALSE))</f>
        <v/>
      </c>
      <c r="G317" s="137" t="str">
        <f t="array" ref="G317">IFERROR(IF(A317="","",VLOOKUP(A317,INDIRECT("HISTÓRICO COBROS!A3:F"&amp;COUNTA('HISTÓRICO COBROS'!A:A)),6,FALSE)),"")</f>
        <v/>
      </c>
      <c r="H317" s="138" t="str">
        <f t="shared" ref="H317:I317" si="318">IF(D317="","",D317+F317)</f>
        <v/>
      </c>
      <c r="I317" s="135" t="str">
        <f t="shared" si="318"/>
        <v/>
      </c>
      <c r="J317" s="140" t="str">
        <f t="shared" si="3"/>
        <v/>
      </c>
      <c r="K317" s="140" t="str">
        <f t="shared" si="4"/>
        <v/>
      </c>
    </row>
    <row r="318" ht="22.5" customHeight="1">
      <c r="A318" s="140"/>
      <c r="B318" s="135" t="str">
        <f t="array" ref="B318">IF(A318="","",VLOOKUP(A318,INDIRECT("CXC!A2:B"&amp;COUNTA(CXC!A:A)),2,FALSE))</f>
        <v/>
      </c>
      <c r="C318" s="136" t="str">
        <f t="array" ref="C318">IF(A318="","",VLOOKUP(A318,INDIRECT("CXC!A2:C"&amp;COUNTA(CXC!A:A)),3,FALSE))</f>
        <v/>
      </c>
      <c r="D318" s="137" t="str">
        <f t="array" ref="D318">IF(A318="","",VLOOKUP(A318,INDIRECT("CXC!A2:H"&amp;COUNTA(CXC!A:A)),8,FALSE))</f>
        <v/>
      </c>
      <c r="E318" s="137" t="str">
        <f t="array" ref="E318">IFERROR(IF(A318="","",VLOOKUP(A318,INDIRECT("HISTÓRICO COBROS!A3:E"&amp;COUNTA('HISTÓRICO COBROS'!A:A)),5,FALSE)),"")</f>
        <v/>
      </c>
      <c r="F318" s="137" t="str">
        <f t="array" ref="F318">IF(A318="","",VLOOKUP(A318,INDIRECT("CXC!A2:I"&amp;COUNTA(CXC!A:A)),9,FALSE))</f>
        <v/>
      </c>
      <c r="G318" s="137" t="str">
        <f t="array" ref="G318">IFERROR(IF(A318="","",VLOOKUP(A318,INDIRECT("HISTÓRICO COBROS!A3:F"&amp;COUNTA('HISTÓRICO COBROS'!A:A)),6,FALSE)),"")</f>
        <v/>
      </c>
      <c r="H318" s="138" t="str">
        <f t="shared" ref="H318:I318" si="319">IF(D318="","",D318+F318)</f>
        <v/>
      </c>
      <c r="I318" s="135" t="str">
        <f t="shared" si="319"/>
        <v/>
      </c>
      <c r="J318" s="140" t="str">
        <f t="shared" si="3"/>
        <v/>
      </c>
      <c r="K318" s="140" t="str">
        <f t="shared" si="4"/>
        <v/>
      </c>
    </row>
    <row r="319" ht="22.5" customHeight="1">
      <c r="A319" s="140"/>
      <c r="B319" s="135" t="str">
        <f t="array" ref="B319">IF(A319="","",VLOOKUP(A319,INDIRECT("CXC!A2:B"&amp;COUNTA(CXC!A:A)),2,FALSE))</f>
        <v/>
      </c>
      <c r="C319" s="136" t="str">
        <f t="array" ref="C319">IF(A319="","",VLOOKUP(A319,INDIRECT("CXC!A2:C"&amp;COUNTA(CXC!A:A)),3,FALSE))</f>
        <v/>
      </c>
      <c r="D319" s="137" t="str">
        <f t="array" ref="D319">IF(A319="","",VLOOKUP(A319,INDIRECT("CXC!A2:H"&amp;COUNTA(CXC!A:A)),8,FALSE))</f>
        <v/>
      </c>
      <c r="E319" s="137" t="str">
        <f t="array" ref="E319">IFERROR(IF(A319="","",VLOOKUP(A319,INDIRECT("HISTÓRICO COBROS!A3:E"&amp;COUNTA('HISTÓRICO COBROS'!A:A)),5,FALSE)),"")</f>
        <v/>
      </c>
      <c r="F319" s="137" t="str">
        <f t="array" ref="F319">IF(A319="","",VLOOKUP(A319,INDIRECT("CXC!A2:I"&amp;COUNTA(CXC!A:A)),9,FALSE))</f>
        <v/>
      </c>
      <c r="G319" s="137" t="str">
        <f t="array" ref="G319">IFERROR(IF(A319="","",VLOOKUP(A319,INDIRECT("HISTÓRICO COBROS!A3:F"&amp;COUNTA('HISTÓRICO COBROS'!A:A)),6,FALSE)),"")</f>
        <v/>
      </c>
      <c r="H319" s="138" t="str">
        <f t="shared" ref="H319:I319" si="320">IF(D319="","",D319+F319)</f>
        <v/>
      </c>
      <c r="I319" s="135" t="str">
        <f t="shared" si="320"/>
        <v/>
      </c>
      <c r="J319" s="140" t="str">
        <f t="shared" si="3"/>
        <v/>
      </c>
      <c r="K319" s="140" t="str">
        <f t="shared" si="4"/>
        <v/>
      </c>
    </row>
    <row r="320" ht="22.5" customHeight="1">
      <c r="A320" s="140"/>
      <c r="B320" s="135" t="str">
        <f t="array" ref="B320">IF(A320="","",VLOOKUP(A320,INDIRECT("CXC!A2:B"&amp;COUNTA(CXC!A:A)),2,FALSE))</f>
        <v/>
      </c>
      <c r="C320" s="136" t="str">
        <f t="array" ref="C320">IF(A320="","",VLOOKUP(A320,INDIRECT("CXC!A2:C"&amp;COUNTA(CXC!A:A)),3,FALSE))</f>
        <v/>
      </c>
      <c r="D320" s="137" t="str">
        <f t="array" ref="D320">IF(A320="","",VLOOKUP(A320,INDIRECT("CXC!A2:H"&amp;COUNTA(CXC!A:A)),8,FALSE))</f>
        <v/>
      </c>
      <c r="E320" s="137" t="str">
        <f t="array" ref="E320">IFERROR(IF(A320="","",VLOOKUP(A320,INDIRECT("HISTÓRICO COBROS!A3:E"&amp;COUNTA('HISTÓRICO COBROS'!A:A)),5,FALSE)),"")</f>
        <v/>
      </c>
      <c r="F320" s="137" t="str">
        <f t="array" ref="F320">IF(A320="","",VLOOKUP(A320,INDIRECT("CXC!A2:I"&amp;COUNTA(CXC!A:A)),9,FALSE))</f>
        <v/>
      </c>
      <c r="G320" s="137" t="str">
        <f t="array" ref="G320">IFERROR(IF(A320="","",VLOOKUP(A320,INDIRECT("HISTÓRICO COBROS!A3:F"&amp;COUNTA('HISTÓRICO COBROS'!A:A)),6,FALSE)),"")</f>
        <v/>
      </c>
      <c r="H320" s="138" t="str">
        <f t="shared" ref="H320:I320" si="321">IF(D320="","",D320+F320)</f>
        <v/>
      </c>
      <c r="I320" s="135" t="str">
        <f t="shared" si="321"/>
        <v/>
      </c>
      <c r="J320" s="140" t="str">
        <f t="shared" si="3"/>
        <v/>
      </c>
      <c r="K320" s="140" t="str">
        <f t="shared" si="4"/>
        <v/>
      </c>
    </row>
    <row r="321" ht="22.5" customHeight="1">
      <c r="A321" s="140"/>
      <c r="B321" s="135" t="str">
        <f t="array" ref="B321">IF(A321="","",VLOOKUP(A321,INDIRECT("CXC!A2:B"&amp;COUNTA(CXC!A:A)),2,FALSE))</f>
        <v/>
      </c>
      <c r="C321" s="136" t="str">
        <f t="array" ref="C321">IF(A321="","",VLOOKUP(A321,INDIRECT("CXC!A2:C"&amp;COUNTA(CXC!A:A)),3,FALSE))</f>
        <v/>
      </c>
      <c r="D321" s="137" t="str">
        <f t="array" ref="D321">IF(A321="","",VLOOKUP(A321,INDIRECT("CXC!A2:H"&amp;COUNTA(CXC!A:A)),8,FALSE))</f>
        <v/>
      </c>
      <c r="E321" s="137" t="str">
        <f t="array" ref="E321">IFERROR(IF(A321="","",VLOOKUP(A321,INDIRECT("HISTÓRICO COBROS!A3:E"&amp;COUNTA('HISTÓRICO COBROS'!A:A)),5,FALSE)),"")</f>
        <v/>
      </c>
      <c r="F321" s="137" t="str">
        <f t="array" ref="F321">IF(A321="","",VLOOKUP(A321,INDIRECT("CXC!A2:I"&amp;COUNTA(CXC!A:A)),9,FALSE))</f>
        <v/>
      </c>
      <c r="G321" s="137" t="str">
        <f t="array" ref="G321">IFERROR(IF(A321="","",VLOOKUP(A321,INDIRECT("HISTÓRICO COBROS!A3:F"&amp;COUNTA('HISTÓRICO COBROS'!A:A)),6,FALSE)),"")</f>
        <v/>
      </c>
      <c r="H321" s="138" t="str">
        <f t="shared" ref="H321:I321" si="322">IF(D321="","",D321+F321)</f>
        <v/>
      </c>
      <c r="I321" s="135" t="str">
        <f t="shared" si="322"/>
        <v/>
      </c>
      <c r="J321" s="140" t="str">
        <f t="shared" si="3"/>
        <v/>
      </c>
      <c r="K321" s="140" t="str">
        <f t="shared" si="4"/>
        <v/>
      </c>
    </row>
    <row r="322" ht="22.5" customHeight="1">
      <c r="A322" s="140"/>
      <c r="B322" s="135" t="str">
        <f t="array" ref="B322">IF(A322="","",VLOOKUP(A322,INDIRECT("CXC!A2:B"&amp;COUNTA(CXC!A:A)),2,FALSE))</f>
        <v/>
      </c>
      <c r="C322" s="136" t="str">
        <f t="array" ref="C322">IF(A322="","",VLOOKUP(A322,INDIRECT("CXC!A2:C"&amp;COUNTA(CXC!A:A)),3,FALSE))</f>
        <v/>
      </c>
      <c r="D322" s="137" t="str">
        <f t="array" ref="D322">IF(A322="","",VLOOKUP(A322,INDIRECT("CXC!A2:H"&amp;COUNTA(CXC!A:A)),8,FALSE))</f>
        <v/>
      </c>
      <c r="E322" s="137" t="str">
        <f t="array" ref="E322">IFERROR(IF(A322="","",VLOOKUP(A322,INDIRECT("HISTÓRICO COBROS!A3:E"&amp;COUNTA('HISTÓRICO COBROS'!A:A)),5,FALSE)),"")</f>
        <v/>
      </c>
      <c r="F322" s="137" t="str">
        <f t="array" ref="F322">IF(A322="","",VLOOKUP(A322,INDIRECT("CXC!A2:I"&amp;COUNTA(CXC!A:A)),9,FALSE))</f>
        <v/>
      </c>
      <c r="G322" s="137" t="str">
        <f t="array" ref="G322">IFERROR(IF(A322="","",VLOOKUP(A322,INDIRECT("HISTÓRICO COBROS!A3:F"&amp;COUNTA('HISTÓRICO COBROS'!A:A)),6,FALSE)),"")</f>
        <v/>
      </c>
      <c r="H322" s="138" t="str">
        <f t="shared" ref="H322:I322" si="323">IF(D322="","",D322+F322)</f>
        <v/>
      </c>
      <c r="I322" s="135" t="str">
        <f t="shared" si="323"/>
        <v/>
      </c>
      <c r="J322" s="140" t="str">
        <f t="shared" si="3"/>
        <v/>
      </c>
      <c r="K322" s="140" t="str">
        <f t="shared" si="4"/>
        <v/>
      </c>
    </row>
    <row r="323" ht="22.5" customHeight="1">
      <c r="A323" s="140"/>
      <c r="B323" s="135" t="str">
        <f t="array" ref="B323">IF(A323="","",VLOOKUP(A323,INDIRECT("CXC!A2:B"&amp;COUNTA(CXC!A:A)),2,FALSE))</f>
        <v/>
      </c>
      <c r="C323" s="136" t="str">
        <f t="array" ref="C323">IF(A323="","",VLOOKUP(A323,INDIRECT("CXC!A2:C"&amp;COUNTA(CXC!A:A)),3,FALSE))</f>
        <v/>
      </c>
      <c r="D323" s="137" t="str">
        <f t="array" ref="D323">IF(A323="","",VLOOKUP(A323,INDIRECT("CXC!A2:H"&amp;COUNTA(CXC!A:A)),8,FALSE))</f>
        <v/>
      </c>
      <c r="E323" s="137" t="str">
        <f t="array" ref="E323">IFERROR(IF(A323="","",VLOOKUP(A323,INDIRECT("HISTÓRICO COBROS!A3:E"&amp;COUNTA('HISTÓRICO COBROS'!A:A)),5,FALSE)),"")</f>
        <v/>
      </c>
      <c r="F323" s="137" t="str">
        <f t="array" ref="F323">IF(A323="","",VLOOKUP(A323,INDIRECT("CXC!A2:I"&amp;COUNTA(CXC!A:A)),9,FALSE))</f>
        <v/>
      </c>
      <c r="G323" s="137" t="str">
        <f t="array" ref="G323">IFERROR(IF(A323="","",VLOOKUP(A323,INDIRECT("HISTÓRICO COBROS!A3:F"&amp;COUNTA('HISTÓRICO COBROS'!A:A)),6,FALSE)),"")</f>
        <v/>
      </c>
      <c r="H323" s="138" t="str">
        <f t="shared" ref="H323:I323" si="324">IF(D323="","",D323+F323)</f>
        <v/>
      </c>
      <c r="I323" s="135" t="str">
        <f t="shared" si="324"/>
        <v/>
      </c>
      <c r="J323" s="140" t="str">
        <f t="shared" si="3"/>
        <v/>
      </c>
      <c r="K323" s="140" t="str">
        <f t="shared" si="4"/>
        <v/>
      </c>
    </row>
    <row r="324" ht="22.5" customHeight="1">
      <c r="A324" s="140"/>
      <c r="B324" s="135" t="str">
        <f t="array" ref="B324">IF(A324="","",VLOOKUP(A324,INDIRECT("CXC!A2:B"&amp;COUNTA(CXC!A:A)),2,FALSE))</f>
        <v/>
      </c>
      <c r="C324" s="136" t="str">
        <f t="array" ref="C324">IF(A324="","",VLOOKUP(A324,INDIRECT("CXC!A2:C"&amp;COUNTA(CXC!A:A)),3,FALSE))</f>
        <v/>
      </c>
      <c r="D324" s="137" t="str">
        <f t="array" ref="D324">IF(A324="","",VLOOKUP(A324,INDIRECT("CXC!A2:H"&amp;COUNTA(CXC!A:A)),8,FALSE))</f>
        <v/>
      </c>
      <c r="E324" s="137" t="str">
        <f t="array" ref="E324">IFERROR(IF(A324="","",VLOOKUP(A324,INDIRECT("HISTÓRICO COBROS!A3:E"&amp;COUNTA('HISTÓRICO COBROS'!A:A)),5,FALSE)),"")</f>
        <v/>
      </c>
      <c r="F324" s="137" t="str">
        <f t="array" ref="F324">IF(A324="","",VLOOKUP(A324,INDIRECT("CXC!A2:I"&amp;COUNTA(CXC!A:A)),9,FALSE))</f>
        <v/>
      </c>
      <c r="G324" s="137" t="str">
        <f t="array" ref="G324">IFERROR(IF(A324="","",VLOOKUP(A324,INDIRECT("HISTÓRICO COBROS!A3:F"&amp;COUNTA('HISTÓRICO COBROS'!A:A)),6,FALSE)),"")</f>
        <v/>
      </c>
      <c r="H324" s="138" t="str">
        <f t="shared" ref="H324:I324" si="325">IF(D324="","",D324+F324)</f>
        <v/>
      </c>
      <c r="I324" s="135" t="str">
        <f t="shared" si="325"/>
        <v/>
      </c>
      <c r="J324" s="140" t="str">
        <f t="shared" si="3"/>
        <v/>
      </c>
      <c r="K324" s="140" t="str">
        <f t="shared" si="4"/>
        <v/>
      </c>
    </row>
    <row r="325" ht="22.5" customHeight="1">
      <c r="A325" s="140"/>
      <c r="B325" s="135" t="str">
        <f t="array" ref="B325">IF(A325="","",VLOOKUP(A325,INDIRECT("CXC!A2:B"&amp;COUNTA(CXC!A:A)),2,FALSE))</f>
        <v/>
      </c>
      <c r="C325" s="136" t="str">
        <f t="array" ref="C325">IF(A325="","",VLOOKUP(A325,INDIRECT("CXC!A2:C"&amp;COUNTA(CXC!A:A)),3,FALSE))</f>
        <v/>
      </c>
      <c r="D325" s="137" t="str">
        <f t="array" ref="D325">IF(A325="","",VLOOKUP(A325,INDIRECT("CXC!A2:H"&amp;COUNTA(CXC!A:A)),8,FALSE))</f>
        <v/>
      </c>
      <c r="E325" s="137" t="str">
        <f t="array" ref="E325">IFERROR(IF(A325="","",VLOOKUP(A325,INDIRECT("HISTÓRICO COBROS!A3:E"&amp;COUNTA('HISTÓRICO COBROS'!A:A)),5,FALSE)),"")</f>
        <v/>
      </c>
      <c r="F325" s="137" t="str">
        <f t="array" ref="F325">IF(A325="","",VLOOKUP(A325,INDIRECT("CXC!A2:I"&amp;COUNTA(CXC!A:A)),9,FALSE))</f>
        <v/>
      </c>
      <c r="G325" s="137" t="str">
        <f t="array" ref="G325">IFERROR(IF(A325="","",VLOOKUP(A325,INDIRECT("HISTÓRICO COBROS!A3:F"&amp;COUNTA('HISTÓRICO COBROS'!A:A)),6,FALSE)),"")</f>
        <v/>
      </c>
      <c r="H325" s="138" t="str">
        <f t="shared" ref="H325:I325" si="326">IF(D325="","",D325+F325)</f>
        <v/>
      </c>
      <c r="I325" s="135" t="str">
        <f t="shared" si="326"/>
        <v/>
      </c>
      <c r="J325" s="140" t="str">
        <f t="shared" si="3"/>
        <v/>
      </c>
      <c r="K325" s="140" t="str">
        <f t="shared" si="4"/>
        <v/>
      </c>
    </row>
    <row r="326" ht="22.5" customHeight="1">
      <c r="A326" s="140"/>
      <c r="B326" s="135" t="str">
        <f t="array" ref="B326">IF(A326="","",VLOOKUP(A326,INDIRECT("CXC!A2:B"&amp;COUNTA(CXC!A:A)),2,FALSE))</f>
        <v/>
      </c>
      <c r="C326" s="136" t="str">
        <f t="array" ref="C326">IF(A326="","",VLOOKUP(A326,INDIRECT("CXC!A2:C"&amp;COUNTA(CXC!A:A)),3,FALSE))</f>
        <v/>
      </c>
      <c r="D326" s="137" t="str">
        <f t="array" ref="D326">IF(A326="","",VLOOKUP(A326,INDIRECT("CXC!A2:H"&amp;COUNTA(CXC!A:A)),8,FALSE))</f>
        <v/>
      </c>
      <c r="E326" s="137" t="str">
        <f t="array" ref="E326">IFERROR(IF(A326="","",VLOOKUP(A326,INDIRECT("HISTÓRICO COBROS!A3:E"&amp;COUNTA('HISTÓRICO COBROS'!A:A)),5,FALSE)),"")</f>
        <v/>
      </c>
      <c r="F326" s="137" t="str">
        <f t="array" ref="F326">IF(A326="","",VLOOKUP(A326,INDIRECT("CXC!A2:I"&amp;COUNTA(CXC!A:A)),9,FALSE))</f>
        <v/>
      </c>
      <c r="G326" s="137" t="str">
        <f t="array" ref="G326">IFERROR(IF(A326="","",VLOOKUP(A326,INDIRECT("HISTÓRICO COBROS!A3:F"&amp;COUNTA('HISTÓRICO COBROS'!A:A)),6,FALSE)),"")</f>
        <v/>
      </c>
      <c r="H326" s="138" t="str">
        <f t="shared" ref="H326:I326" si="327">IF(D326="","",D326+F326)</f>
        <v/>
      </c>
      <c r="I326" s="135" t="str">
        <f t="shared" si="327"/>
        <v/>
      </c>
      <c r="J326" s="140" t="str">
        <f t="shared" si="3"/>
        <v/>
      </c>
      <c r="K326" s="140" t="str">
        <f t="shared" si="4"/>
        <v/>
      </c>
    </row>
    <row r="327" ht="22.5" customHeight="1">
      <c r="A327" s="140"/>
      <c r="B327" s="135" t="str">
        <f t="array" ref="B327">IF(A327="","",VLOOKUP(A327,INDIRECT("CXC!A2:B"&amp;COUNTA(CXC!A:A)),2,FALSE))</f>
        <v/>
      </c>
      <c r="C327" s="136" t="str">
        <f t="array" ref="C327">IF(A327="","",VLOOKUP(A327,INDIRECT("CXC!A2:C"&amp;COUNTA(CXC!A:A)),3,FALSE))</f>
        <v/>
      </c>
      <c r="D327" s="137" t="str">
        <f t="array" ref="D327">IF(A327="","",VLOOKUP(A327,INDIRECT("CXC!A2:H"&amp;COUNTA(CXC!A:A)),8,FALSE))</f>
        <v/>
      </c>
      <c r="E327" s="137" t="str">
        <f t="array" ref="E327">IFERROR(IF(A327="","",VLOOKUP(A327,INDIRECT("HISTÓRICO COBROS!A3:E"&amp;COUNTA('HISTÓRICO COBROS'!A:A)),5,FALSE)),"")</f>
        <v/>
      </c>
      <c r="F327" s="137" t="str">
        <f t="array" ref="F327">IF(A327="","",VLOOKUP(A327,INDIRECT("CXC!A2:I"&amp;COUNTA(CXC!A:A)),9,FALSE))</f>
        <v/>
      </c>
      <c r="G327" s="137" t="str">
        <f t="array" ref="G327">IFERROR(IF(A327="","",VLOOKUP(A327,INDIRECT("HISTÓRICO COBROS!A3:F"&amp;COUNTA('HISTÓRICO COBROS'!A:A)),6,FALSE)),"")</f>
        <v/>
      </c>
      <c r="H327" s="138" t="str">
        <f t="shared" ref="H327:I327" si="328">IF(D327="","",D327+F327)</f>
        <v/>
      </c>
      <c r="I327" s="135" t="str">
        <f t="shared" si="328"/>
        <v/>
      </c>
      <c r="J327" s="140" t="str">
        <f t="shared" si="3"/>
        <v/>
      </c>
      <c r="K327" s="140" t="str">
        <f t="shared" si="4"/>
        <v/>
      </c>
    </row>
    <row r="328" ht="22.5" customHeight="1">
      <c r="A328" s="140"/>
      <c r="B328" s="135" t="str">
        <f t="array" ref="B328">IF(A328="","",VLOOKUP(A328,INDIRECT("CXC!A2:B"&amp;COUNTA(CXC!A:A)),2,FALSE))</f>
        <v/>
      </c>
      <c r="C328" s="136" t="str">
        <f t="array" ref="C328">IF(A328="","",VLOOKUP(A328,INDIRECT("CXC!A2:C"&amp;COUNTA(CXC!A:A)),3,FALSE))</f>
        <v/>
      </c>
      <c r="D328" s="137" t="str">
        <f t="array" ref="D328">IF(A328="","",VLOOKUP(A328,INDIRECT("CXC!A2:H"&amp;COUNTA(CXC!A:A)),8,FALSE))</f>
        <v/>
      </c>
      <c r="E328" s="137" t="str">
        <f t="array" ref="E328">IFERROR(IF(A328="","",VLOOKUP(A328,INDIRECT("HISTÓRICO COBROS!A3:E"&amp;COUNTA('HISTÓRICO COBROS'!A:A)),5,FALSE)),"")</f>
        <v/>
      </c>
      <c r="F328" s="137" t="str">
        <f t="array" ref="F328">IF(A328="","",VLOOKUP(A328,INDIRECT("CXC!A2:I"&amp;COUNTA(CXC!A:A)),9,FALSE))</f>
        <v/>
      </c>
      <c r="G328" s="137" t="str">
        <f t="array" ref="G328">IFERROR(IF(A328="","",VLOOKUP(A328,INDIRECT("HISTÓRICO COBROS!A3:F"&amp;COUNTA('HISTÓRICO COBROS'!A:A)),6,FALSE)),"")</f>
        <v/>
      </c>
      <c r="H328" s="138" t="str">
        <f t="shared" ref="H328:I328" si="329">IF(D328="","",D328+F328)</f>
        <v/>
      </c>
      <c r="I328" s="135" t="str">
        <f t="shared" si="329"/>
        <v/>
      </c>
      <c r="J328" s="140" t="str">
        <f t="shared" si="3"/>
        <v/>
      </c>
      <c r="K328" s="140" t="str">
        <f t="shared" si="4"/>
        <v/>
      </c>
    </row>
    <row r="329" ht="22.5" customHeight="1">
      <c r="A329" s="140"/>
      <c r="B329" s="135" t="str">
        <f t="array" ref="B329">IF(A329="","",VLOOKUP(A329,INDIRECT("CXC!A2:B"&amp;COUNTA(CXC!A:A)),2,FALSE))</f>
        <v/>
      </c>
      <c r="C329" s="136" t="str">
        <f t="array" ref="C329">IF(A329="","",VLOOKUP(A329,INDIRECT("CXC!A2:C"&amp;COUNTA(CXC!A:A)),3,FALSE))</f>
        <v/>
      </c>
      <c r="D329" s="137" t="str">
        <f t="array" ref="D329">IF(A329="","",VLOOKUP(A329,INDIRECT("CXC!A2:H"&amp;COUNTA(CXC!A:A)),8,FALSE))</f>
        <v/>
      </c>
      <c r="E329" s="137" t="str">
        <f t="array" ref="E329">IFERROR(IF(A329="","",VLOOKUP(A329,INDIRECT("HISTÓRICO COBROS!A3:E"&amp;COUNTA('HISTÓRICO COBROS'!A:A)),5,FALSE)),"")</f>
        <v/>
      </c>
      <c r="F329" s="137" t="str">
        <f t="array" ref="F329">IF(A329="","",VLOOKUP(A329,INDIRECT("CXC!A2:I"&amp;COUNTA(CXC!A:A)),9,FALSE))</f>
        <v/>
      </c>
      <c r="G329" s="137" t="str">
        <f t="array" ref="G329">IFERROR(IF(A329="","",VLOOKUP(A329,INDIRECT("HISTÓRICO COBROS!A3:F"&amp;COUNTA('HISTÓRICO COBROS'!A:A)),6,FALSE)),"")</f>
        <v/>
      </c>
      <c r="H329" s="138" t="str">
        <f t="shared" ref="H329:I329" si="330">IF(D329="","",D329+F329)</f>
        <v/>
      </c>
      <c r="I329" s="135" t="str">
        <f t="shared" si="330"/>
        <v/>
      </c>
      <c r="J329" s="140" t="str">
        <f t="shared" si="3"/>
        <v/>
      </c>
      <c r="K329" s="140" t="str">
        <f t="shared" si="4"/>
        <v/>
      </c>
    </row>
    <row r="330" ht="22.5" customHeight="1">
      <c r="A330" s="140"/>
      <c r="B330" s="135" t="str">
        <f t="array" ref="B330">IF(A330="","",VLOOKUP(A330,INDIRECT("CXC!A2:B"&amp;COUNTA(CXC!A:A)),2,FALSE))</f>
        <v/>
      </c>
      <c r="C330" s="136" t="str">
        <f t="array" ref="C330">IF(A330="","",VLOOKUP(A330,INDIRECT("CXC!A2:C"&amp;COUNTA(CXC!A:A)),3,FALSE))</f>
        <v/>
      </c>
      <c r="D330" s="137" t="str">
        <f t="array" ref="D330">IF(A330="","",VLOOKUP(A330,INDIRECT("CXC!A2:H"&amp;COUNTA(CXC!A:A)),8,FALSE))</f>
        <v/>
      </c>
      <c r="E330" s="137" t="str">
        <f t="array" ref="E330">IFERROR(IF(A330="","",VLOOKUP(A330,INDIRECT("HISTÓRICO COBROS!A3:E"&amp;COUNTA('HISTÓRICO COBROS'!A:A)),5,FALSE)),"")</f>
        <v/>
      </c>
      <c r="F330" s="137" t="str">
        <f t="array" ref="F330">IF(A330="","",VLOOKUP(A330,INDIRECT("CXC!A2:I"&amp;COUNTA(CXC!A:A)),9,FALSE))</f>
        <v/>
      </c>
      <c r="G330" s="137" t="str">
        <f t="array" ref="G330">IFERROR(IF(A330="","",VLOOKUP(A330,INDIRECT("HISTÓRICO COBROS!A3:F"&amp;COUNTA('HISTÓRICO COBROS'!A:A)),6,FALSE)),"")</f>
        <v/>
      </c>
      <c r="H330" s="138" t="str">
        <f t="shared" ref="H330:I330" si="331">IF(D330="","",D330+F330)</f>
        <v/>
      </c>
      <c r="I330" s="135" t="str">
        <f t="shared" si="331"/>
        <v/>
      </c>
      <c r="J330" s="140" t="str">
        <f t="shared" si="3"/>
        <v/>
      </c>
      <c r="K330" s="140" t="str">
        <f t="shared" si="4"/>
        <v/>
      </c>
    </row>
    <row r="331" ht="22.5" customHeight="1">
      <c r="A331" s="140"/>
      <c r="B331" s="135" t="str">
        <f t="array" ref="B331">IF(A331="","",VLOOKUP(A331,INDIRECT("CXC!A2:B"&amp;COUNTA(CXC!A:A)),2,FALSE))</f>
        <v/>
      </c>
      <c r="C331" s="136" t="str">
        <f t="array" ref="C331">IF(A331="","",VLOOKUP(A331,INDIRECT("CXC!A2:C"&amp;COUNTA(CXC!A:A)),3,FALSE))</f>
        <v/>
      </c>
      <c r="D331" s="137" t="str">
        <f t="array" ref="D331">IF(A331="","",VLOOKUP(A331,INDIRECT("CXC!A2:H"&amp;COUNTA(CXC!A:A)),8,FALSE))</f>
        <v/>
      </c>
      <c r="E331" s="137" t="str">
        <f t="array" ref="E331">IFERROR(IF(A331="","",VLOOKUP(A331,INDIRECT("HISTÓRICO COBROS!A3:E"&amp;COUNTA('HISTÓRICO COBROS'!A:A)),5,FALSE)),"")</f>
        <v/>
      </c>
      <c r="F331" s="137" t="str">
        <f t="array" ref="F331">IF(A331="","",VLOOKUP(A331,INDIRECT("CXC!A2:I"&amp;COUNTA(CXC!A:A)),9,FALSE))</f>
        <v/>
      </c>
      <c r="G331" s="137" t="str">
        <f t="array" ref="G331">IFERROR(IF(A331="","",VLOOKUP(A331,INDIRECT("HISTÓRICO COBROS!A3:F"&amp;COUNTA('HISTÓRICO COBROS'!A:A)),6,FALSE)),"")</f>
        <v/>
      </c>
      <c r="H331" s="138" t="str">
        <f t="shared" ref="H331:I331" si="332">IF(D331="","",D331+F331)</f>
        <v/>
      </c>
      <c r="I331" s="135" t="str">
        <f t="shared" si="332"/>
        <v/>
      </c>
      <c r="J331" s="140" t="str">
        <f t="shared" si="3"/>
        <v/>
      </c>
      <c r="K331" s="140" t="str">
        <f t="shared" si="4"/>
        <v/>
      </c>
    </row>
    <row r="332" ht="22.5" customHeight="1">
      <c r="A332" s="140"/>
      <c r="B332" s="135" t="str">
        <f t="array" ref="B332">IF(A332="","",VLOOKUP(A332,INDIRECT("CXC!A2:B"&amp;COUNTA(CXC!A:A)),2,FALSE))</f>
        <v/>
      </c>
      <c r="C332" s="136" t="str">
        <f t="array" ref="C332">IF(A332="","",VLOOKUP(A332,INDIRECT("CXC!A2:C"&amp;COUNTA(CXC!A:A)),3,FALSE))</f>
        <v/>
      </c>
      <c r="D332" s="137" t="str">
        <f t="array" ref="D332">IF(A332="","",VLOOKUP(A332,INDIRECT("CXC!A2:H"&amp;COUNTA(CXC!A:A)),8,FALSE))</f>
        <v/>
      </c>
      <c r="E332" s="137" t="str">
        <f t="array" ref="E332">IFERROR(IF(A332="","",VLOOKUP(A332,INDIRECT("HISTÓRICO COBROS!A3:E"&amp;COUNTA('HISTÓRICO COBROS'!A:A)),5,FALSE)),"")</f>
        <v/>
      </c>
      <c r="F332" s="137" t="str">
        <f t="array" ref="F332">IF(A332="","",VLOOKUP(A332,INDIRECT("CXC!A2:I"&amp;COUNTA(CXC!A:A)),9,FALSE))</f>
        <v/>
      </c>
      <c r="G332" s="137" t="str">
        <f t="array" ref="G332">IFERROR(IF(A332="","",VLOOKUP(A332,INDIRECT("HISTÓRICO COBROS!A3:F"&amp;COUNTA('HISTÓRICO COBROS'!A:A)),6,FALSE)),"")</f>
        <v/>
      </c>
      <c r="H332" s="138" t="str">
        <f t="shared" ref="H332:I332" si="333">IF(D332="","",D332+F332)</f>
        <v/>
      </c>
      <c r="I332" s="135" t="str">
        <f t="shared" si="333"/>
        <v/>
      </c>
      <c r="J332" s="140" t="str">
        <f t="shared" si="3"/>
        <v/>
      </c>
      <c r="K332" s="140" t="str">
        <f t="shared" si="4"/>
        <v/>
      </c>
    </row>
    <row r="333" ht="22.5" customHeight="1">
      <c r="A333" s="140"/>
      <c r="B333" s="135" t="str">
        <f t="array" ref="B333">IF(A333="","",VLOOKUP(A333,INDIRECT("CXC!A2:B"&amp;COUNTA(CXC!A:A)),2,FALSE))</f>
        <v/>
      </c>
      <c r="C333" s="136" t="str">
        <f t="array" ref="C333">IF(A333="","",VLOOKUP(A333,INDIRECT("CXC!A2:C"&amp;COUNTA(CXC!A:A)),3,FALSE))</f>
        <v/>
      </c>
      <c r="D333" s="137" t="str">
        <f t="array" ref="D333">IF(A333="","",VLOOKUP(A333,INDIRECT("CXC!A2:H"&amp;COUNTA(CXC!A:A)),8,FALSE))</f>
        <v/>
      </c>
      <c r="E333" s="137" t="str">
        <f t="array" ref="E333">IFERROR(IF(A333="","",VLOOKUP(A333,INDIRECT("HISTÓRICO COBROS!A3:E"&amp;COUNTA('HISTÓRICO COBROS'!A:A)),5,FALSE)),"")</f>
        <v/>
      </c>
      <c r="F333" s="137" t="str">
        <f t="array" ref="F333">IF(A333="","",VLOOKUP(A333,INDIRECT("CXC!A2:I"&amp;COUNTA(CXC!A:A)),9,FALSE))</f>
        <v/>
      </c>
      <c r="G333" s="137" t="str">
        <f t="array" ref="G333">IFERROR(IF(A333="","",VLOOKUP(A333,INDIRECT("HISTÓRICO COBROS!A3:F"&amp;COUNTA('HISTÓRICO COBROS'!A:A)),6,FALSE)),"")</f>
        <v/>
      </c>
      <c r="H333" s="138" t="str">
        <f t="shared" ref="H333:I333" si="334">IF(D333="","",D333+F333)</f>
        <v/>
      </c>
      <c r="I333" s="135" t="str">
        <f t="shared" si="334"/>
        <v/>
      </c>
      <c r="J333" s="140" t="str">
        <f t="shared" si="3"/>
        <v/>
      </c>
      <c r="K333" s="140" t="str">
        <f t="shared" si="4"/>
        <v/>
      </c>
    </row>
    <row r="334" ht="22.5" customHeight="1">
      <c r="A334" s="140"/>
      <c r="B334" s="135" t="str">
        <f t="array" ref="B334">IF(A334="","",VLOOKUP(A334,INDIRECT("CXC!A2:B"&amp;COUNTA(CXC!A:A)),2,FALSE))</f>
        <v/>
      </c>
      <c r="C334" s="136" t="str">
        <f t="array" ref="C334">IF(A334="","",VLOOKUP(A334,INDIRECT("CXC!A2:C"&amp;COUNTA(CXC!A:A)),3,FALSE))</f>
        <v/>
      </c>
      <c r="D334" s="137" t="str">
        <f t="array" ref="D334">IF(A334="","",VLOOKUP(A334,INDIRECT("CXC!A2:H"&amp;COUNTA(CXC!A:A)),8,FALSE))</f>
        <v/>
      </c>
      <c r="E334" s="137" t="str">
        <f t="array" ref="E334">IFERROR(IF(A334="","",VLOOKUP(A334,INDIRECT("HISTÓRICO COBROS!A3:E"&amp;COUNTA('HISTÓRICO COBROS'!A:A)),5,FALSE)),"")</f>
        <v/>
      </c>
      <c r="F334" s="137" t="str">
        <f t="array" ref="F334">IF(A334="","",VLOOKUP(A334,INDIRECT("CXC!A2:I"&amp;COUNTA(CXC!A:A)),9,FALSE))</f>
        <v/>
      </c>
      <c r="G334" s="137" t="str">
        <f t="array" ref="G334">IFERROR(IF(A334="","",VLOOKUP(A334,INDIRECT("HISTÓRICO COBROS!A3:F"&amp;COUNTA('HISTÓRICO COBROS'!A:A)),6,FALSE)),"")</f>
        <v/>
      </c>
      <c r="H334" s="138" t="str">
        <f t="shared" ref="H334:I334" si="335">IF(D334="","",D334+F334)</f>
        <v/>
      </c>
      <c r="I334" s="135" t="str">
        <f t="shared" si="335"/>
        <v/>
      </c>
      <c r="J334" s="140" t="str">
        <f t="shared" si="3"/>
        <v/>
      </c>
      <c r="K334" s="140" t="str">
        <f t="shared" si="4"/>
        <v/>
      </c>
    </row>
    <row r="335" ht="22.5" customHeight="1">
      <c r="A335" s="140"/>
      <c r="B335" s="135" t="str">
        <f t="array" ref="B335">IF(A335="","",VLOOKUP(A335,INDIRECT("CXC!A2:B"&amp;COUNTA(CXC!A:A)),2,FALSE))</f>
        <v/>
      </c>
      <c r="C335" s="136" t="str">
        <f t="array" ref="C335">IF(A335="","",VLOOKUP(A335,INDIRECT("CXC!A2:C"&amp;COUNTA(CXC!A:A)),3,FALSE))</f>
        <v/>
      </c>
      <c r="D335" s="137" t="str">
        <f t="array" ref="D335">IF(A335="","",VLOOKUP(A335,INDIRECT("CXC!A2:H"&amp;COUNTA(CXC!A:A)),8,FALSE))</f>
        <v/>
      </c>
      <c r="E335" s="137" t="str">
        <f t="array" ref="E335">IFERROR(IF(A335="","",VLOOKUP(A335,INDIRECT("HISTÓRICO COBROS!A3:E"&amp;COUNTA('HISTÓRICO COBROS'!A:A)),5,FALSE)),"")</f>
        <v/>
      </c>
      <c r="F335" s="137" t="str">
        <f t="array" ref="F335">IF(A335="","",VLOOKUP(A335,INDIRECT("CXC!A2:I"&amp;COUNTA(CXC!A:A)),9,FALSE))</f>
        <v/>
      </c>
      <c r="G335" s="137" t="str">
        <f t="array" ref="G335">IFERROR(IF(A335="","",VLOOKUP(A335,INDIRECT("HISTÓRICO COBROS!A3:F"&amp;COUNTA('HISTÓRICO COBROS'!A:A)),6,FALSE)),"")</f>
        <v/>
      </c>
      <c r="H335" s="138" t="str">
        <f t="shared" ref="H335:I335" si="336">IF(D335="","",D335+F335)</f>
        <v/>
      </c>
      <c r="I335" s="135" t="str">
        <f t="shared" si="336"/>
        <v/>
      </c>
      <c r="J335" s="140" t="str">
        <f t="shared" si="3"/>
        <v/>
      </c>
      <c r="K335" s="140" t="str">
        <f t="shared" si="4"/>
        <v/>
      </c>
    </row>
    <row r="336" ht="22.5" customHeight="1">
      <c r="A336" s="140"/>
      <c r="B336" s="135" t="str">
        <f t="array" ref="B336">IF(A336="","",VLOOKUP(A336,INDIRECT("CXC!A2:B"&amp;COUNTA(CXC!A:A)),2,FALSE))</f>
        <v/>
      </c>
      <c r="C336" s="136" t="str">
        <f t="array" ref="C336">IF(A336="","",VLOOKUP(A336,INDIRECT("CXC!A2:C"&amp;COUNTA(CXC!A:A)),3,FALSE))</f>
        <v/>
      </c>
      <c r="D336" s="137" t="str">
        <f t="array" ref="D336">IF(A336="","",VLOOKUP(A336,INDIRECT("CXC!A2:H"&amp;COUNTA(CXC!A:A)),8,FALSE))</f>
        <v/>
      </c>
      <c r="E336" s="137" t="str">
        <f t="array" ref="E336">IFERROR(IF(A336="","",VLOOKUP(A336,INDIRECT("HISTÓRICO COBROS!A3:E"&amp;COUNTA('HISTÓRICO COBROS'!A:A)),5,FALSE)),"")</f>
        <v/>
      </c>
      <c r="F336" s="137" t="str">
        <f t="array" ref="F336">IF(A336="","",VLOOKUP(A336,INDIRECT("CXC!A2:I"&amp;COUNTA(CXC!A:A)),9,FALSE))</f>
        <v/>
      </c>
      <c r="G336" s="137" t="str">
        <f t="array" ref="G336">IFERROR(IF(A336="","",VLOOKUP(A336,INDIRECT("HISTÓRICO COBROS!A3:F"&amp;COUNTA('HISTÓRICO COBROS'!A:A)),6,FALSE)),"")</f>
        <v/>
      </c>
      <c r="H336" s="138" t="str">
        <f t="shared" ref="H336:I336" si="337">IF(D336="","",D336+F336)</f>
        <v/>
      </c>
      <c r="I336" s="135" t="str">
        <f t="shared" si="337"/>
        <v/>
      </c>
      <c r="J336" s="140" t="str">
        <f t="shared" si="3"/>
        <v/>
      </c>
      <c r="K336" s="140" t="str">
        <f t="shared" si="4"/>
        <v/>
      </c>
    </row>
    <row r="337" ht="22.5" customHeight="1">
      <c r="A337" s="140"/>
      <c r="B337" s="135" t="str">
        <f t="array" ref="B337">IF(A337="","",VLOOKUP(A337,INDIRECT("CXC!A2:B"&amp;COUNTA(CXC!A:A)),2,FALSE))</f>
        <v/>
      </c>
      <c r="C337" s="136" t="str">
        <f t="array" ref="C337">IF(A337="","",VLOOKUP(A337,INDIRECT("CXC!A2:C"&amp;COUNTA(CXC!A:A)),3,FALSE))</f>
        <v/>
      </c>
      <c r="D337" s="137" t="str">
        <f t="array" ref="D337">IF(A337="","",VLOOKUP(A337,INDIRECT("CXC!A2:H"&amp;COUNTA(CXC!A:A)),8,FALSE))</f>
        <v/>
      </c>
      <c r="E337" s="137" t="str">
        <f t="array" ref="E337">IFERROR(IF(A337="","",VLOOKUP(A337,INDIRECT("HISTÓRICO COBROS!A3:E"&amp;COUNTA('HISTÓRICO COBROS'!A:A)),5,FALSE)),"")</f>
        <v/>
      </c>
      <c r="F337" s="137" t="str">
        <f t="array" ref="F337">IF(A337="","",VLOOKUP(A337,INDIRECT("CXC!A2:I"&amp;COUNTA(CXC!A:A)),9,FALSE))</f>
        <v/>
      </c>
      <c r="G337" s="137" t="str">
        <f t="array" ref="G337">IFERROR(IF(A337="","",VLOOKUP(A337,INDIRECT("HISTÓRICO COBROS!A3:F"&amp;COUNTA('HISTÓRICO COBROS'!A:A)),6,FALSE)),"")</f>
        <v/>
      </c>
      <c r="H337" s="138" t="str">
        <f t="shared" ref="H337:I337" si="338">IF(D337="","",D337+F337)</f>
        <v/>
      </c>
      <c r="I337" s="135" t="str">
        <f t="shared" si="338"/>
        <v/>
      </c>
      <c r="J337" s="140" t="str">
        <f t="shared" si="3"/>
        <v/>
      </c>
      <c r="K337" s="140" t="str">
        <f t="shared" si="4"/>
        <v/>
      </c>
    </row>
    <row r="338" ht="22.5" customHeight="1">
      <c r="A338" s="140"/>
      <c r="B338" s="135" t="str">
        <f t="array" ref="B338">IF(A338="","",VLOOKUP(A338,INDIRECT("CXC!A2:B"&amp;COUNTA(CXC!A:A)),2,FALSE))</f>
        <v/>
      </c>
      <c r="C338" s="136" t="str">
        <f t="array" ref="C338">IF(A338="","",VLOOKUP(A338,INDIRECT("CXC!A2:C"&amp;COUNTA(CXC!A:A)),3,FALSE))</f>
        <v/>
      </c>
      <c r="D338" s="137" t="str">
        <f t="array" ref="D338">IF(A338="","",VLOOKUP(A338,INDIRECT("CXC!A2:H"&amp;COUNTA(CXC!A:A)),8,FALSE))</f>
        <v/>
      </c>
      <c r="E338" s="137" t="str">
        <f t="array" ref="E338">IFERROR(IF(A338="","",VLOOKUP(A338,INDIRECT("HISTÓRICO COBROS!A3:E"&amp;COUNTA('HISTÓRICO COBROS'!A:A)),5,FALSE)),"")</f>
        <v/>
      </c>
      <c r="F338" s="137" t="str">
        <f t="array" ref="F338">IF(A338="","",VLOOKUP(A338,INDIRECT("CXC!A2:I"&amp;COUNTA(CXC!A:A)),9,FALSE))</f>
        <v/>
      </c>
      <c r="G338" s="137" t="str">
        <f t="array" ref="G338">IFERROR(IF(A338="","",VLOOKUP(A338,INDIRECT("HISTÓRICO COBROS!A3:F"&amp;COUNTA('HISTÓRICO COBROS'!A:A)),6,FALSE)),"")</f>
        <v/>
      </c>
      <c r="H338" s="138" t="str">
        <f t="shared" ref="H338:I338" si="339">IF(D338="","",D338+F338)</f>
        <v/>
      </c>
      <c r="I338" s="135" t="str">
        <f t="shared" si="339"/>
        <v/>
      </c>
      <c r="J338" s="140" t="str">
        <f t="shared" si="3"/>
        <v/>
      </c>
      <c r="K338" s="140" t="str">
        <f t="shared" si="4"/>
        <v/>
      </c>
    </row>
    <row r="339" ht="22.5" customHeight="1">
      <c r="A339" s="140"/>
      <c r="B339" s="135" t="str">
        <f t="array" ref="B339">IF(A339="","",VLOOKUP(A339,INDIRECT("CXC!A2:B"&amp;COUNTA(CXC!A:A)),2,FALSE))</f>
        <v/>
      </c>
      <c r="C339" s="136" t="str">
        <f t="array" ref="C339">IF(A339="","",VLOOKUP(A339,INDIRECT("CXC!A2:C"&amp;COUNTA(CXC!A:A)),3,FALSE))</f>
        <v/>
      </c>
      <c r="D339" s="137" t="str">
        <f t="array" ref="D339">IF(A339="","",VLOOKUP(A339,INDIRECT("CXC!A2:H"&amp;COUNTA(CXC!A:A)),8,FALSE))</f>
        <v/>
      </c>
      <c r="E339" s="137" t="str">
        <f t="array" ref="E339">IFERROR(IF(A339="","",VLOOKUP(A339,INDIRECT("HISTÓRICO COBROS!A3:E"&amp;COUNTA('HISTÓRICO COBROS'!A:A)),5,FALSE)),"")</f>
        <v/>
      </c>
      <c r="F339" s="137" t="str">
        <f t="array" ref="F339">IF(A339="","",VLOOKUP(A339,INDIRECT("CXC!A2:I"&amp;COUNTA(CXC!A:A)),9,FALSE))</f>
        <v/>
      </c>
      <c r="G339" s="137" t="str">
        <f t="array" ref="G339">IFERROR(IF(A339="","",VLOOKUP(A339,INDIRECT("HISTÓRICO COBROS!A3:F"&amp;COUNTA('HISTÓRICO COBROS'!A:A)),6,FALSE)),"")</f>
        <v/>
      </c>
      <c r="H339" s="138" t="str">
        <f t="shared" ref="H339:I339" si="340">IF(D339="","",D339+F339)</f>
        <v/>
      </c>
      <c r="I339" s="135" t="str">
        <f t="shared" si="340"/>
        <v/>
      </c>
      <c r="J339" s="140" t="str">
        <f t="shared" si="3"/>
        <v/>
      </c>
      <c r="K339" s="140" t="str">
        <f t="shared" si="4"/>
        <v/>
      </c>
    </row>
    <row r="340" ht="22.5" customHeight="1">
      <c r="A340" s="140"/>
      <c r="B340" s="135" t="str">
        <f t="array" ref="B340">IF(A340="","",VLOOKUP(A340,INDIRECT("CXC!A2:B"&amp;COUNTA(CXC!A:A)),2,FALSE))</f>
        <v/>
      </c>
      <c r="C340" s="136" t="str">
        <f t="array" ref="C340">IF(A340="","",VLOOKUP(A340,INDIRECT("CXC!A2:C"&amp;COUNTA(CXC!A:A)),3,FALSE))</f>
        <v/>
      </c>
      <c r="D340" s="137" t="str">
        <f t="array" ref="D340">IF(A340="","",VLOOKUP(A340,INDIRECT("CXC!A2:H"&amp;COUNTA(CXC!A:A)),8,FALSE))</f>
        <v/>
      </c>
      <c r="E340" s="137" t="str">
        <f t="array" ref="E340">IFERROR(IF(A340="","",VLOOKUP(A340,INDIRECT("HISTÓRICO COBROS!A3:E"&amp;COUNTA('HISTÓRICO COBROS'!A:A)),5,FALSE)),"")</f>
        <v/>
      </c>
      <c r="F340" s="137" t="str">
        <f t="array" ref="F340">IF(A340="","",VLOOKUP(A340,INDIRECT("CXC!A2:I"&amp;COUNTA(CXC!A:A)),9,FALSE))</f>
        <v/>
      </c>
      <c r="G340" s="137" t="str">
        <f t="array" ref="G340">IFERROR(IF(A340="","",VLOOKUP(A340,INDIRECT("HISTÓRICO COBROS!A3:F"&amp;COUNTA('HISTÓRICO COBROS'!A:A)),6,FALSE)),"")</f>
        <v/>
      </c>
      <c r="H340" s="138" t="str">
        <f t="shared" ref="H340:I340" si="341">IF(D340="","",D340+F340)</f>
        <v/>
      </c>
      <c r="I340" s="135" t="str">
        <f t="shared" si="341"/>
        <v/>
      </c>
      <c r="J340" s="140" t="str">
        <f t="shared" si="3"/>
        <v/>
      </c>
      <c r="K340" s="140" t="str">
        <f t="shared" si="4"/>
        <v/>
      </c>
    </row>
    <row r="341" ht="22.5" customHeight="1">
      <c r="A341" s="140"/>
      <c r="B341" s="135" t="str">
        <f t="array" ref="B341">IF(A341="","",VLOOKUP(A341,INDIRECT("CXC!A2:B"&amp;COUNTA(CXC!A:A)),2,FALSE))</f>
        <v/>
      </c>
      <c r="C341" s="136" t="str">
        <f t="array" ref="C341">IF(A341="","",VLOOKUP(A341,INDIRECT("CXC!A2:C"&amp;COUNTA(CXC!A:A)),3,FALSE))</f>
        <v/>
      </c>
      <c r="D341" s="137" t="str">
        <f t="array" ref="D341">IF(A341="","",VLOOKUP(A341,INDIRECT("CXC!A2:H"&amp;COUNTA(CXC!A:A)),8,FALSE))</f>
        <v/>
      </c>
      <c r="E341" s="137" t="str">
        <f t="array" ref="E341">IFERROR(IF(A341="","",VLOOKUP(A341,INDIRECT("HISTÓRICO COBROS!A3:E"&amp;COUNTA('HISTÓRICO COBROS'!A:A)),5,FALSE)),"")</f>
        <v/>
      </c>
      <c r="F341" s="137" t="str">
        <f t="array" ref="F341">IF(A341="","",VLOOKUP(A341,INDIRECT("CXC!A2:I"&amp;COUNTA(CXC!A:A)),9,FALSE))</f>
        <v/>
      </c>
      <c r="G341" s="137" t="str">
        <f t="array" ref="G341">IFERROR(IF(A341="","",VLOOKUP(A341,INDIRECT("HISTÓRICO COBROS!A3:F"&amp;COUNTA('HISTÓRICO COBROS'!A:A)),6,FALSE)),"")</f>
        <v/>
      </c>
      <c r="H341" s="138" t="str">
        <f t="shared" ref="H341:I341" si="342">IF(D341="","",D341+F341)</f>
        <v/>
      </c>
      <c r="I341" s="135" t="str">
        <f t="shared" si="342"/>
        <v/>
      </c>
      <c r="J341" s="140" t="str">
        <f t="shared" si="3"/>
        <v/>
      </c>
      <c r="K341" s="140" t="str">
        <f t="shared" si="4"/>
        <v/>
      </c>
    </row>
    <row r="342" ht="22.5" customHeight="1">
      <c r="A342" s="140"/>
      <c r="B342" s="135" t="str">
        <f t="array" ref="B342">IF(A342="","",VLOOKUP(A342,INDIRECT("CXC!A2:B"&amp;COUNTA(CXC!A:A)),2,FALSE))</f>
        <v/>
      </c>
      <c r="C342" s="136" t="str">
        <f t="array" ref="C342">IF(A342="","",VLOOKUP(A342,INDIRECT("CXC!A2:C"&amp;COUNTA(CXC!A:A)),3,FALSE))</f>
        <v/>
      </c>
      <c r="D342" s="137" t="str">
        <f t="array" ref="D342">IF(A342="","",VLOOKUP(A342,INDIRECT("CXC!A2:H"&amp;COUNTA(CXC!A:A)),8,FALSE))</f>
        <v/>
      </c>
      <c r="E342" s="137" t="str">
        <f t="array" ref="E342">IFERROR(IF(A342="","",VLOOKUP(A342,INDIRECT("HISTÓRICO COBROS!A3:E"&amp;COUNTA('HISTÓRICO COBROS'!A:A)),5,FALSE)),"")</f>
        <v/>
      </c>
      <c r="F342" s="137" t="str">
        <f t="array" ref="F342">IF(A342="","",VLOOKUP(A342,INDIRECT("CXC!A2:I"&amp;COUNTA(CXC!A:A)),9,FALSE))</f>
        <v/>
      </c>
      <c r="G342" s="137" t="str">
        <f t="array" ref="G342">IFERROR(IF(A342="","",VLOOKUP(A342,INDIRECT("HISTÓRICO COBROS!A3:F"&amp;COUNTA('HISTÓRICO COBROS'!A:A)),6,FALSE)),"")</f>
        <v/>
      </c>
      <c r="H342" s="138" t="str">
        <f t="shared" ref="H342:I342" si="343">IF(D342="","",D342+F342)</f>
        <v/>
      </c>
      <c r="I342" s="135" t="str">
        <f t="shared" si="343"/>
        <v/>
      </c>
      <c r="J342" s="140" t="str">
        <f t="shared" si="3"/>
        <v/>
      </c>
      <c r="K342" s="140" t="str">
        <f t="shared" si="4"/>
        <v/>
      </c>
    </row>
    <row r="343" ht="22.5" customHeight="1">
      <c r="A343" s="140"/>
      <c r="B343" s="135" t="str">
        <f t="array" ref="B343">IF(A343="","",VLOOKUP(A343,INDIRECT("CXC!A2:B"&amp;COUNTA(CXC!A:A)),2,FALSE))</f>
        <v/>
      </c>
      <c r="C343" s="136" t="str">
        <f t="array" ref="C343">IF(A343="","",VLOOKUP(A343,INDIRECT("CXC!A2:C"&amp;COUNTA(CXC!A:A)),3,FALSE))</f>
        <v/>
      </c>
      <c r="D343" s="137" t="str">
        <f t="array" ref="D343">IF(A343="","",VLOOKUP(A343,INDIRECT("CXC!A2:H"&amp;COUNTA(CXC!A:A)),8,FALSE))</f>
        <v/>
      </c>
      <c r="E343" s="137" t="str">
        <f t="array" ref="E343">IFERROR(IF(A343="","",VLOOKUP(A343,INDIRECT("HISTÓRICO COBROS!A3:E"&amp;COUNTA('HISTÓRICO COBROS'!A:A)),5,FALSE)),"")</f>
        <v/>
      </c>
      <c r="F343" s="137" t="str">
        <f t="array" ref="F343">IF(A343="","",VLOOKUP(A343,INDIRECT("CXC!A2:I"&amp;COUNTA(CXC!A:A)),9,FALSE))</f>
        <v/>
      </c>
      <c r="G343" s="137" t="str">
        <f t="array" ref="G343">IFERROR(IF(A343="","",VLOOKUP(A343,INDIRECT("HISTÓRICO COBROS!A3:F"&amp;COUNTA('HISTÓRICO COBROS'!A:A)),6,FALSE)),"")</f>
        <v/>
      </c>
      <c r="H343" s="138" t="str">
        <f t="shared" ref="H343:I343" si="344">IF(D343="","",D343+F343)</f>
        <v/>
      </c>
      <c r="I343" s="135" t="str">
        <f t="shared" si="344"/>
        <v/>
      </c>
      <c r="J343" s="140" t="str">
        <f t="shared" si="3"/>
        <v/>
      </c>
      <c r="K343" s="140" t="str">
        <f t="shared" si="4"/>
        <v/>
      </c>
    </row>
    <row r="344" ht="22.5" customHeight="1">
      <c r="A344" s="140"/>
      <c r="B344" s="135" t="str">
        <f t="array" ref="B344">IF(A344="","",VLOOKUP(A344,INDIRECT("CXC!A2:B"&amp;COUNTA(CXC!A:A)),2,FALSE))</f>
        <v/>
      </c>
      <c r="C344" s="136" t="str">
        <f t="array" ref="C344">IF(A344="","",VLOOKUP(A344,INDIRECT("CXC!A2:C"&amp;COUNTA(CXC!A:A)),3,FALSE))</f>
        <v/>
      </c>
      <c r="D344" s="137" t="str">
        <f t="array" ref="D344">IF(A344="","",VLOOKUP(A344,INDIRECT("CXC!A2:H"&amp;COUNTA(CXC!A:A)),8,FALSE))</f>
        <v/>
      </c>
      <c r="E344" s="137" t="str">
        <f t="array" ref="E344">IFERROR(IF(A344="","",VLOOKUP(A344,INDIRECT("HISTÓRICO COBROS!A3:E"&amp;COUNTA('HISTÓRICO COBROS'!A:A)),5,FALSE)),"")</f>
        <v/>
      </c>
      <c r="F344" s="137" t="str">
        <f t="array" ref="F344">IF(A344="","",VLOOKUP(A344,INDIRECT("CXC!A2:I"&amp;COUNTA(CXC!A:A)),9,FALSE))</f>
        <v/>
      </c>
      <c r="G344" s="137" t="str">
        <f t="array" ref="G344">IFERROR(IF(A344="","",VLOOKUP(A344,INDIRECT("HISTÓRICO COBROS!A3:F"&amp;COUNTA('HISTÓRICO COBROS'!A:A)),6,FALSE)),"")</f>
        <v/>
      </c>
      <c r="H344" s="138" t="str">
        <f t="shared" ref="H344:I344" si="345">IF(D344="","",D344+F344)</f>
        <v/>
      </c>
      <c r="I344" s="135" t="str">
        <f t="shared" si="345"/>
        <v/>
      </c>
      <c r="J344" s="140" t="str">
        <f t="shared" si="3"/>
        <v/>
      </c>
      <c r="K344" s="140" t="str">
        <f t="shared" si="4"/>
        <v/>
      </c>
    </row>
    <row r="345" ht="22.5" customHeight="1">
      <c r="A345" s="140"/>
      <c r="B345" s="135" t="str">
        <f t="array" ref="B345">IF(A345="","",VLOOKUP(A345,INDIRECT("CXC!A2:B"&amp;COUNTA(CXC!A:A)),2,FALSE))</f>
        <v/>
      </c>
      <c r="C345" s="136" t="str">
        <f t="array" ref="C345">IF(A345="","",VLOOKUP(A345,INDIRECT("CXC!A2:C"&amp;COUNTA(CXC!A:A)),3,FALSE))</f>
        <v/>
      </c>
      <c r="D345" s="137" t="str">
        <f t="array" ref="D345">IF(A345="","",VLOOKUP(A345,INDIRECT("CXC!A2:H"&amp;COUNTA(CXC!A:A)),8,FALSE))</f>
        <v/>
      </c>
      <c r="E345" s="137" t="str">
        <f t="array" ref="E345">IFERROR(IF(A345="","",VLOOKUP(A345,INDIRECT("HISTÓRICO COBROS!A3:E"&amp;COUNTA('HISTÓRICO COBROS'!A:A)),5,FALSE)),"")</f>
        <v/>
      </c>
      <c r="F345" s="137" t="str">
        <f t="array" ref="F345">IF(A345="","",VLOOKUP(A345,INDIRECT("CXC!A2:I"&amp;COUNTA(CXC!A:A)),9,FALSE))</f>
        <v/>
      </c>
      <c r="G345" s="137" t="str">
        <f t="array" ref="G345">IFERROR(IF(A345="","",VLOOKUP(A345,INDIRECT("HISTÓRICO COBROS!A3:F"&amp;COUNTA('HISTÓRICO COBROS'!A:A)),6,FALSE)),"")</f>
        <v/>
      </c>
      <c r="H345" s="138" t="str">
        <f t="shared" ref="H345:I345" si="346">IF(D345="","",D345+F345)</f>
        <v/>
      </c>
      <c r="I345" s="135" t="str">
        <f t="shared" si="346"/>
        <v/>
      </c>
      <c r="J345" s="140" t="str">
        <f t="shared" si="3"/>
        <v/>
      </c>
      <c r="K345" s="140" t="str">
        <f t="shared" si="4"/>
        <v/>
      </c>
    </row>
    <row r="346" ht="22.5" customHeight="1">
      <c r="A346" s="140"/>
      <c r="B346" s="135" t="str">
        <f t="array" ref="B346">IF(A346="","",VLOOKUP(A346,INDIRECT("CXC!A2:B"&amp;COUNTA(CXC!A:A)),2,FALSE))</f>
        <v/>
      </c>
      <c r="C346" s="136" t="str">
        <f t="array" ref="C346">IF(A346="","",VLOOKUP(A346,INDIRECT("CXC!A2:C"&amp;COUNTA(CXC!A:A)),3,FALSE))</f>
        <v/>
      </c>
      <c r="D346" s="137" t="str">
        <f t="array" ref="D346">IF(A346="","",VLOOKUP(A346,INDIRECT("CXC!A2:H"&amp;COUNTA(CXC!A:A)),8,FALSE))</f>
        <v/>
      </c>
      <c r="E346" s="137" t="str">
        <f t="array" ref="E346">IFERROR(IF(A346="","",VLOOKUP(A346,INDIRECT("HISTÓRICO COBROS!A3:E"&amp;COUNTA('HISTÓRICO COBROS'!A:A)),5,FALSE)),"")</f>
        <v/>
      </c>
      <c r="F346" s="137" t="str">
        <f t="array" ref="F346">IF(A346="","",VLOOKUP(A346,INDIRECT("CXC!A2:I"&amp;COUNTA(CXC!A:A)),9,FALSE))</f>
        <v/>
      </c>
      <c r="G346" s="137" t="str">
        <f t="array" ref="G346">IFERROR(IF(A346="","",VLOOKUP(A346,INDIRECT("HISTÓRICO COBROS!A3:F"&amp;COUNTA('HISTÓRICO COBROS'!A:A)),6,FALSE)),"")</f>
        <v/>
      </c>
      <c r="H346" s="138" t="str">
        <f t="shared" ref="H346:I346" si="347">IF(D346="","",D346+F346)</f>
        <v/>
      </c>
      <c r="I346" s="135" t="str">
        <f t="shared" si="347"/>
        <v/>
      </c>
      <c r="J346" s="140" t="str">
        <f t="shared" si="3"/>
        <v/>
      </c>
      <c r="K346" s="140" t="str">
        <f t="shared" si="4"/>
        <v/>
      </c>
    </row>
    <row r="347" ht="22.5" customHeight="1">
      <c r="A347" s="140"/>
      <c r="B347" s="135" t="str">
        <f t="array" ref="B347">IF(A347="","",VLOOKUP(A347,INDIRECT("CXC!A2:B"&amp;COUNTA(CXC!A:A)),2,FALSE))</f>
        <v/>
      </c>
      <c r="C347" s="136" t="str">
        <f t="array" ref="C347">IF(A347="","",VLOOKUP(A347,INDIRECT("CXC!A2:C"&amp;COUNTA(CXC!A:A)),3,FALSE))</f>
        <v/>
      </c>
      <c r="D347" s="137" t="str">
        <f t="array" ref="D347">IF(A347="","",VLOOKUP(A347,INDIRECT("CXC!A2:H"&amp;COUNTA(CXC!A:A)),8,FALSE))</f>
        <v/>
      </c>
      <c r="E347" s="137" t="str">
        <f t="array" ref="E347">IFERROR(IF(A347="","",VLOOKUP(A347,INDIRECT("HISTÓRICO COBROS!A3:E"&amp;COUNTA('HISTÓRICO COBROS'!A:A)),5,FALSE)),"")</f>
        <v/>
      </c>
      <c r="F347" s="137" t="str">
        <f t="array" ref="F347">IF(A347="","",VLOOKUP(A347,INDIRECT("CXC!A2:I"&amp;COUNTA(CXC!A:A)),9,FALSE))</f>
        <v/>
      </c>
      <c r="G347" s="137" t="str">
        <f t="array" ref="G347">IFERROR(IF(A347="","",VLOOKUP(A347,INDIRECT("HISTÓRICO COBROS!A3:F"&amp;COUNTA('HISTÓRICO COBROS'!A:A)),6,FALSE)),"")</f>
        <v/>
      </c>
      <c r="H347" s="138" t="str">
        <f t="shared" ref="H347:I347" si="348">IF(D347="","",D347+F347)</f>
        <v/>
      </c>
      <c r="I347" s="135" t="str">
        <f t="shared" si="348"/>
        <v/>
      </c>
      <c r="J347" s="140" t="str">
        <f t="shared" si="3"/>
        <v/>
      </c>
      <c r="K347" s="140" t="str">
        <f t="shared" si="4"/>
        <v/>
      </c>
    </row>
    <row r="348" ht="22.5" customHeight="1">
      <c r="A348" s="140"/>
      <c r="B348" s="135" t="str">
        <f t="array" ref="B348">IF(A348="","",VLOOKUP(A348,INDIRECT("CXC!A2:B"&amp;COUNTA(CXC!A:A)),2,FALSE))</f>
        <v/>
      </c>
      <c r="C348" s="136" t="str">
        <f t="array" ref="C348">IF(A348="","",VLOOKUP(A348,INDIRECT("CXC!A2:C"&amp;COUNTA(CXC!A:A)),3,FALSE))</f>
        <v/>
      </c>
      <c r="D348" s="137" t="str">
        <f t="array" ref="D348">IF(A348="","",VLOOKUP(A348,INDIRECT("CXC!A2:H"&amp;COUNTA(CXC!A:A)),8,FALSE))</f>
        <v/>
      </c>
      <c r="E348" s="137" t="str">
        <f t="array" ref="E348">IFERROR(IF(A348="","",VLOOKUP(A348,INDIRECT("HISTÓRICO COBROS!A3:E"&amp;COUNTA('HISTÓRICO COBROS'!A:A)),5,FALSE)),"")</f>
        <v/>
      </c>
      <c r="F348" s="137" t="str">
        <f t="array" ref="F348">IF(A348="","",VLOOKUP(A348,INDIRECT("CXC!A2:I"&amp;COUNTA(CXC!A:A)),9,FALSE))</f>
        <v/>
      </c>
      <c r="G348" s="137" t="str">
        <f t="array" ref="G348">IFERROR(IF(A348="","",VLOOKUP(A348,INDIRECT("HISTÓRICO COBROS!A3:F"&amp;COUNTA('HISTÓRICO COBROS'!A:A)),6,FALSE)),"")</f>
        <v/>
      </c>
      <c r="H348" s="138" t="str">
        <f t="shared" ref="H348:I348" si="349">IF(D348="","",D348+F348)</f>
        <v/>
      </c>
      <c r="I348" s="135" t="str">
        <f t="shared" si="349"/>
        <v/>
      </c>
      <c r="J348" s="140" t="str">
        <f t="shared" si="3"/>
        <v/>
      </c>
      <c r="K348" s="140" t="str">
        <f t="shared" si="4"/>
        <v/>
      </c>
    </row>
    <row r="349" ht="22.5" customHeight="1">
      <c r="A349" s="140"/>
      <c r="B349" s="135" t="str">
        <f t="array" ref="B349">IF(A349="","",VLOOKUP(A349,INDIRECT("CXC!A2:B"&amp;COUNTA(CXC!A:A)),2,FALSE))</f>
        <v/>
      </c>
      <c r="C349" s="136" t="str">
        <f t="array" ref="C349">IF(A349="","",VLOOKUP(A349,INDIRECT("CXC!A2:C"&amp;COUNTA(CXC!A:A)),3,FALSE))</f>
        <v/>
      </c>
      <c r="D349" s="137" t="str">
        <f t="array" ref="D349">IF(A349="","",VLOOKUP(A349,INDIRECT("CXC!A2:H"&amp;COUNTA(CXC!A:A)),8,FALSE))</f>
        <v/>
      </c>
      <c r="E349" s="137" t="str">
        <f t="array" ref="E349">IFERROR(IF(A349="","",VLOOKUP(A349,INDIRECT("HISTÓRICO COBROS!A3:E"&amp;COUNTA('HISTÓRICO COBROS'!A:A)),5,FALSE)),"")</f>
        <v/>
      </c>
      <c r="F349" s="137" t="str">
        <f t="array" ref="F349">IF(A349="","",VLOOKUP(A349,INDIRECT("CXC!A2:I"&amp;COUNTA(CXC!A:A)),9,FALSE))</f>
        <v/>
      </c>
      <c r="G349" s="137" t="str">
        <f t="array" ref="G349">IFERROR(IF(A349="","",VLOOKUP(A349,INDIRECT("HISTÓRICO COBROS!A3:F"&amp;COUNTA('HISTÓRICO COBROS'!A:A)),6,FALSE)),"")</f>
        <v/>
      </c>
      <c r="H349" s="138" t="str">
        <f t="shared" ref="H349:I349" si="350">IF(D349="","",D349+F349)</f>
        <v/>
      </c>
      <c r="I349" s="135" t="str">
        <f t="shared" si="350"/>
        <v/>
      </c>
      <c r="J349" s="140" t="str">
        <f t="shared" si="3"/>
        <v/>
      </c>
      <c r="K349" s="140" t="str">
        <f t="shared" si="4"/>
        <v/>
      </c>
    </row>
    <row r="350" ht="22.5" customHeight="1">
      <c r="A350" s="140"/>
      <c r="B350" s="135" t="str">
        <f t="array" ref="B350">IF(A350="","",VLOOKUP(A350,INDIRECT("CXC!A2:B"&amp;COUNTA(CXC!A:A)),2,FALSE))</f>
        <v/>
      </c>
      <c r="C350" s="136" t="str">
        <f t="array" ref="C350">IF(A350="","",VLOOKUP(A350,INDIRECT("CXC!A2:C"&amp;COUNTA(CXC!A:A)),3,FALSE))</f>
        <v/>
      </c>
      <c r="D350" s="137" t="str">
        <f t="array" ref="D350">IF(A350="","",VLOOKUP(A350,INDIRECT("CXC!A2:H"&amp;COUNTA(CXC!A:A)),8,FALSE))</f>
        <v/>
      </c>
      <c r="E350" s="137" t="str">
        <f t="array" ref="E350">IFERROR(IF(A350="","",VLOOKUP(A350,INDIRECT("HISTÓRICO COBROS!A3:E"&amp;COUNTA('HISTÓRICO COBROS'!A:A)),5,FALSE)),"")</f>
        <v/>
      </c>
      <c r="F350" s="137" t="str">
        <f t="array" ref="F350">IF(A350="","",VLOOKUP(A350,INDIRECT("CXC!A2:I"&amp;COUNTA(CXC!A:A)),9,FALSE))</f>
        <v/>
      </c>
      <c r="G350" s="137" t="str">
        <f t="array" ref="G350">IFERROR(IF(A350="","",VLOOKUP(A350,INDIRECT("HISTÓRICO COBROS!A3:F"&amp;COUNTA('HISTÓRICO COBROS'!A:A)),6,FALSE)),"")</f>
        <v/>
      </c>
      <c r="H350" s="138" t="str">
        <f t="shared" ref="H350:I350" si="351">IF(D350="","",D350+F350)</f>
        <v/>
      </c>
      <c r="I350" s="135" t="str">
        <f t="shared" si="351"/>
        <v/>
      </c>
      <c r="J350" s="140" t="str">
        <f t="shared" si="3"/>
        <v/>
      </c>
      <c r="K350" s="140" t="str">
        <f t="shared" si="4"/>
        <v/>
      </c>
    </row>
    <row r="351" ht="22.5" customHeight="1">
      <c r="A351" s="140"/>
      <c r="B351" s="135" t="str">
        <f t="array" ref="B351">IF(A351="","",VLOOKUP(A351,INDIRECT("CXC!A2:B"&amp;COUNTA(CXC!A:A)),2,FALSE))</f>
        <v/>
      </c>
      <c r="C351" s="136" t="str">
        <f t="array" ref="C351">IF(A351="","",VLOOKUP(A351,INDIRECT("CXC!A2:C"&amp;COUNTA(CXC!A:A)),3,FALSE))</f>
        <v/>
      </c>
      <c r="D351" s="137" t="str">
        <f t="array" ref="D351">IF(A351="","",VLOOKUP(A351,INDIRECT("CXC!A2:H"&amp;COUNTA(CXC!A:A)),8,FALSE))</f>
        <v/>
      </c>
      <c r="E351" s="137" t="str">
        <f t="array" ref="E351">IFERROR(IF(A351="","",VLOOKUP(A351,INDIRECT("HISTÓRICO COBROS!A3:E"&amp;COUNTA('HISTÓRICO COBROS'!A:A)),5,FALSE)),"")</f>
        <v/>
      </c>
      <c r="F351" s="137" t="str">
        <f t="array" ref="F351">IF(A351="","",VLOOKUP(A351,INDIRECT("CXC!A2:I"&amp;COUNTA(CXC!A:A)),9,FALSE))</f>
        <v/>
      </c>
      <c r="G351" s="137" t="str">
        <f t="array" ref="G351">IFERROR(IF(A351="","",VLOOKUP(A351,INDIRECT("HISTÓRICO COBROS!A3:F"&amp;COUNTA('HISTÓRICO COBROS'!A:A)),6,FALSE)),"")</f>
        <v/>
      </c>
      <c r="H351" s="138" t="str">
        <f t="shared" ref="H351:I351" si="352">IF(D351="","",D351+F351)</f>
        <v/>
      </c>
      <c r="I351" s="135" t="str">
        <f t="shared" si="352"/>
        <v/>
      </c>
      <c r="J351" s="140" t="str">
        <f t="shared" si="3"/>
        <v/>
      </c>
      <c r="K351" s="140" t="str">
        <f t="shared" si="4"/>
        <v/>
      </c>
    </row>
    <row r="352" ht="22.5" customHeight="1">
      <c r="A352" s="140"/>
      <c r="B352" s="135" t="str">
        <f t="array" ref="B352">IF(A352="","",VLOOKUP(A352,INDIRECT("CXC!A2:B"&amp;COUNTA(CXC!A:A)),2,FALSE))</f>
        <v/>
      </c>
      <c r="C352" s="136" t="str">
        <f t="array" ref="C352">IF(A352="","",VLOOKUP(A352,INDIRECT("CXC!A2:C"&amp;COUNTA(CXC!A:A)),3,FALSE))</f>
        <v/>
      </c>
      <c r="D352" s="137" t="str">
        <f t="array" ref="D352">IF(A352="","",VLOOKUP(A352,INDIRECT("CXC!A2:H"&amp;COUNTA(CXC!A:A)),8,FALSE))</f>
        <v/>
      </c>
      <c r="E352" s="137" t="str">
        <f t="array" ref="E352">IFERROR(IF(A352="","",VLOOKUP(A352,INDIRECT("HISTÓRICO COBROS!A3:E"&amp;COUNTA('HISTÓRICO COBROS'!A:A)),5,FALSE)),"")</f>
        <v/>
      </c>
      <c r="F352" s="137" t="str">
        <f t="array" ref="F352">IF(A352="","",VLOOKUP(A352,INDIRECT("CXC!A2:I"&amp;COUNTA(CXC!A:A)),9,FALSE))</f>
        <v/>
      </c>
      <c r="G352" s="137" t="str">
        <f t="array" ref="G352">IFERROR(IF(A352="","",VLOOKUP(A352,INDIRECT("HISTÓRICO COBROS!A3:F"&amp;COUNTA('HISTÓRICO COBROS'!A:A)),6,FALSE)),"")</f>
        <v/>
      </c>
      <c r="H352" s="138" t="str">
        <f t="shared" ref="H352:I352" si="353">IF(D352="","",D352+F352)</f>
        <v/>
      </c>
      <c r="I352" s="135" t="str">
        <f t="shared" si="353"/>
        <v/>
      </c>
      <c r="J352" s="140" t="str">
        <f t="shared" si="3"/>
        <v/>
      </c>
      <c r="K352" s="140" t="str">
        <f t="shared" si="4"/>
        <v/>
      </c>
    </row>
    <row r="353" ht="22.5" customHeight="1">
      <c r="A353" s="140"/>
      <c r="B353" s="135" t="str">
        <f t="array" ref="B353">IF(A353="","",VLOOKUP(A353,INDIRECT("CXC!A2:B"&amp;COUNTA(CXC!A:A)),2,FALSE))</f>
        <v/>
      </c>
      <c r="C353" s="136" t="str">
        <f t="array" ref="C353">IF(A353="","",VLOOKUP(A353,INDIRECT("CXC!A2:C"&amp;COUNTA(CXC!A:A)),3,FALSE))</f>
        <v/>
      </c>
      <c r="D353" s="137" t="str">
        <f t="array" ref="D353">IF(A353="","",VLOOKUP(A353,INDIRECT("CXC!A2:H"&amp;COUNTA(CXC!A:A)),8,FALSE))</f>
        <v/>
      </c>
      <c r="E353" s="137" t="str">
        <f t="array" ref="E353">IFERROR(IF(A353="","",VLOOKUP(A353,INDIRECT("HISTÓRICO COBROS!A3:E"&amp;COUNTA('HISTÓRICO COBROS'!A:A)),5,FALSE)),"")</f>
        <v/>
      </c>
      <c r="F353" s="137" t="str">
        <f t="array" ref="F353">IF(A353="","",VLOOKUP(A353,INDIRECT("CXC!A2:I"&amp;COUNTA(CXC!A:A)),9,FALSE))</f>
        <v/>
      </c>
      <c r="G353" s="137" t="str">
        <f t="array" ref="G353">IFERROR(IF(A353="","",VLOOKUP(A353,INDIRECT("HISTÓRICO COBROS!A3:F"&amp;COUNTA('HISTÓRICO COBROS'!A:A)),6,FALSE)),"")</f>
        <v/>
      </c>
      <c r="H353" s="138" t="str">
        <f t="shared" ref="H353:I353" si="354">IF(D353="","",D353+F353)</f>
        <v/>
      </c>
      <c r="I353" s="135" t="str">
        <f t="shared" si="354"/>
        <v/>
      </c>
      <c r="J353" s="140" t="str">
        <f t="shared" si="3"/>
        <v/>
      </c>
      <c r="K353" s="140" t="str">
        <f t="shared" si="4"/>
        <v/>
      </c>
    </row>
    <row r="354" ht="22.5" customHeight="1">
      <c r="A354" s="140"/>
      <c r="B354" s="135" t="str">
        <f t="array" ref="B354">IF(A354="","",VLOOKUP(A354,INDIRECT("CXC!A2:B"&amp;COUNTA(CXC!A:A)),2,FALSE))</f>
        <v/>
      </c>
      <c r="C354" s="136" t="str">
        <f t="array" ref="C354">IF(A354="","",VLOOKUP(A354,INDIRECT("CXC!A2:C"&amp;COUNTA(CXC!A:A)),3,FALSE))</f>
        <v/>
      </c>
      <c r="D354" s="137" t="str">
        <f t="array" ref="D354">IF(A354="","",VLOOKUP(A354,INDIRECT("CXC!A2:H"&amp;COUNTA(CXC!A:A)),8,FALSE))</f>
        <v/>
      </c>
      <c r="E354" s="137" t="str">
        <f t="array" ref="E354">IFERROR(IF(A354="","",VLOOKUP(A354,INDIRECT("HISTÓRICO COBROS!A3:E"&amp;COUNTA('HISTÓRICO COBROS'!A:A)),5,FALSE)),"")</f>
        <v/>
      </c>
      <c r="F354" s="137" t="str">
        <f t="array" ref="F354">IF(A354="","",VLOOKUP(A354,INDIRECT("CXC!A2:I"&amp;COUNTA(CXC!A:A)),9,FALSE))</f>
        <v/>
      </c>
      <c r="G354" s="137" t="str">
        <f t="array" ref="G354">IFERROR(IF(A354="","",VLOOKUP(A354,INDIRECT("HISTÓRICO COBROS!A3:F"&amp;COUNTA('HISTÓRICO COBROS'!A:A)),6,FALSE)),"")</f>
        <v/>
      </c>
      <c r="H354" s="138" t="str">
        <f t="shared" ref="H354:I354" si="355">IF(D354="","",D354+F354)</f>
        <v/>
      </c>
      <c r="I354" s="135" t="str">
        <f t="shared" si="355"/>
        <v/>
      </c>
      <c r="J354" s="140" t="str">
        <f t="shared" si="3"/>
        <v/>
      </c>
      <c r="K354" s="140" t="str">
        <f t="shared" si="4"/>
        <v/>
      </c>
    </row>
    <row r="355" ht="22.5" customHeight="1">
      <c r="A355" s="140"/>
      <c r="B355" s="135" t="str">
        <f t="array" ref="B355">IF(A355="","",VLOOKUP(A355,INDIRECT("CXC!A2:B"&amp;COUNTA(CXC!A:A)),2,FALSE))</f>
        <v/>
      </c>
      <c r="C355" s="136" t="str">
        <f t="array" ref="C355">IF(A355="","",VLOOKUP(A355,INDIRECT("CXC!A2:C"&amp;COUNTA(CXC!A:A)),3,FALSE))</f>
        <v/>
      </c>
      <c r="D355" s="137" t="str">
        <f t="array" ref="D355">IF(A355="","",VLOOKUP(A355,INDIRECT("CXC!A2:H"&amp;COUNTA(CXC!A:A)),8,FALSE))</f>
        <v/>
      </c>
      <c r="E355" s="137" t="str">
        <f t="array" ref="E355">IFERROR(IF(A355="","",VLOOKUP(A355,INDIRECT("HISTÓRICO COBROS!A3:E"&amp;COUNTA('HISTÓRICO COBROS'!A:A)),5,FALSE)),"")</f>
        <v/>
      </c>
      <c r="F355" s="137" t="str">
        <f t="array" ref="F355">IF(A355="","",VLOOKUP(A355,INDIRECT("CXC!A2:I"&amp;COUNTA(CXC!A:A)),9,FALSE))</f>
        <v/>
      </c>
      <c r="G355" s="137" t="str">
        <f t="array" ref="G355">IFERROR(IF(A355="","",VLOOKUP(A355,INDIRECT("HISTÓRICO COBROS!A3:F"&amp;COUNTA('HISTÓRICO COBROS'!A:A)),6,FALSE)),"")</f>
        <v/>
      </c>
      <c r="H355" s="138" t="str">
        <f t="shared" ref="H355:I355" si="356">IF(D355="","",D355+F355)</f>
        <v/>
      </c>
      <c r="I355" s="135" t="str">
        <f t="shared" si="356"/>
        <v/>
      </c>
      <c r="J355" s="140" t="str">
        <f t="shared" si="3"/>
        <v/>
      </c>
      <c r="K355" s="140" t="str">
        <f t="shared" si="4"/>
        <v/>
      </c>
    </row>
    <row r="356" ht="22.5" customHeight="1">
      <c r="A356" s="140"/>
      <c r="B356" s="135" t="str">
        <f t="array" ref="B356">IF(A356="","",VLOOKUP(A356,INDIRECT("CXC!A2:B"&amp;COUNTA(CXC!A:A)),2,FALSE))</f>
        <v/>
      </c>
      <c r="C356" s="136" t="str">
        <f t="array" ref="C356">IF(A356="","",VLOOKUP(A356,INDIRECT("CXC!A2:C"&amp;COUNTA(CXC!A:A)),3,FALSE))</f>
        <v/>
      </c>
      <c r="D356" s="137" t="str">
        <f t="array" ref="D356">IF(A356="","",VLOOKUP(A356,INDIRECT("CXC!A2:H"&amp;COUNTA(CXC!A:A)),8,FALSE))</f>
        <v/>
      </c>
      <c r="E356" s="137" t="str">
        <f t="array" ref="E356">IFERROR(IF(A356="","",VLOOKUP(A356,INDIRECT("HISTÓRICO COBROS!A3:E"&amp;COUNTA('HISTÓRICO COBROS'!A:A)),5,FALSE)),"")</f>
        <v/>
      </c>
      <c r="F356" s="137" t="str">
        <f t="array" ref="F356">IF(A356="","",VLOOKUP(A356,INDIRECT("CXC!A2:I"&amp;COUNTA(CXC!A:A)),9,FALSE))</f>
        <v/>
      </c>
      <c r="G356" s="137" t="str">
        <f t="array" ref="G356">IFERROR(IF(A356="","",VLOOKUP(A356,INDIRECT("HISTÓRICO COBROS!A3:F"&amp;COUNTA('HISTÓRICO COBROS'!A:A)),6,FALSE)),"")</f>
        <v/>
      </c>
      <c r="H356" s="138" t="str">
        <f t="shared" ref="H356:I356" si="357">IF(D356="","",D356+F356)</f>
        <v/>
      </c>
      <c r="I356" s="135" t="str">
        <f t="shared" si="357"/>
        <v/>
      </c>
      <c r="J356" s="140" t="str">
        <f t="shared" si="3"/>
        <v/>
      </c>
      <c r="K356" s="140" t="str">
        <f t="shared" si="4"/>
        <v/>
      </c>
    </row>
    <row r="357" ht="22.5" customHeight="1">
      <c r="A357" s="140"/>
      <c r="B357" s="135" t="str">
        <f t="array" ref="B357">IF(A357="","",VLOOKUP(A357,INDIRECT("CXC!A2:B"&amp;COUNTA(CXC!A:A)),2,FALSE))</f>
        <v/>
      </c>
      <c r="C357" s="136" t="str">
        <f t="array" ref="C357">IF(A357="","",VLOOKUP(A357,INDIRECT("CXC!A2:C"&amp;COUNTA(CXC!A:A)),3,FALSE))</f>
        <v/>
      </c>
      <c r="D357" s="137" t="str">
        <f t="array" ref="D357">IF(A357="","",VLOOKUP(A357,INDIRECT("CXC!A2:H"&amp;COUNTA(CXC!A:A)),8,FALSE))</f>
        <v/>
      </c>
      <c r="E357" s="137" t="str">
        <f t="array" ref="E357">IFERROR(IF(A357="","",VLOOKUP(A357,INDIRECT("HISTÓRICO COBROS!A3:E"&amp;COUNTA('HISTÓRICO COBROS'!A:A)),5,FALSE)),"")</f>
        <v/>
      </c>
      <c r="F357" s="137" t="str">
        <f t="array" ref="F357">IF(A357="","",VLOOKUP(A357,INDIRECT("CXC!A2:I"&amp;COUNTA(CXC!A:A)),9,FALSE))</f>
        <v/>
      </c>
      <c r="G357" s="137" t="str">
        <f t="array" ref="G357">IFERROR(IF(A357="","",VLOOKUP(A357,INDIRECT("HISTÓRICO COBROS!A3:F"&amp;COUNTA('HISTÓRICO COBROS'!A:A)),6,FALSE)),"")</f>
        <v/>
      </c>
      <c r="H357" s="138" t="str">
        <f t="shared" ref="H357:I357" si="358">IF(D357="","",D357+F357)</f>
        <v/>
      </c>
      <c r="I357" s="135" t="str">
        <f t="shared" si="358"/>
        <v/>
      </c>
      <c r="J357" s="140" t="str">
        <f t="shared" si="3"/>
        <v/>
      </c>
      <c r="K357" s="140" t="str">
        <f t="shared" si="4"/>
        <v/>
      </c>
    </row>
    <row r="358" ht="22.5" customHeight="1">
      <c r="A358" s="140"/>
      <c r="B358" s="135" t="str">
        <f t="array" ref="B358">IF(A358="","",VLOOKUP(A358,INDIRECT("CXC!A2:B"&amp;COUNTA(CXC!A:A)),2,FALSE))</f>
        <v/>
      </c>
      <c r="C358" s="136" t="str">
        <f t="array" ref="C358">IF(A358="","",VLOOKUP(A358,INDIRECT("CXC!A2:C"&amp;COUNTA(CXC!A:A)),3,FALSE))</f>
        <v/>
      </c>
      <c r="D358" s="137" t="str">
        <f t="array" ref="D358">IF(A358="","",VLOOKUP(A358,INDIRECT("CXC!A2:H"&amp;COUNTA(CXC!A:A)),8,FALSE))</f>
        <v/>
      </c>
      <c r="E358" s="137" t="str">
        <f t="array" ref="E358">IFERROR(IF(A358="","",VLOOKUP(A358,INDIRECT("HISTÓRICO COBROS!A3:E"&amp;COUNTA('HISTÓRICO COBROS'!A:A)),5,FALSE)),"")</f>
        <v/>
      </c>
      <c r="F358" s="137" t="str">
        <f t="array" ref="F358">IF(A358="","",VLOOKUP(A358,INDIRECT("CXC!A2:I"&amp;COUNTA(CXC!A:A)),9,FALSE))</f>
        <v/>
      </c>
      <c r="G358" s="137" t="str">
        <f t="array" ref="G358">IFERROR(IF(A358="","",VLOOKUP(A358,INDIRECT("HISTÓRICO COBROS!A3:F"&amp;COUNTA('HISTÓRICO COBROS'!A:A)),6,FALSE)),"")</f>
        <v/>
      </c>
      <c r="H358" s="138" t="str">
        <f t="shared" ref="H358:I358" si="359">IF(D358="","",D358+F358)</f>
        <v/>
      </c>
      <c r="I358" s="135" t="str">
        <f t="shared" si="359"/>
        <v/>
      </c>
      <c r="J358" s="140" t="str">
        <f t="shared" si="3"/>
        <v/>
      </c>
      <c r="K358" s="140" t="str">
        <f t="shared" si="4"/>
        <v/>
      </c>
    </row>
    <row r="359" ht="22.5" customHeight="1">
      <c r="A359" s="140"/>
      <c r="B359" s="135" t="str">
        <f t="array" ref="B359">IF(A359="","",VLOOKUP(A359,INDIRECT("CXC!A2:B"&amp;COUNTA(CXC!A:A)),2,FALSE))</f>
        <v/>
      </c>
      <c r="C359" s="136" t="str">
        <f t="array" ref="C359">IF(A359="","",VLOOKUP(A359,INDIRECT("CXC!A2:C"&amp;COUNTA(CXC!A:A)),3,FALSE))</f>
        <v/>
      </c>
      <c r="D359" s="137" t="str">
        <f t="array" ref="D359">IF(A359="","",VLOOKUP(A359,INDIRECT("CXC!A2:H"&amp;COUNTA(CXC!A:A)),8,FALSE))</f>
        <v/>
      </c>
      <c r="E359" s="137" t="str">
        <f t="array" ref="E359">IFERROR(IF(A359="","",VLOOKUP(A359,INDIRECT("HISTÓRICO COBROS!A3:E"&amp;COUNTA('HISTÓRICO COBROS'!A:A)),5,FALSE)),"")</f>
        <v/>
      </c>
      <c r="F359" s="137" t="str">
        <f t="array" ref="F359">IF(A359="","",VLOOKUP(A359,INDIRECT("CXC!A2:I"&amp;COUNTA(CXC!A:A)),9,FALSE))</f>
        <v/>
      </c>
      <c r="G359" s="137" t="str">
        <f t="array" ref="G359">IFERROR(IF(A359="","",VLOOKUP(A359,INDIRECT("HISTÓRICO COBROS!A3:F"&amp;COUNTA('HISTÓRICO COBROS'!A:A)),6,FALSE)),"")</f>
        <v/>
      </c>
      <c r="H359" s="138" t="str">
        <f t="shared" ref="H359:I359" si="360">IF(D359="","",D359+F359)</f>
        <v/>
      </c>
      <c r="I359" s="135" t="str">
        <f t="shared" si="360"/>
        <v/>
      </c>
      <c r="J359" s="140" t="str">
        <f t="shared" si="3"/>
        <v/>
      </c>
      <c r="K359" s="140" t="str">
        <f t="shared" si="4"/>
        <v/>
      </c>
    </row>
    <row r="360" ht="22.5" customHeight="1">
      <c r="A360" s="140"/>
      <c r="B360" s="135" t="str">
        <f t="array" ref="B360">IF(A360="","",VLOOKUP(A360,INDIRECT("CXC!A2:B"&amp;COUNTA(CXC!A:A)),2,FALSE))</f>
        <v/>
      </c>
      <c r="C360" s="136" t="str">
        <f t="array" ref="C360">IF(A360="","",VLOOKUP(A360,INDIRECT("CXC!A2:C"&amp;COUNTA(CXC!A:A)),3,FALSE))</f>
        <v/>
      </c>
      <c r="D360" s="137" t="str">
        <f t="array" ref="D360">IF(A360="","",VLOOKUP(A360,INDIRECT("CXC!A2:H"&amp;COUNTA(CXC!A:A)),8,FALSE))</f>
        <v/>
      </c>
      <c r="E360" s="137" t="str">
        <f t="array" ref="E360">IFERROR(IF(A360="","",VLOOKUP(A360,INDIRECT("HISTÓRICO COBROS!A3:E"&amp;COUNTA('HISTÓRICO COBROS'!A:A)),5,FALSE)),"")</f>
        <v/>
      </c>
      <c r="F360" s="137" t="str">
        <f t="array" ref="F360">IF(A360="","",VLOOKUP(A360,INDIRECT("CXC!A2:I"&amp;COUNTA(CXC!A:A)),9,FALSE))</f>
        <v/>
      </c>
      <c r="G360" s="137" t="str">
        <f t="array" ref="G360">IFERROR(IF(A360="","",VLOOKUP(A360,INDIRECT("HISTÓRICO COBROS!A3:F"&amp;COUNTA('HISTÓRICO COBROS'!A:A)),6,FALSE)),"")</f>
        <v/>
      </c>
      <c r="H360" s="138" t="str">
        <f t="shared" ref="H360:I360" si="361">IF(D360="","",D360+F360)</f>
        <v/>
      </c>
      <c r="I360" s="135" t="str">
        <f t="shared" si="361"/>
        <v/>
      </c>
      <c r="J360" s="140" t="str">
        <f t="shared" si="3"/>
        <v/>
      </c>
      <c r="K360" s="140" t="str">
        <f t="shared" si="4"/>
        <v/>
      </c>
    </row>
    <row r="361" ht="22.5" customHeight="1">
      <c r="A361" s="140"/>
      <c r="B361" s="135" t="str">
        <f t="array" ref="B361">IF(A361="","",VLOOKUP(A361,INDIRECT("CXC!A2:B"&amp;COUNTA(CXC!A:A)),2,FALSE))</f>
        <v/>
      </c>
      <c r="C361" s="136" t="str">
        <f t="array" ref="C361">IF(A361="","",VLOOKUP(A361,INDIRECT("CXC!A2:C"&amp;COUNTA(CXC!A:A)),3,FALSE))</f>
        <v/>
      </c>
      <c r="D361" s="137" t="str">
        <f t="array" ref="D361">IF(A361="","",VLOOKUP(A361,INDIRECT("CXC!A2:H"&amp;COUNTA(CXC!A:A)),8,FALSE))</f>
        <v/>
      </c>
      <c r="E361" s="137" t="str">
        <f t="array" ref="E361">IFERROR(IF(A361="","",VLOOKUP(A361,INDIRECT("HISTÓRICO COBROS!A3:E"&amp;COUNTA('HISTÓRICO COBROS'!A:A)),5,FALSE)),"")</f>
        <v/>
      </c>
      <c r="F361" s="137" t="str">
        <f t="array" ref="F361">IF(A361="","",VLOOKUP(A361,INDIRECT("CXC!A2:I"&amp;COUNTA(CXC!A:A)),9,FALSE))</f>
        <v/>
      </c>
      <c r="G361" s="137" t="str">
        <f t="array" ref="G361">IFERROR(IF(A361="","",VLOOKUP(A361,INDIRECT("HISTÓRICO COBROS!A3:F"&amp;COUNTA('HISTÓRICO COBROS'!A:A)),6,FALSE)),"")</f>
        <v/>
      </c>
      <c r="H361" s="138" t="str">
        <f t="shared" ref="H361:I361" si="362">IF(D361="","",D361+F361)</f>
        <v/>
      </c>
      <c r="I361" s="135" t="str">
        <f t="shared" si="362"/>
        <v/>
      </c>
      <c r="J361" s="140" t="str">
        <f t="shared" si="3"/>
        <v/>
      </c>
      <c r="K361" s="140" t="str">
        <f t="shared" si="4"/>
        <v/>
      </c>
    </row>
    <row r="362" ht="22.5" customHeight="1">
      <c r="A362" s="140"/>
      <c r="B362" s="135" t="str">
        <f t="array" ref="B362">IF(A362="","",VLOOKUP(A362,INDIRECT("CXC!A2:B"&amp;COUNTA(CXC!A:A)),2,FALSE))</f>
        <v/>
      </c>
      <c r="C362" s="136" t="str">
        <f t="array" ref="C362">IF(A362="","",VLOOKUP(A362,INDIRECT("CXC!A2:C"&amp;COUNTA(CXC!A:A)),3,FALSE))</f>
        <v/>
      </c>
      <c r="D362" s="137" t="str">
        <f t="array" ref="D362">IF(A362="","",VLOOKUP(A362,INDIRECT("CXC!A2:H"&amp;COUNTA(CXC!A:A)),8,FALSE))</f>
        <v/>
      </c>
      <c r="E362" s="137" t="str">
        <f t="array" ref="E362">IFERROR(IF(A362="","",VLOOKUP(A362,INDIRECT("HISTÓRICO COBROS!A3:E"&amp;COUNTA('HISTÓRICO COBROS'!A:A)),5,FALSE)),"")</f>
        <v/>
      </c>
      <c r="F362" s="137" t="str">
        <f t="array" ref="F362">IF(A362="","",VLOOKUP(A362,INDIRECT("CXC!A2:I"&amp;COUNTA(CXC!A:A)),9,FALSE))</f>
        <v/>
      </c>
      <c r="G362" s="137" t="str">
        <f t="array" ref="G362">IFERROR(IF(A362="","",VLOOKUP(A362,INDIRECT("HISTÓRICO COBROS!A3:F"&amp;COUNTA('HISTÓRICO COBROS'!A:A)),6,FALSE)),"")</f>
        <v/>
      </c>
      <c r="H362" s="138" t="str">
        <f t="shared" ref="H362:I362" si="363">IF(D362="","",D362+F362)</f>
        <v/>
      </c>
      <c r="I362" s="135" t="str">
        <f t="shared" si="363"/>
        <v/>
      </c>
      <c r="J362" s="140" t="str">
        <f t="shared" si="3"/>
        <v/>
      </c>
      <c r="K362" s="140" t="str">
        <f t="shared" si="4"/>
        <v/>
      </c>
    </row>
    <row r="363" ht="22.5" customHeight="1">
      <c r="A363" s="140"/>
      <c r="B363" s="135" t="str">
        <f t="array" ref="B363">IF(A363="","",VLOOKUP(A363,INDIRECT("CXC!A2:B"&amp;COUNTA(CXC!A:A)),2,FALSE))</f>
        <v/>
      </c>
      <c r="C363" s="136" t="str">
        <f t="array" ref="C363">IF(A363="","",VLOOKUP(A363,INDIRECT("CXC!A2:C"&amp;COUNTA(CXC!A:A)),3,FALSE))</f>
        <v/>
      </c>
      <c r="D363" s="137" t="str">
        <f t="array" ref="D363">IF(A363="","",VLOOKUP(A363,INDIRECT("CXC!A2:H"&amp;COUNTA(CXC!A:A)),8,FALSE))</f>
        <v/>
      </c>
      <c r="E363" s="137" t="str">
        <f t="array" ref="E363">IFERROR(IF(A363="","",VLOOKUP(A363,INDIRECT("HISTÓRICO COBROS!A3:E"&amp;COUNTA('HISTÓRICO COBROS'!A:A)),5,FALSE)),"")</f>
        <v/>
      </c>
      <c r="F363" s="137" t="str">
        <f t="array" ref="F363">IF(A363="","",VLOOKUP(A363,INDIRECT("CXC!A2:I"&amp;COUNTA(CXC!A:A)),9,FALSE))</f>
        <v/>
      </c>
      <c r="G363" s="137" t="str">
        <f t="array" ref="G363">IFERROR(IF(A363="","",VLOOKUP(A363,INDIRECT("HISTÓRICO COBROS!A3:F"&amp;COUNTA('HISTÓRICO COBROS'!A:A)),6,FALSE)),"")</f>
        <v/>
      </c>
      <c r="H363" s="138" t="str">
        <f t="shared" ref="H363:I363" si="364">IF(D363="","",D363+F363)</f>
        <v/>
      </c>
      <c r="I363" s="135" t="str">
        <f t="shared" si="364"/>
        <v/>
      </c>
      <c r="J363" s="140" t="str">
        <f t="shared" si="3"/>
        <v/>
      </c>
      <c r="K363" s="140" t="str">
        <f t="shared" si="4"/>
        <v/>
      </c>
    </row>
    <row r="364" ht="22.5" customHeight="1">
      <c r="A364" s="140"/>
      <c r="B364" s="135" t="str">
        <f t="array" ref="B364">IF(A364="","",VLOOKUP(A364,INDIRECT("CXC!A2:B"&amp;COUNTA(CXC!A:A)),2,FALSE))</f>
        <v/>
      </c>
      <c r="C364" s="136" t="str">
        <f t="array" ref="C364">IF(A364="","",VLOOKUP(A364,INDIRECT("CXC!A2:C"&amp;COUNTA(CXC!A:A)),3,FALSE))</f>
        <v/>
      </c>
      <c r="D364" s="137" t="str">
        <f t="array" ref="D364">IF(A364="","",VLOOKUP(A364,INDIRECT("CXC!A2:H"&amp;COUNTA(CXC!A:A)),8,FALSE))</f>
        <v/>
      </c>
      <c r="E364" s="137" t="str">
        <f t="array" ref="E364">IFERROR(IF(A364="","",VLOOKUP(A364,INDIRECT("HISTÓRICO COBROS!A3:E"&amp;COUNTA('HISTÓRICO COBROS'!A:A)),5,FALSE)),"")</f>
        <v/>
      </c>
      <c r="F364" s="137" t="str">
        <f t="array" ref="F364">IF(A364="","",VLOOKUP(A364,INDIRECT("CXC!A2:I"&amp;COUNTA(CXC!A:A)),9,FALSE))</f>
        <v/>
      </c>
      <c r="G364" s="137" t="str">
        <f t="array" ref="G364">IFERROR(IF(A364="","",VLOOKUP(A364,INDIRECT("HISTÓRICO COBROS!A3:F"&amp;COUNTA('HISTÓRICO COBROS'!A:A)),6,FALSE)),"")</f>
        <v/>
      </c>
      <c r="H364" s="138" t="str">
        <f t="shared" ref="H364:I364" si="365">IF(D364="","",D364+F364)</f>
        <v/>
      </c>
      <c r="I364" s="135" t="str">
        <f t="shared" si="365"/>
        <v/>
      </c>
      <c r="J364" s="140" t="str">
        <f t="shared" si="3"/>
        <v/>
      </c>
      <c r="K364" s="140" t="str">
        <f t="shared" si="4"/>
        <v/>
      </c>
    </row>
    <row r="365" ht="22.5" customHeight="1">
      <c r="A365" s="140"/>
      <c r="B365" s="135" t="str">
        <f t="array" ref="B365">IF(A365="","",VLOOKUP(A365,INDIRECT("CXC!A2:B"&amp;COUNTA(CXC!A:A)),2,FALSE))</f>
        <v/>
      </c>
      <c r="C365" s="136" t="str">
        <f t="array" ref="C365">IF(A365="","",VLOOKUP(A365,INDIRECT("CXC!A2:C"&amp;COUNTA(CXC!A:A)),3,FALSE))</f>
        <v/>
      </c>
      <c r="D365" s="137" t="str">
        <f t="array" ref="D365">IF(A365="","",VLOOKUP(A365,INDIRECT("CXC!A2:H"&amp;COUNTA(CXC!A:A)),8,FALSE))</f>
        <v/>
      </c>
      <c r="E365" s="137" t="str">
        <f t="array" ref="E365">IFERROR(IF(A365="","",VLOOKUP(A365,INDIRECT("HISTÓRICO COBROS!A3:E"&amp;COUNTA('HISTÓRICO COBROS'!A:A)),5,FALSE)),"")</f>
        <v/>
      </c>
      <c r="F365" s="137" t="str">
        <f t="array" ref="F365">IF(A365="","",VLOOKUP(A365,INDIRECT("CXC!A2:I"&amp;COUNTA(CXC!A:A)),9,FALSE))</f>
        <v/>
      </c>
      <c r="G365" s="137" t="str">
        <f t="array" ref="G365">IFERROR(IF(A365="","",VLOOKUP(A365,INDIRECT("HISTÓRICO COBROS!A3:F"&amp;COUNTA('HISTÓRICO COBROS'!A:A)),6,FALSE)),"")</f>
        <v/>
      </c>
      <c r="H365" s="138" t="str">
        <f t="shared" ref="H365:I365" si="366">IF(D365="","",D365+F365)</f>
        <v/>
      </c>
      <c r="I365" s="135" t="str">
        <f t="shared" si="366"/>
        <v/>
      </c>
      <c r="J365" s="140" t="str">
        <f t="shared" si="3"/>
        <v/>
      </c>
      <c r="K365" s="140" t="str">
        <f t="shared" si="4"/>
        <v/>
      </c>
    </row>
    <row r="366" ht="22.5" customHeight="1">
      <c r="A366" s="140"/>
      <c r="B366" s="135" t="str">
        <f t="array" ref="B366">IF(A366="","",VLOOKUP(A366,INDIRECT("CXC!A2:B"&amp;COUNTA(CXC!A:A)),2,FALSE))</f>
        <v/>
      </c>
      <c r="C366" s="136" t="str">
        <f t="array" ref="C366">IF(A366="","",VLOOKUP(A366,INDIRECT("CXC!A2:C"&amp;COUNTA(CXC!A:A)),3,FALSE))</f>
        <v/>
      </c>
      <c r="D366" s="137" t="str">
        <f t="array" ref="D366">IF(A366="","",VLOOKUP(A366,INDIRECT("CXC!A2:H"&amp;COUNTA(CXC!A:A)),8,FALSE))</f>
        <v/>
      </c>
      <c r="E366" s="137" t="str">
        <f t="array" ref="E366">IFERROR(IF(A366="","",VLOOKUP(A366,INDIRECT("HISTÓRICO COBROS!A3:E"&amp;COUNTA('HISTÓRICO COBROS'!A:A)),5,FALSE)),"")</f>
        <v/>
      </c>
      <c r="F366" s="137" t="str">
        <f t="array" ref="F366">IF(A366="","",VLOOKUP(A366,INDIRECT("CXC!A2:I"&amp;COUNTA(CXC!A:A)),9,FALSE))</f>
        <v/>
      </c>
      <c r="G366" s="137" t="str">
        <f t="array" ref="G366">IFERROR(IF(A366="","",VLOOKUP(A366,INDIRECT("HISTÓRICO COBROS!A3:F"&amp;COUNTA('HISTÓRICO COBROS'!A:A)),6,FALSE)),"")</f>
        <v/>
      </c>
      <c r="H366" s="138" t="str">
        <f t="shared" ref="H366:I366" si="367">IF(D366="","",D366+F366)</f>
        <v/>
      </c>
      <c r="I366" s="135" t="str">
        <f t="shared" si="367"/>
        <v/>
      </c>
      <c r="J366" s="140" t="str">
        <f t="shared" si="3"/>
        <v/>
      </c>
      <c r="K366" s="140" t="str">
        <f t="shared" si="4"/>
        <v/>
      </c>
    </row>
    <row r="367" ht="22.5" customHeight="1">
      <c r="A367" s="140"/>
      <c r="B367" s="135" t="str">
        <f t="array" ref="B367">IF(A367="","",VLOOKUP(A367,INDIRECT("CXC!A2:B"&amp;COUNTA(CXC!A:A)),2,FALSE))</f>
        <v/>
      </c>
      <c r="C367" s="136" t="str">
        <f t="array" ref="C367">IF(A367="","",VLOOKUP(A367,INDIRECT("CXC!A2:C"&amp;COUNTA(CXC!A:A)),3,FALSE))</f>
        <v/>
      </c>
      <c r="D367" s="137" t="str">
        <f t="array" ref="D367">IF(A367="","",VLOOKUP(A367,INDIRECT("CXC!A2:H"&amp;COUNTA(CXC!A:A)),8,FALSE))</f>
        <v/>
      </c>
      <c r="E367" s="137" t="str">
        <f t="array" ref="E367">IFERROR(IF(A367="","",VLOOKUP(A367,INDIRECT("HISTÓRICO COBROS!A3:E"&amp;COUNTA('HISTÓRICO COBROS'!A:A)),5,FALSE)),"")</f>
        <v/>
      </c>
      <c r="F367" s="137" t="str">
        <f t="array" ref="F367">IF(A367="","",VLOOKUP(A367,INDIRECT("CXC!A2:I"&amp;COUNTA(CXC!A:A)),9,FALSE))</f>
        <v/>
      </c>
      <c r="G367" s="137" t="str">
        <f t="array" ref="G367">IFERROR(IF(A367="","",VLOOKUP(A367,INDIRECT("HISTÓRICO COBROS!A3:F"&amp;COUNTA('HISTÓRICO COBROS'!A:A)),6,FALSE)),"")</f>
        <v/>
      </c>
      <c r="H367" s="138" t="str">
        <f t="shared" ref="H367:I367" si="368">IF(D367="","",D367+F367)</f>
        <v/>
      </c>
      <c r="I367" s="135" t="str">
        <f t="shared" si="368"/>
        <v/>
      </c>
      <c r="J367" s="140" t="str">
        <f t="shared" si="3"/>
        <v/>
      </c>
      <c r="K367" s="140" t="str">
        <f t="shared" si="4"/>
        <v/>
      </c>
    </row>
    <row r="368" ht="22.5" customHeight="1">
      <c r="A368" s="140"/>
      <c r="B368" s="135" t="str">
        <f t="array" ref="B368">IF(A368="","",VLOOKUP(A368,INDIRECT("CXC!A2:B"&amp;COUNTA(CXC!A:A)),2,FALSE))</f>
        <v/>
      </c>
      <c r="C368" s="136" t="str">
        <f t="array" ref="C368">IF(A368="","",VLOOKUP(A368,INDIRECT("CXC!A2:C"&amp;COUNTA(CXC!A:A)),3,FALSE))</f>
        <v/>
      </c>
      <c r="D368" s="137" t="str">
        <f t="array" ref="D368">IF(A368="","",VLOOKUP(A368,INDIRECT("CXC!A2:H"&amp;COUNTA(CXC!A:A)),8,FALSE))</f>
        <v/>
      </c>
      <c r="E368" s="137" t="str">
        <f t="array" ref="E368">IFERROR(IF(A368="","",VLOOKUP(A368,INDIRECT("HISTÓRICO COBROS!A3:E"&amp;COUNTA('HISTÓRICO COBROS'!A:A)),5,FALSE)),"")</f>
        <v/>
      </c>
      <c r="F368" s="137" t="str">
        <f t="array" ref="F368">IF(A368="","",VLOOKUP(A368,INDIRECT("CXC!A2:I"&amp;COUNTA(CXC!A:A)),9,FALSE))</f>
        <v/>
      </c>
      <c r="G368" s="137" t="str">
        <f t="array" ref="G368">IFERROR(IF(A368="","",VLOOKUP(A368,INDIRECT("HISTÓRICO COBROS!A3:F"&amp;COUNTA('HISTÓRICO COBROS'!A:A)),6,FALSE)),"")</f>
        <v/>
      </c>
      <c r="H368" s="138" t="str">
        <f t="shared" ref="H368:I368" si="369">IF(D368="","",D368+F368)</f>
        <v/>
      </c>
      <c r="I368" s="135" t="str">
        <f t="shared" si="369"/>
        <v/>
      </c>
      <c r="J368" s="140" t="str">
        <f t="shared" si="3"/>
        <v/>
      </c>
      <c r="K368" s="140" t="str">
        <f t="shared" si="4"/>
        <v/>
      </c>
    </row>
    <row r="369" ht="22.5" customHeight="1">
      <c r="A369" s="140"/>
      <c r="B369" s="135" t="str">
        <f t="array" ref="B369">IF(A369="","",VLOOKUP(A369,INDIRECT("CXC!A2:B"&amp;COUNTA(CXC!A:A)),2,FALSE))</f>
        <v/>
      </c>
      <c r="C369" s="136" t="str">
        <f t="array" ref="C369">IF(A369="","",VLOOKUP(A369,INDIRECT("CXC!A2:C"&amp;COUNTA(CXC!A:A)),3,FALSE))</f>
        <v/>
      </c>
      <c r="D369" s="137" t="str">
        <f t="array" ref="D369">IF(A369="","",VLOOKUP(A369,INDIRECT("CXC!A2:H"&amp;COUNTA(CXC!A:A)),8,FALSE))</f>
        <v/>
      </c>
      <c r="E369" s="137" t="str">
        <f t="array" ref="E369">IFERROR(IF(A369="","",VLOOKUP(A369,INDIRECT("HISTÓRICO COBROS!A3:E"&amp;COUNTA('HISTÓRICO COBROS'!A:A)),5,FALSE)),"")</f>
        <v/>
      </c>
      <c r="F369" s="137" t="str">
        <f t="array" ref="F369">IF(A369="","",VLOOKUP(A369,INDIRECT("CXC!A2:I"&amp;COUNTA(CXC!A:A)),9,FALSE))</f>
        <v/>
      </c>
      <c r="G369" s="137" t="str">
        <f t="array" ref="G369">IFERROR(IF(A369="","",VLOOKUP(A369,INDIRECT("HISTÓRICO COBROS!A3:F"&amp;COUNTA('HISTÓRICO COBROS'!A:A)),6,FALSE)),"")</f>
        <v/>
      </c>
      <c r="H369" s="138" t="str">
        <f t="shared" ref="H369:I369" si="370">IF(D369="","",D369+F369)</f>
        <v/>
      </c>
      <c r="I369" s="135" t="str">
        <f t="shared" si="370"/>
        <v/>
      </c>
      <c r="J369" s="140" t="str">
        <f t="shared" si="3"/>
        <v/>
      </c>
      <c r="K369" s="140" t="str">
        <f t="shared" si="4"/>
        <v/>
      </c>
    </row>
    <row r="370" ht="22.5" customHeight="1">
      <c r="A370" s="140"/>
      <c r="B370" s="135" t="str">
        <f t="array" ref="B370">IF(A370="","",VLOOKUP(A370,INDIRECT("CXC!A2:B"&amp;COUNTA(CXC!A:A)),2,FALSE))</f>
        <v/>
      </c>
      <c r="C370" s="136" t="str">
        <f t="array" ref="C370">IF(A370="","",VLOOKUP(A370,INDIRECT("CXC!A2:C"&amp;COUNTA(CXC!A:A)),3,FALSE))</f>
        <v/>
      </c>
      <c r="D370" s="137" t="str">
        <f t="array" ref="D370">IF(A370="","",VLOOKUP(A370,INDIRECT("CXC!A2:H"&amp;COUNTA(CXC!A:A)),8,FALSE))</f>
        <v/>
      </c>
      <c r="E370" s="137" t="str">
        <f t="array" ref="E370">IFERROR(IF(A370="","",VLOOKUP(A370,INDIRECT("HISTÓRICO COBROS!A3:E"&amp;COUNTA('HISTÓRICO COBROS'!A:A)),5,FALSE)),"")</f>
        <v/>
      </c>
      <c r="F370" s="137" t="str">
        <f t="array" ref="F370">IF(A370="","",VLOOKUP(A370,INDIRECT("CXC!A2:I"&amp;COUNTA(CXC!A:A)),9,FALSE))</f>
        <v/>
      </c>
      <c r="G370" s="137" t="str">
        <f t="array" ref="G370">IFERROR(IF(A370="","",VLOOKUP(A370,INDIRECT("HISTÓRICO COBROS!A3:F"&amp;COUNTA('HISTÓRICO COBROS'!A:A)),6,FALSE)),"")</f>
        <v/>
      </c>
      <c r="H370" s="138" t="str">
        <f t="shared" ref="H370:I370" si="371">IF(D370="","",D370+F370)</f>
        <v/>
      </c>
      <c r="I370" s="135" t="str">
        <f t="shared" si="371"/>
        <v/>
      </c>
      <c r="J370" s="140" t="str">
        <f t="shared" si="3"/>
        <v/>
      </c>
      <c r="K370" s="140" t="str">
        <f t="shared" si="4"/>
        <v/>
      </c>
    </row>
    <row r="371" ht="22.5" customHeight="1">
      <c r="A371" s="140"/>
      <c r="B371" s="135" t="str">
        <f t="array" ref="B371">IF(A371="","",VLOOKUP(A371,INDIRECT("CXC!A2:B"&amp;COUNTA(CXC!A:A)),2,FALSE))</f>
        <v/>
      </c>
      <c r="C371" s="136" t="str">
        <f t="array" ref="C371">IF(A371="","",VLOOKUP(A371,INDIRECT("CXC!A2:C"&amp;COUNTA(CXC!A:A)),3,FALSE))</f>
        <v/>
      </c>
      <c r="D371" s="137" t="str">
        <f t="array" ref="D371">IF(A371="","",VLOOKUP(A371,INDIRECT("CXC!A2:H"&amp;COUNTA(CXC!A:A)),8,FALSE))</f>
        <v/>
      </c>
      <c r="E371" s="137" t="str">
        <f t="array" ref="E371">IFERROR(IF(A371="","",VLOOKUP(A371,INDIRECT("HISTÓRICO COBROS!A3:E"&amp;COUNTA('HISTÓRICO COBROS'!A:A)),5,FALSE)),"")</f>
        <v/>
      </c>
      <c r="F371" s="137" t="str">
        <f t="array" ref="F371">IF(A371="","",VLOOKUP(A371,INDIRECT("CXC!A2:I"&amp;COUNTA(CXC!A:A)),9,FALSE))</f>
        <v/>
      </c>
      <c r="G371" s="137" t="str">
        <f t="array" ref="G371">IFERROR(IF(A371="","",VLOOKUP(A371,INDIRECT("HISTÓRICO COBROS!A3:F"&amp;COUNTA('HISTÓRICO COBROS'!A:A)),6,FALSE)),"")</f>
        <v/>
      </c>
      <c r="H371" s="138" t="str">
        <f t="shared" ref="H371:I371" si="372">IF(D371="","",D371+F371)</f>
        <v/>
      </c>
      <c r="I371" s="135" t="str">
        <f t="shared" si="372"/>
        <v/>
      </c>
      <c r="J371" s="140" t="str">
        <f t="shared" si="3"/>
        <v/>
      </c>
      <c r="K371" s="140" t="str">
        <f t="shared" si="4"/>
        <v/>
      </c>
    </row>
    <row r="372" ht="22.5" customHeight="1">
      <c r="A372" s="140"/>
      <c r="B372" s="135" t="str">
        <f t="array" ref="B372">IF(A372="","",VLOOKUP(A372,INDIRECT("CXC!A2:B"&amp;COUNTA(CXC!A:A)),2,FALSE))</f>
        <v/>
      </c>
      <c r="C372" s="136" t="str">
        <f t="array" ref="C372">IF(A372="","",VLOOKUP(A372,INDIRECT("CXC!A2:C"&amp;COUNTA(CXC!A:A)),3,FALSE))</f>
        <v/>
      </c>
      <c r="D372" s="137" t="str">
        <f t="array" ref="D372">IF(A372="","",VLOOKUP(A372,INDIRECT("CXC!A2:H"&amp;COUNTA(CXC!A:A)),8,FALSE))</f>
        <v/>
      </c>
      <c r="E372" s="137" t="str">
        <f t="array" ref="E372">IFERROR(IF(A372="","",VLOOKUP(A372,INDIRECT("HISTÓRICO COBROS!A3:E"&amp;COUNTA('HISTÓRICO COBROS'!A:A)),5,FALSE)),"")</f>
        <v/>
      </c>
      <c r="F372" s="137" t="str">
        <f t="array" ref="F372">IF(A372="","",VLOOKUP(A372,INDIRECT("CXC!A2:I"&amp;COUNTA(CXC!A:A)),9,FALSE))</f>
        <v/>
      </c>
      <c r="G372" s="137" t="str">
        <f t="array" ref="G372">IFERROR(IF(A372="","",VLOOKUP(A372,INDIRECT("HISTÓRICO COBROS!A3:F"&amp;COUNTA('HISTÓRICO COBROS'!A:A)),6,FALSE)),"")</f>
        <v/>
      </c>
      <c r="H372" s="138" t="str">
        <f t="shared" ref="H372:I372" si="373">IF(D372="","",D372+F372)</f>
        <v/>
      </c>
      <c r="I372" s="135" t="str">
        <f t="shared" si="373"/>
        <v/>
      </c>
      <c r="J372" s="140" t="str">
        <f t="shared" si="3"/>
        <v/>
      </c>
      <c r="K372" s="140" t="str">
        <f t="shared" si="4"/>
        <v/>
      </c>
    </row>
    <row r="373" ht="22.5" customHeight="1">
      <c r="A373" s="140"/>
      <c r="B373" s="135" t="str">
        <f t="array" ref="B373">IF(A373="","",VLOOKUP(A373,INDIRECT("CXC!A2:B"&amp;COUNTA(CXC!A:A)),2,FALSE))</f>
        <v/>
      </c>
      <c r="C373" s="136" t="str">
        <f t="array" ref="C373">IF(A373="","",VLOOKUP(A373,INDIRECT("CXC!A2:C"&amp;COUNTA(CXC!A:A)),3,FALSE))</f>
        <v/>
      </c>
      <c r="D373" s="137" t="str">
        <f t="array" ref="D373">IF(A373="","",VLOOKUP(A373,INDIRECT("CXC!A2:H"&amp;COUNTA(CXC!A:A)),8,FALSE))</f>
        <v/>
      </c>
      <c r="E373" s="137" t="str">
        <f t="array" ref="E373">IFERROR(IF(A373="","",VLOOKUP(A373,INDIRECT("HISTÓRICO COBROS!A3:E"&amp;COUNTA('HISTÓRICO COBROS'!A:A)),5,FALSE)),"")</f>
        <v/>
      </c>
      <c r="F373" s="137" t="str">
        <f t="array" ref="F373">IF(A373="","",VLOOKUP(A373,INDIRECT("CXC!A2:I"&amp;COUNTA(CXC!A:A)),9,FALSE))</f>
        <v/>
      </c>
      <c r="G373" s="137" t="str">
        <f t="array" ref="G373">IFERROR(IF(A373="","",VLOOKUP(A373,INDIRECT("HISTÓRICO COBROS!A3:F"&amp;COUNTA('HISTÓRICO COBROS'!A:A)),6,FALSE)),"")</f>
        <v/>
      </c>
      <c r="H373" s="138" t="str">
        <f t="shared" ref="H373:I373" si="374">IF(D373="","",D373+F373)</f>
        <v/>
      </c>
      <c r="I373" s="135" t="str">
        <f t="shared" si="374"/>
        <v/>
      </c>
      <c r="J373" s="140" t="str">
        <f t="shared" si="3"/>
        <v/>
      </c>
      <c r="K373" s="140" t="str">
        <f t="shared" si="4"/>
        <v/>
      </c>
    </row>
    <row r="374" ht="22.5" customHeight="1">
      <c r="A374" s="140"/>
      <c r="B374" s="135" t="str">
        <f t="array" ref="B374">IF(A374="","",VLOOKUP(A374,INDIRECT("CXC!A2:B"&amp;COUNTA(CXC!A:A)),2,FALSE))</f>
        <v/>
      </c>
      <c r="C374" s="136" t="str">
        <f t="array" ref="C374">IF(A374="","",VLOOKUP(A374,INDIRECT("CXC!A2:C"&amp;COUNTA(CXC!A:A)),3,FALSE))</f>
        <v/>
      </c>
      <c r="D374" s="137" t="str">
        <f t="array" ref="D374">IF(A374="","",VLOOKUP(A374,INDIRECT("CXC!A2:H"&amp;COUNTA(CXC!A:A)),8,FALSE))</f>
        <v/>
      </c>
      <c r="E374" s="137" t="str">
        <f t="array" ref="E374">IFERROR(IF(A374="","",VLOOKUP(A374,INDIRECT("HISTÓRICO COBROS!A3:E"&amp;COUNTA('HISTÓRICO COBROS'!A:A)),5,FALSE)),"")</f>
        <v/>
      </c>
      <c r="F374" s="137" t="str">
        <f t="array" ref="F374">IF(A374="","",VLOOKUP(A374,INDIRECT("CXC!A2:I"&amp;COUNTA(CXC!A:A)),9,FALSE))</f>
        <v/>
      </c>
      <c r="G374" s="137" t="str">
        <f t="array" ref="G374">IFERROR(IF(A374="","",VLOOKUP(A374,INDIRECT("HISTÓRICO COBROS!A3:F"&amp;COUNTA('HISTÓRICO COBROS'!A:A)),6,FALSE)),"")</f>
        <v/>
      </c>
      <c r="H374" s="138" t="str">
        <f t="shared" ref="H374:I374" si="375">IF(D374="","",D374+F374)</f>
        <v/>
      </c>
      <c r="I374" s="135" t="str">
        <f t="shared" si="375"/>
        <v/>
      </c>
      <c r="J374" s="140" t="str">
        <f t="shared" si="3"/>
        <v/>
      </c>
      <c r="K374" s="140" t="str">
        <f t="shared" si="4"/>
        <v/>
      </c>
    </row>
    <row r="375" ht="22.5" customHeight="1">
      <c r="A375" s="140"/>
      <c r="B375" s="135" t="str">
        <f t="array" ref="B375">IF(A375="","",VLOOKUP(A375,INDIRECT("CXC!A2:B"&amp;COUNTA(CXC!A:A)),2,FALSE))</f>
        <v/>
      </c>
      <c r="C375" s="136" t="str">
        <f t="array" ref="C375">IF(A375="","",VLOOKUP(A375,INDIRECT("CXC!A2:C"&amp;COUNTA(CXC!A:A)),3,FALSE))</f>
        <v/>
      </c>
      <c r="D375" s="137" t="str">
        <f t="array" ref="D375">IF(A375="","",VLOOKUP(A375,INDIRECT("CXC!A2:H"&amp;COUNTA(CXC!A:A)),8,FALSE))</f>
        <v/>
      </c>
      <c r="E375" s="137" t="str">
        <f t="array" ref="E375">IFERROR(IF(A375="","",VLOOKUP(A375,INDIRECT("HISTÓRICO COBROS!A3:E"&amp;COUNTA('HISTÓRICO COBROS'!A:A)),5,FALSE)),"")</f>
        <v/>
      </c>
      <c r="F375" s="137" t="str">
        <f t="array" ref="F375">IF(A375="","",VLOOKUP(A375,INDIRECT("CXC!A2:I"&amp;COUNTA(CXC!A:A)),9,FALSE))</f>
        <v/>
      </c>
      <c r="G375" s="137" t="str">
        <f t="array" ref="G375">IFERROR(IF(A375="","",VLOOKUP(A375,INDIRECT("HISTÓRICO COBROS!A3:F"&amp;COUNTA('HISTÓRICO COBROS'!A:A)),6,FALSE)),"")</f>
        <v/>
      </c>
      <c r="H375" s="138" t="str">
        <f t="shared" ref="H375:I375" si="376">IF(D375="","",D375+F375)</f>
        <v/>
      </c>
      <c r="I375" s="135" t="str">
        <f t="shared" si="376"/>
        <v/>
      </c>
      <c r="J375" s="140" t="str">
        <f t="shared" si="3"/>
        <v/>
      </c>
      <c r="K375" s="140" t="str">
        <f t="shared" si="4"/>
        <v/>
      </c>
    </row>
    <row r="376" ht="22.5" customHeight="1">
      <c r="A376" s="140"/>
      <c r="B376" s="135" t="str">
        <f t="array" ref="B376">IF(A376="","",VLOOKUP(A376,INDIRECT("CXC!A2:B"&amp;COUNTA(CXC!A:A)),2,FALSE))</f>
        <v/>
      </c>
      <c r="C376" s="136" t="str">
        <f t="array" ref="C376">IF(A376="","",VLOOKUP(A376,INDIRECT("CXC!A2:C"&amp;COUNTA(CXC!A:A)),3,FALSE))</f>
        <v/>
      </c>
      <c r="D376" s="137" t="str">
        <f t="array" ref="D376">IF(A376="","",VLOOKUP(A376,INDIRECT("CXC!A2:H"&amp;COUNTA(CXC!A:A)),8,FALSE))</f>
        <v/>
      </c>
      <c r="E376" s="137" t="str">
        <f t="array" ref="E376">IFERROR(IF(A376="","",VLOOKUP(A376,INDIRECT("HISTÓRICO COBROS!A3:E"&amp;COUNTA('HISTÓRICO COBROS'!A:A)),5,FALSE)),"")</f>
        <v/>
      </c>
      <c r="F376" s="137" t="str">
        <f t="array" ref="F376">IF(A376="","",VLOOKUP(A376,INDIRECT("CXC!A2:I"&amp;COUNTA(CXC!A:A)),9,FALSE))</f>
        <v/>
      </c>
      <c r="G376" s="137" t="str">
        <f t="array" ref="G376">IFERROR(IF(A376="","",VLOOKUP(A376,INDIRECT("HISTÓRICO COBROS!A3:F"&amp;COUNTA('HISTÓRICO COBROS'!A:A)),6,FALSE)),"")</f>
        <v/>
      </c>
      <c r="H376" s="138" t="str">
        <f t="shared" ref="H376:I376" si="377">IF(D376="","",D376+F376)</f>
        <v/>
      </c>
      <c r="I376" s="135" t="str">
        <f t="shared" si="377"/>
        <v/>
      </c>
      <c r="J376" s="140" t="str">
        <f t="shared" si="3"/>
        <v/>
      </c>
      <c r="K376" s="140" t="str">
        <f t="shared" si="4"/>
        <v/>
      </c>
    </row>
    <row r="377" ht="22.5" customHeight="1">
      <c r="A377" s="140"/>
      <c r="B377" s="135" t="str">
        <f t="array" ref="B377">IF(A377="","",VLOOKUP(A377,INDIRECT("CXC!A2:B"&amp;COUNTA(CXC!A:A)),2,FALSE))</f>
        <v/>
      </c>
      <c r="C377" s="136" t="str">
        <f t="array" ref="C377">IF(A377="","",VLOOKUP(A377,INDIRECT("CXC!A2:C"&amp;COUNTA(CXC!A:A)),3,FALSE))</f>
        <v/>
      </c>
      <c r="D377" s="137" t="str">
        <f t="array" ref="D377">IF(A377="","",VLOOKUP(A377,INDIRECT("CXC!A2:H"&amp;COUNTA(CXC!A:A)),8,FALSE))</f>
        <v/>
      </c>
      <c r="E377" s="137" t="str">
        <f t="array" ref="E377">IFERROR(IF(A377="","",VLOOKUP(A377,INDIRECT("HISTÓRICO COBROS!A3:E"&amp;COUNTA('HISTÓRICO COBROS'!A:A)),5,FALSE)),"")</f>
        <v/>
      </c>
      <c r="F377" s="137" t="str">
        <f t="array" ref="F377">IF(A377="","",VLOOKUP(A377,INDIRECT("CXC!A2:I"&amp;COUNTA(CXC!A:A)),9,FALSE))</f>
        <v/>
      </c>
      <c r="G377" s="137" t="str">
        <f t="array" ref="G377">IFERROR(IF(A377="","",VLOOKUP(A377,INDIRECT("HISTÓRICO COBROS!A3:F"&amp;COUNTA('HISTÓRICO COBROS'!A:A)),6,FALSE)),"")</f>
        <v/>
      </c>
      <c r="H377" s="138" t="str">
        <f t="shared" ref="H377:I377" si="378">IF(D377="","",D377+F377)</f>
        <v/>
      </c>
      <c r="I377" s="135" t="str">
        <f t="shared" si="378"/>
        <v/>
      </c>
      <c r="J377" s="140" t="str">
        <f t="shared" si="3"/>
        <v/>
      </c>
      <c r="K377" s="140" t="str">
        <f t="shared" si="4"/>
        <v/>
      </c>
    </row>
    <row r="378" ht="22.5" customHeight="1">
      <c r="A378" s="140"/>
      <c r="B378" s="135" t="str">
        <f t="array" ref="B378">IF(A378="","",VLOOKUP(A378,INDIRECT("CXC!A2:B"&amp;COUNTA(CXC!A:A)),2,FALSE))</f>
        <v/>
      </c>
      <c r="C378" s="136" t="str">
        <f t="array" ref="C378">IF(A378="","",VLOOKUP(A378,INDIRECT("CXC!A2:C"&amp;COUNTA(CXC!A:A)),3,FALSE))</f>
        <v/>
      </c>
      <c r="D378" s="137" t="str">
        <f t="array" ref="D378">IF(A378="","",VLOOKUP(A378,INDIRECT("CXC!A2:H"&amp;COUNTA(CXC!A:A)),8,FALSE))</f>
        <v/>
      </c>
      <c r="E378" s="137" t="str">
        <f t="array" ref="E378">IFERROR(IF(A378="","",VLOOKUP(A378,INDIRECT("HISTÓRICO COBROS!A3:E"&amp;COUNTA('HISTÓRICO COBROS'!A:A)),5,FALSE)),"")</f>
        <v/>
      </c>
      <c r="F378" s="137" t="str">
        <f t="array" ref="F378">IF(A378="","",VLOOKUP(A378,INDIRECT("CXC!A2:I"&amp;COUNTA(CXC!A:A)),9,FALSE))</f>
        <v/>
      </c>
      <c r="G378" s="137" t="str">
        <f t="array" ref="G378">IFERROR(IF(A378="","",VLOOKUP(A378,INDIRECT("HISTÓRICO COBROS!A3:F"&amp;COUNTA('HISTÓRICO COBROS'!A:A)),6,FALSE)),"")</f>
        <v/>
      </c>
      <c r="H378" s="138" t="str">
        <f t="shared" ref="H378:I378" si="379">IF(D378="","",D378+F378)</f>
        <v/>
      </c>
      <c r="I378" s="135" t="str">
        <f t="shared" si="379"/>
        <v/>
      </c>
      <c r="J378" s="140" t="str">
        <f t="shared" si="3"/>
        <v/>
      </c>
      <c r="K378" s="140" t="str">
        <f t="shared" si="4"/>
        <v/>
      </c>
    </row>
    <row r="379" ht="22.5" customHeight="1">
      <c r="A379" s="140"/>
      <c r="B379" s="135" t="str">
        <f t="array" ref="B379">IF(A379="","",VLOOKUP(A379,INDIRECT("CXC!A2:B"&amp;COUNTA(CXC!A:A)),2,FALSE))</f>
        <v/>
      </c>
      <c r="C379" s="136" t="str">
        <f t="array" ref="C379">IF(A379="","",VLOOKUP(A379,INDIRECT("CXC!A2:C"&amp;COUNTA(CXC!A:A)),3,FALSE))</f>
        <v/>
      </c>
      <c r="D379" s="137" t="str">
        <f t="array" ref="D379">IF(A379="","",VLOOKUP(A379,INDIRECT("CXC!A2:H"&amp;COUNTA(CXC!A:A)),8,FALSE))</f>
        <v/>
      </c>
      <c r="E379" s="137" t="str">
        <f t="array" ref="E379">IFERROR(IF(A379="","",VLOOKUP(A379,INDIRECT("HISTÓRICO COBROS!A3:E"&amp;COUNTA('HISTÓRICO COBROS'!A:A)),5,FALSE)),"")</f>
        <v/>
      </c>
      <c r="F379" s="137" t="str">
        <f t="array" ref="F379">IF(A379="","",VLOOKUP(A379,INDIRECT("CXC!A2:I"&amp;COUNTA(CXC!A:A)),9,FALSE))</f>
        <v/>
      </c>
      <c r="G379" s="137" t="str">
        <f t="array" ref="G379">IFERROR(IF(A379="","",VLOOKUP(A379,INDIRECT("HISTÓRICO COBROS!A3:F"&amp;COUNTA('HISTÓRICO COBROS'!A:A)),6,FALSE)),"")</f>
        <v/>
      </c>
      <c r="H379" s="138" t="str">
        <f t="shared" ref="H379:I379" si="380">IF(D379="","",D379+F379)</f>
        <v/>
      </c>
      <c r="I379" s="135" t="str">
        <f t="shared" si="380"/>
        <v/>
      </c>
      <c r="J379" s="140" t="str">
        <f t="shared" si="3"/>
        <v/>
      </c>
      <c r="K379" s="140" t="str">
        <f t="shared" si="4"/>
        <v/>
      </c>
    </row>
    <row r="380" ht="22.5" customHeight="1">
      <c r="A380" s="140"/>
      <c r="B380" s="135" t="str">
        <f t="array" ref="B380">IF(A380="","",VLOOKUP(A380,INDIRECT("CXC!A2:B"&amp;COUNTA(CXC!A:A)),2,FALSE))</f>
        <v/>
      </c>
      <c r="C380" s="136" t="str">
        <f t="array" ref="C380">IF(A380="","",VLOOKUP(A380,INDIRECT("CXC!A2:C"&amp;COUNTA(CXC!A:A)),3,FALSE))</f>
        <v/>
      </c>
      <c r="D380" s="137" t="str">
        <f t="array" ref="D380">IF(A380="","",VLOOKUP(A380,INDIRECT("CXC!A2:H"&amp;COUNTA(CXC!A:A)),8,FALSE))</f>
        <v/>
      </c>
      <c r="E380" s="137" t="str">
        <f t="array" ref="E380">IFERROR(IF(A380="","",VLOOKUP(A380,INDIRECT("HISTÓRICO COBROS!A3:E"&amp;COUNTA('HISTÓRICO COBROS'!A:A)),5,FALSE)),"")</f>
        <v/>
      </c>
      <c r="F380" s="137" t="str">
        <f t="array" ref="F380">IF(A380="","",VLOOKUP(A380,INDIRECT("CXC!A2:I"&amp;COUNTA(CXC!A:A)),9,FALSE))</f>
        <v/>
      </c>
      <c r="G380" s="137" t="str">
        <f t="array" ref="G380">IFERROR(IF(A380="","",VLOOKUP(A380,INDIRECT("HISTÓRICO COBROS!A3:F"&amp;COUNTA('HISTÓRICO COBROS'!A:A)),6,FALSE)),"")</f>
        <v/>
      </c>
      <c r="H380" s="138" t="str">
        <f t="shared" ref="H380:I380" si="381">IF(D380="","",D380+F380)</f>
        <v/>
      </c>
      <c r="I380" s="135" t="str">
        <f t="shared" si="381"/>
        <v/>
      </c>
      <c r="J380" s="140" t="str">
        <f t="shared" si="3"/>
        <v/>
      </c>
      <c r="K380" s="140" t="str">
        <f t="shared" si="4"/>
        <v/>
      </c>
    </row>
    <row r="381" ht="22.5" customHeight="1">
      <c r="A381" s="140"/>
      <c r="B381" s="135" t="str">
        <f t="array" ref="B381">IF(A381="","",VLOOKUP(A381,INDIRECT("CXC!A2:B"&amp;COUNTA(CXC!A:A)),2,FALSE))</f>
        <v/>
      </c>
      <c r="C381" s="136" t="str">
        <f t="array" ref="C381">IF(A381="","",VLOOKUP(A381,INDIRECT("CXC!A2:C"&amp;COUNTA(CXC!A:A)),3,FALSE))</f>
        <v/>
      </c>
      <c r="D381" s="137" t="str">
        <f t="array" ref="D381">IF(A381="","",VLOOKUP(A381,INDIRECT("CXC!A2:H"&amp;COUNTA(CXC!A:A)),8,FALSE))</f>
        <v/>
      </c>
      <c r="E381" s="137" t="str">
        <f t="array" ref="E381">IFERROR(IF(A381="","",VLOOKUP(A381,INDIRECT("HISTÓRICO COBROS!A3:E"&amp;COUNTA('HISTÓRICO COBROS'!A:A)),5,FALSE)),"")</f>
        <v/>
      </c>
      <c r="F381" s="137" t="str">
        <f t="array" ref="F381">IF(A381="","",VLOOKUP(A381,INDIRECT("CXC!A2:I"&amp;COUNTA(CXC!A:A)),9,FALSE))</f>
        <v/>
      </c>
      <c r="G381" s="137" t="str">
        <f t="array" ref="G381">IFERROR(IF(A381="","",VLOOKUP(A381,INDIRECT("HISTÓRICO COBROS!A3:F"&amp;COUNTA('HISTÓRICO COBROS'!A:A)),6,FALSE)),"")</f>
        <v/>
      </c>
      <c r="H381" s="138" t="str">
        <f t="shared" ref="H381:I381" si="382">IF(D381="","",D381+F381)</f>
        <v/>
      </c>
      <c r="I381" s="135" t="str">
        <f t="shared" si="382"/>
        <v/>
      </c>
      <c r="J381" s="140" t="str">
        <f t="shared" si="3"/>
        <v/>
      </c>
      <c r="K381" s="140" t="str">
        <f t="shared" si="4"/>
        <v/>
      </c>
    </row>
    <row r="382" ht="22.5" customHeight="1">
      <c r="A382" s="140"/>
      <c r="B382" s="135" t="str">
        <f t="array" ref="B382">IF(A382="","",VLOOKUP(A382,INDIRECT("CXC!A2:B"&amp;COUNTA(CXC!A:A)),2,FALSE))</f>
        <v/>
      </c>
      <c r="C382" s="136" t="str">
        <f t="array" ref="C382">IF(A382="","",VLOOKUP(A382,INDIRECT("CXC!A2:C"&amp;COUNTA(CXC!A:A)),3,FALSE))</f>
        <v/>
      </c>
      <c r="D382" s="137" t="str">
        <f t="array" ref="D382">IF(A382="","",VLOOKUP(A382,INDIRECT("CXC!A2:H"&amp;COUNTA(CXC!A:A)),8,FALSE))</f>
        <v/>
      </c>
      <c r="E382" s="137" t="str">
        <f t="array" ref="E382">IFERROR(IF(A382="","",VLOOKUP(A382,INDIRECT("HISTÓRICO COBROS!A3:E"&amp;COUNTA('HISTÓRICO COBROS'!A:A)),5,FALSE)),"")</f>
        <v/>
      </c>
      <c r="F382" s="137" t="str">
        <f t="array" ref="F382">IF(A382="","",VLOOKUP(A382,INDIRECT("CXC!A2:I"&amp;COUNTA(CXC!A:A)),9,FALSE))</f>
        <v/>
      </c>
      <c r="G382" s="137" t="str">
        <f t="array" ref="G382">IFERROR(IF(A382="","",VLOOKUP(A382,INDIRECT("HISTÓRICO COBROS!A3:F"&amp;COUNTA('HISTÓRICO COBROS'!A:A)),6,FALSE)),"")</f>
        <v/>
      </c>
      <c r="H382" s="138" t="str">
        <f t="shared" ref="H382:I382" si="383">IF(D382="","",D382+F382)</f>
        <v/>
      </c>
      <c r="I382" s="135" t="str">
        <f t="shared" si="383"/>
        <v/>
      </c>
      <c r="J382" s="140" t="str">
        <f t="shared" si="3"/>
        <v/>
      </c>
      <c r="K382" s="140" t="str">
        <f t="shared" si="4"/>
        <v/>
      </c>
    </row>
    <row r="383" ht="22.5" customHeight="1">
      <c r="A383" s="140"/>
      <c r="B383" s="135" t="str">
        <f t="array" ref="B383">IF(A383="","",VLOOKUP(A383,INDIRECT("CXC!A2:B"&amp;COUNTA(CXC!A:A)),2,FALSE))</f>
        <v/>
      </c>
      <c r="C383" s="136" t="str">
        <f t="array" ref="C383">IF(A383="","",VLOOKUP(A383,INDIRECT("CXC!A2:C"&amp;COUNTA(CXC!A:A)),3,FALSE))</f>
        <v/>
      </c>
      <c r="D383" s="137" t="str">
        <f t="array" ref="D383">IF(A383="","",VLOOKUP(A383,INDIRECT("CXC!A2:H"&amp;COUNTA(CXC!A:A)),8,FALSE))</f>
        <v/>
      </c>
      <c r="E383" s="137" t="str">
        <f t="array" ref="E383">IFERROR(IF(A383="","",VLOOKUP(A383,INDIRECT("HISTÓRICO COBROS!A3:E"&amp;COUNTA('HISTÓRICO COBROS'!A:A)),5,FALSE)),"")</f>
        <v/>
      </c>
      <c r="F383" s="137" t="str">
        <f t="array" ref="F383">IF(A383="","",VLOOKUP(A383,INDIRECT("CXC!A2:I"&amp;COUNTA(CXC!A:A)),9,FALSE))</f>
        <v/>
      </c>
      <c r="G383" s="137" t="str">
        <f t="array" ref="G383">IFERROR(IF(A383="","",VLOOKUP(A383,INDIRECT("HISTÓRICO COBROS!A3:F"&amp;COUNTA('HISTÓRICO COBROS'!A:A)),6,FALSE)),"")</f>
        <v/>
      </c>
      <c r="H383" s="138" t="str">
        <f t="shared" ref="H383:I383" si="384">IF(D383="","",D383+F383)</f>
        <v/>
      </c>
      <c r="I383" s="135" t="str">
        <f t="shared" si="384"/>
        <v/>
      </c>
      <c r="J383" s="140" t="str">
        <f t="shared" si="3"/>
        <v/>
      </c>
      <c r="K383" s="140" t="str">
        <f t="shared" si="4"/>
        <v/>
      </c>
    </row>
    <row r="384" ht="22.5" customHeight="1">
      <c r="A384" s="140"/>
      <c r="B384" s="135" t="str">
        <f t="array" ref="B384">IF(A384="","",VLOOKUP(A384,INDIRECT("CXC!A2:B"&amp;COUNTA(CXC!A:A)),2,FALSE))</f>
        <v/>
      </c>
      <c r="C384" s="136" t="str">
        <f t="array" ref="C384">IF(A384="","",VLOOKUP(A384,INDIRECT("CXC!A2:C"&amp;COUNTA(CXC!A:A)),3,FALSE))</f>
        <v/>
      </c>
      <c r="D384" s="137" t="str">
        <f t="array" ref="D384">IF(A384="","",VLOOKUP(A384,INDIRECT("CXC!A2:H"&amp;COUNTA(CXC!A:A)),8,FALSE))</f>
        <v/>
      </c>
      <c r="E384" s="137" t="str">
        <f t="array" ref="E384">IFERROR(IF(A384="","",VLOOKUP(A384,INDIRECT("HISTÓRICO COBROS!A3:E"&amp;COUNTA('HISTÓRICO COBROS'!A:A)),5,FALSE)),"")</f>
        <v/>
      </c>
      <c r="F384" s="137" t="str">
        <f t="array" ref="F384">IF(A384="","",VLOOKUP(A384,INDIRECT("CXC!A2:I"&amp;COUNTA(CXC!A:A)),9,FALSE))</f>
        <v/>
      </c>
      <c r="G384" s="137" t="str">
        <f t="array" ref="G384">IFERROR(IF(A384="","",VLOOKUP(A384,INDIRECT("HISTÓRICO COBROS!A3:F"&amp;COUNTA('HISTÓRICO COBROS'!A:A)),6,FALSE)),"")</f>
        <v/>
      </c>
      <c r="H384" s="138" t="str">
        <f t="shared" ref="H384:I384" si="385">IF(D384="","",D384+F384)</f>
        <v/>
      </c>
      <c r="I384" s="135" t="str">
        <f t="shared" si="385"/>
        <v/>
      </c>
      <c r="J384" s="140" t="str">
        <f t="shared" si="3"/>
        <v/>
      </c>
      <c r="K384" s="140" t="str">
        <f t="shared" si="4"/>
        <v/>
      </c>
    </row>
    <row r="385" ht="22.5" customHeight="1">
      <c r="A385" s="140"/>
      <c r="B385" s="135" t="str">
        <f t="array" ref="B385">IF(A385="","",VLOOKUP(A385,INDIRECT("CXC!A2:B"&amp;COUNTA(CXC!A:A)),2,FALSE))</f>
        <v/>
      </c>
      <c r="C385" s="136" t="str">
        <f t="array" ref="C385">IF(A385="","",VLOOKUP(A385,INDIRECT("CXC!A2:C"&amp;COUNTA(CXC!A:A)),3,FALSE))</f>
        <v/>
      </c>
      <c r="D385" s="137" t="str">
        <f t="array" ref="D385">IF(A385="","",VLOOKUP(A385,INDIRECT("CXC!A2:H"&amp;COUNTA(CXC!A:A)),8,FALSE))</f>
        <v/>
      </c>
      <c r="E385" s="137" t="str">
        <f t="array" ref="E385">IFERROR(IF(A385="","",VLOOKUP(A385,INDIRECT("HISTÓRICO COBROS!A3:E"&amp;COUNTA('HISTÓRICO COBROS'!A:A)),5,FALSE)),"")</f>
        <v/>
      </c>
      <c r="F385" s="137" t="str">
        <f t="array" ref="F385">IF(A385="","",VLOOKUP(A385,INDIRECT("CXC!A2:I"&amp;COUNTA(CXC!A:A)),9,FALSE))</f>
        <v/>
      </c>
      <c r="G385" s="137" t="str">
        <f t="array" ref="G385">IFERROR(IF(A385="","",VLOOKUP(A385,INDIRECT("HISTÓRICO COBROS!A3:F"&amp;COUNTA('HISTÓRICO COBROS'!A:A)),6,FALSE)),"")</f>
        <v/>
      </c>
      <c r="H385" s="138" t="str">
        <f t="shared" ref="H385:I385" si="386">IF(D385="","",D385+F385)</f>
        <v/>
      </c>
      <c r="I385" s="135" t="str">
        <f t="shared" si="386"/>
        <v/>
      </c>
      <c r="J385" s="140" t="str">
        <f t="shared" si="3"/>
        <v/>
      </c>
      <c r="K385" s="140" t="str">
        <f t="shared" si="4"/>
        <v/>
      </c>
    </row>
    <row r="386" ht="22.5" customHeight="1">
      <c r="A386" s="140"/>
      <c r="B386" s="135" t="str">
        <f t="array" ref="B386">IF(A386="","",VLOOKUP(A386,INDIRECT("CXC!A2:B"&amp;COUNTA(CXC!A:A)),2,FALSE))</f>
        <v/>
      </c>
      <c r="C386" s="136" t="str">
        <f t="array" ref="C386">IF(A386="","",VLOOKUP(A386,INDIRECT("CXC!A2:C"&amp;COUNTA(CXC!A:A)),3,FALSE))</f>
        <v/>
      </c>
      <c r="D386" s="137" t="str">
        <f t="array" ref="D386">IF(A386="","",VLOOKUP(A386,INDIRECT("CXC!A2:H"&amp;COUNTA(CXC!A:A)),8,FALSE))</f>
        <v/>
      </c>
      <c r="E386" s="137" t="str">
        <f t="array" ref="E386">IFERROR(IF(A386="","",VLOOKUP(A386,INDIRECT("HISTÓRICO COBROS!A3:E"&amp;COUNTA('HISTÓRICO COBROS'!A:A)),5,FALSE)),"")</f>
        <v/>
      </c>
      <c r="F386" s="137" t="str">
        <f t="array" ref="F386">IF(A386="","",VLOOKUP(A386,INDIRECT("CXC!A2:I"&amp;COUNTA(CXC!A:A)),9,FALSE))</f>
        <v/>
      </c>
      <c r="G386" s="137" t="str">
        <f t="array" ref="G386">IFERROR(IF(A386="","",VLOOKUP(A386,INDIRECT("HISTÓRICO COBROS!A3:F"&amp;COUNTA('HISTÓRICO COBROS'!A:A)),6,FALSE)),"")</f>
        <v/>
      </c>
      <c r="H386" s="138" t="str">
        <f t="shared" ref="H386:I386" si="387">IF(D386="","",D386+F386)</f>
        <v/>
      </c>
      <c r="I386" s="135" t="str">
        <f t="shared" si="387"/>
        <v/>
      </c>
      <c r="J386" s="140" t="str">
        <f t="shared" si="3"/>
        <v/>
      </c>
      <c r="K386" s="140" t="str">
        <f t="shared" si="4"/>
        <v/>
      </c>
    </row>
    <row r="387" ht="22.5" customHeight="1">
      <c r="A387" s="140"/>
      <c r="B387" s="135" t="str">
        <f t="array" ref="B387">IF(A387="","",VLOOKUP(A387,INDIRECT("CXC!A2:B"&amp;COUNTA(CXC!A:A)),2,FALSE))</f>
        <v/>
      </c>
      <c r="C387" s="136" t="str">
        <f t="array" ref="C387">IF(A387="","",VLOOKUP(A387,INDIRECT("CXC!A2:C"&amp;COUNTA(CXC!A:A)),3,FALSE))</f>
        <v/>
      </c>
      <c r="D387" s="137" t="str">
        <f t="array" ref="D387">IF(A387="","",VLOOKUP(A387,INDIRECT("CXC!A2:H"&amp;COUNTA(CXC!A:A)),8,FALSE))</f>
        <v/>
      </c>
      <c r="E387" s="137" t="str">
        <f t="array" ref="E387">IFERROR(IF(A387="","",VLOOKUP(A387,INDIRECT("HISTÓRICO COBROS!A3:E"&amp;COUNTA('HISTÓRICO COBROS'!A:A)),5,FALSE)),"")</f>
        <v/>
      </c>
      <c r="F387" s="137" t="str">
        <f t="array" ref="F387">IF(A387="","",VLOOKUP(A387,INDIRECT("CXC!A2:I"&amp;COUNTA(CXC!A:A)),9,FALSE))</f>
        <v/>
      </c>
      <c r="G387" s="137" t="str">
        <f t="array" ref="G387">IFERROR(IF(A387="","",VLOOKUP(A387,INDIRECT("HISTÓRICO COBROS!A3:F"&amp;COUNTA('HISTÓRICO COBROS'!A:A)),6,FALSE)),"")</f>
        <v/>
      </c>
      <c r="H387" s="138" t="str">
        <f t="shared" ref="H387:I387" si="388">IF(D387="","",D387+F387)</f>
        <v/>
      </c>
      <c r="I387" s="135" t="str">
        <f t="shared" si="388"/>
        <v/>
      </c>
      <c r="J387" s="140" t="str">
        <f t="shared" si="3"/>
        <v/>
      </c>
      <c r="K387" s="140" t="str">
        <f t="shared" si="4"/>
        <v/>
      </c>
    </row>
    <row r="388" ht="22.5" customHeight="1">
      <c r="A388" s="140"/>
      <c r="B388" s="135" t="str">
        <f t="array" ref="B388">IF(A388="","",VLOOKUP(A388,INDIRECT("CXC!A2:B"&amp;COUNTA(CXC!A:A)),2,FALSE))</f>
        <v/>
      </c>
      <c r="C388" s="136" t="str">
        <f t="array" ref="C388">IF(A388="","",VLOOKUP(A388,INDIRECT("CXC!A2:C"&amp;COUNTA(CXC!A:A)),3,FALSE))</f>
        <v/>
      </c>
      <c r="D388" s="137" t="str">
        <f t="array" ref="D388">IF(A388="","",VLOOKUP(A388,INDIRECT("CXC!A2:H"&amp;COUNTA(CXC!A:A)),8,FALSE))</f>
        <v/>
      </c>
      <c r="E388" s="137" t="str">
        <f t="array" ref="E388">IFERROR(IF(A388="","",VLOOKUP(A388,INDIRECT("HISTÓRICO COBROS!A3:E"&amp;COUNTA('HISTÓRICO COBROS'!A:A)),5,FALSE)),"")</f>
        <v/>
      </c>
      <c r="F388" s="137" t="str">
        <f t="array" ref="F388">IF(A388="","",VLOOKUP(A388,INDIRECT("CXC!A2:I"&amp;COUNTA(CXC!A:A)),9,FALSE))</f>
        <v/>
      </c>
      <c r="G388" s="137" t="str">
        <f t="array" ref="G388">IFERROR(IF(A388="","",VLOOKUP(A388,INDIRECT("HISTÓRICO COBROS!A3:F"&amp;COUNTA('HISTÓRICO COBROS'!A:A)),6,FALSE)),"")</f>
        <v/>
      </c>
      <c r="H388" s="138" t="str">
        <f t="shared" ref="H388:I388" si="389">IF(D388="","",D388+F388)</f>
        <v/>
      </c>
      <c r="I388" s="135" t="str">
        <f t="shared" si="389"/>
        <v/>
      </c>
      <c r="J388" s="140" t="str">
        <f t="shared" si="3"/>
        <v/>
      </c>
      <c r="K388" s="140" t="str">
        <f t="shared" si="4"/>
        <v/>
      </c>
    </row>
    <row r="389" ht="22.5" customHeight="1">
      <c r="A389" s="140"/>
      <c r="B389" s="135" t="str">
        <f t="array" ref="B389">IF(A389="","",VLOOKUP(A389,INDIRECT("CXC!A2:B"&amp;COUNTA(CXC!A:A)),2,FALSE))</f>
        <v/>
      </c>
      <c r="C389" s="136" t="str">
        <f t="array" ref="C389">IF(A389="","",VLOOKUP(A389,INDIRECT("CXC!A2:C"&amp;COUNTA(CXC!A:A)),3,FALSE))</f>
        <v/>
      </c>
      <c r="D389" s="137" t="str">
        <f t="array" ref="D389">IF(A389="","",VLOOKUP(A389,INDIRECT("CXC!A2:H"&amp;COUNTA(CXC!A:A)),8,FALSE))</f>
        <v/>
      </c>
      <c r="E389" s="137" t="str">
        <f t="array" ref="E389">IFERROR(IF(A389="","",VLOOKUP(A389,INDIRECT("HISTÓRICO COBROS!A3:E"&amp;COUNTA('HISTÓRICO COBROS'!A:A)),5,FALSE)),"")</f>
        <v/>
      </c>
      <c r="F389" s="137" t="str">
        <f t="array" ref="F389">IF(A389="","",VLOOKUP(A389,INDIRECT("CXC!A2:I"&amp;COUNTA(CXC!A:A)),9,FALSE))</f>
        <v/>
      </c>
      <c r="G389" s="137" t="str">
        <f t="array" ref="G389">IFERROR(IF(A389="","",VLOOKUP(A389,INDIRECT("HISTÓRICO COBROS!A3:F"&amp;COUNTA('HISTÓRICO COBROS'!A:A)),6,FALSE)),"")</f>
        <v/>
      </c>
      <c r="H389" s="138" t="str">
        <f t="shared" ref="H389:I389" si="390">IF(D389="","",D389+F389)</f>
        <v/>
      </c>
      <c r="I389" s="135" t="str">
        <f t="shared" si="390"/>
        <v/>
      </c>
      <c r="J389" s="140" t="str">
        <f t="shared" si="3"/>
        <v/>
      </c>
      <c r="K389" s="140" t="str">
        <f t="shared" si="4"/>
        <v/>
      </c>
    </row>
    <row r="390" ht="22.5" customHeight="1">
      <c r="A390" s="140"/>
      <c r="B390" s="135" t="str">
        <f t="array" ref="B390">IF(A390="","",VLOOKUP(A390,INDIRECT("CXC!A2:B"&amp;COUNTA(CXC!A:A)),2,FALSE))</f>
        <v/>
      </c>
      <c r="C390" s="136" t="str">
        <f t="array" ref="C390">IF(A390="","",VLOOKUP(A390,INDIRECT("CXC!A2:C"&amp;COUNTA(CXC!A:A)),3,FALSE))</f>
        <v/>
      </c>
      <c r="D390" s="137" t="str">
        <f t="array" ref="D390">IF(A390="","",VLOOKUP(A390,INDIRECT("CXC!A2:H"&amp;COUNTA(CXC!A:A)),8,FALSE))</f>
        <v/>
      </c>
      <c r="E390" s="137" t="str">
        <f t="array" ref="E390">IFERROR(IF(A390="","",VLOOKUP(A390,INDIRECT("HISTÓRICO COBROS!A3:E"&amp;COUNTA('HISTÓRICO COBROS'!A:A)),5,FALSE)),"")</f>
        <v/>
      </c>
      <c r="F390" s="137" t="str">
        <f t="array" ref="F390">IF(A390="","",VLOOKUP(A390,INDIRECT("CXC!A2:I"&amp;COUNTA(CXC!A:A)),9,FALSE))</f>
        <v/>
      </c>
      <c r="G390" s="137" t="str">
        <f t="array" ref="G390">IFERROR(IF(A390="","",VLOOKUP(A390,INDIRECT("HISTÓRICO COBROS!A3:F"&amp;COUNTA('HISTÓRICO COBROS'!A:A)),6,FALSE)),"")</f>
        <v/>
      </c>
      <c r="H390" s="138" t="str">
        <f t="shared" ref="H390:I390" si="391">IF(D390="","",D390+F390)</f>
        <v/>
      </c>
      <c r="I390" s="135" t="str">
        <f t="shared" si="391"/>
        <v/>
      </c>
      <c r="J390" s="140" t="str">
        <f t="shared" si="3"/>
        <v/>
      </c>
      <c r="K390" s="140" t="str">
        <f t="shared" si="4"/>
        <v/>
      </c>
    </row>
    <row r="391" ht="22.5" customHeight="1">
      <c r="A391" s="140"/>
      <c r="B391" s="135" t="str">
        <f t="array" ref="B391">IF(A391="","",VLOOKUP(A391,INDIRECT("CXC!A2:B"&amp;COUNTA(CXC!A:A)),2,FALSE))</f>
        <v/>
      </c>
      <c r="C391" s="136" t="str">
        <f t="array" ref="C391">IF(A391="","",VLOOKUP(A391,INDIRECT("CXC!A2:C"&amp;COUNTA(CXC!A:A)),3,FALSE))</f>
        <v/>
      </c>
      <c r="D391" s="137" t="str">
        <f t="array" ref="D391">IF(A391="","",VLOOKUP(A391,INDIRECT("CXC!A2:H"&amp;COUNTA(CXC!A:A)),8,FALSE))</f>
        <v/>
      </c>
      <c r="E391" s="137" t="str">
        <f t="array" ref="E391">IFERROR(IF(A391="","",VLOOKUP(A391,INDIRECT("HISTÓRICO COBROS!A3:E"&amp;COUNTA('HISTÓRICO COBROS'!A:A)),5,FALSE)),"")</f>
        <v/>
      </c>
      <c r="F391" s="137" t="str">
        <f t="array" ref="F391">IF(A391="","",VLOOKUP(A391,INDIRECT("CXC!A2:I"&amp;COUNTA(CXC!A:A)),9,FALSE))</f>
        <v/>
      </c>
      <c r="G391" s="137" t="str">
        <f t="array" ref="G391">IFERROR(IF(A391="","",VLOOKUP(A391,INDIRECT("HISTÓRICO COBROS!A3:F"&amp;COUNTA('HISTÓRICO COBROS'!A:A)),6,FALSE)),"")</f>
        <v/>
      </c>
      <c r="H391" s="138" t="str">
        <f t="shared" ref="H391:I391" si="392">IF(D391="","",D391+F391)</f>
        <v/>
      </c>
      <c r="I391" s="135" t="str">
        <f t="shared" si="392"/>
        <v/>
      </c>
      <c r="J391" s="140" t="str">
        <f t="shared" si="3"/>
        <v/>
      </c>
      <c r="K391" s="140" t="str">
        <f t="shared" si="4"/>
        <v/>
      </c>
    </row>
    <row r="392" ht="22.5" customHeight="1">
      <c r="A392" s="140"/>
      <c r="B392" s="135" t="str">
        <f t="array" ref="B392">IF(A392="","",VLOOKUP(A392,INDIRECT("CXC!A2:B"&amp;COUNTA(CXC!A:A)),2,FALSE))</f>
        <v/>
      </c>
      <c r="C392" s="136" t="str">
        <f t="array" ref="C392">IF(A392="","",VLOOKUP(A392,INDIRECT("CXC!A2:C"&amp;COUNTA(CXC!A:A)),3,FALSE))</f>
        <v/>
      </c>
      <c r="D392" s="137" t="str">
        <f t="array" ref="D392">IF(A392="","",VLOOKUP(A392,INDIRECT("CXC!A2:H"&amp;COUNTA(CXC!A:A)),8,FALSE))</f>
        <v/>
      </c>
      <c r="E392" s="137" t="str">
        <f t="array" ref="E392">IFERROR(IF(A392="","",VLOOKUP(A392,INDIRECT("HISTÓRICO COBROS!A3:E"&amp;COUNTA('HISTÓRICO COBROS'!A:A)),5,FALSE)),"")</f>
        <v/>
      </c>
      <c r="F392" s="137" t="str">
        <f t="array" ref="F392">IF(A392="","",VLOOKUP(A392,INDIRECT("CXC!A2:I"&amp;COUNTA(CXC!A:A)),9,FALSE))</f>
        <v/>
      </c>
      <c r="G392" s="137" t="str">
        <f t="array" ref="G392">IFERROR(IF(A392="","",VLOOKUP(A392,INDIRECT("HISTÓRICO COBROS!A3:F"&amp;COUNTA('HISTÓRICO COBROS'!A:A)),6,FALSE)),"")</f>
        <v/>
      </c>
      <c r="H392" s="138" t="str">
        <f t="shared" ref="H392:I392" si="393">IF(D392="","",D392+F392)</f>
        <v/>
      </c>
      <c r="I392" s="135" t="str">
        <f t="shared" si="393"/>
        <v/>
      </c>
      <c r="J392" s="140" t="str">
        <f t="shared" si="3"/>
        <v/>
      </c>
      <c r="K392" s="140" t="str">
        <f t="shared" si="4"/>
        <v/>
      </c>
    </row>
    <row r="393" ht="22.5" customHeight="1">
      <c r="A393" s="140"/>
      <c r="B393" s="135" t="str">
        <f t="array" ref="B393">IF(A393="","",VLOOKUP(A393,INDIRECT("CXC!A2:B"&amp;COUNTA(CXC!A:A)),2,FALSE))</f>
        <v/>
      </c>
      <c r="C393" s="136" t="str">
        <f t="array" ref="C393">IF(A393="","",VLOOKUP(A393,INDIRECT("CXC!A2:C"&amp;COUNTA(CXC!A:A)),3,FALSE))</f>
        <v/>
      </c>
      <c r="D393" s="137" t="str">
        <f t="array" ref="D393">IF(A393="","",VLOOKUP(A393,INDIRECT("CXC!A2:H"&amp;COUNTA(CXC!A:A)),8,FALSE))</f>
        <v/>
      </c>
      <c r="E393" s="137" t="str">
        <f t="array" ref="E393">IFERROR(IF(A393="","",VLOOKUP(A393,INDIRECT("HISTÓRICO COBROS!A3:E"&amp;COUNTA('HISTÓRICO COBROS'!A:A)),5,FALSE)),"")</f>
        <v/>
      </c>
      <c r="F393" s="137" t="str">
        <f t="array" ref="F393">IF(A393="","",VLOOKUP(A393,INDIRECT("CXC!A2:I"&amp;COUNTA(CXC!A:A)),9,FALSE))</f>
        <v/>
      </c>
      <c r="G393" s="137" t="str">
        <f t="array" ref="G393">IFERROR(IF(A393="","",VLOOKUP(A393,INDIRECT("HISTÓRICO COBROS!A3:F"&amp;COUNTA('HISTÓRICO COBROS'!A:A)),6,FALSE)),"")</f>
        <v/>
      </c>
      <c r="H393" s="138" t="str">
        <f t="shared" ref="H393:I393" si="394">IF(D393="","",D393+F393)</f>
        <v/>
      </c>
      <c r="I393" s="135" t="str">
        <f t="shared" si="394"/>
        <v/>
      </c>
      <c r="J393" s="140" t="str">
        <f t="shared" si="3"/>
        <v/>
      </c>
      <c r="K393" s="140" t="str">
        <f t="shared" si="4"/>
        <v/>
      </c>
    </row>
    <row r="394" ht="22.5" customHeight="1">
      <c r="A394" s="140"/>
      <c r="B394" s="135" t="str">
        <f t="array" ref="B394">IF(A394="","",VLOOKUP(A394,INDIRECT("CXC!A2:B"&amp;COUNTA(CXC!A:A)),2,FALSE))</f>
        <v/>
      </c>
      <c r="C394" s="136" t="str">
        <f t="array" ref="C394">IF(A394="","",VLOOKUP(A394,INDIRECT("CXC!A2:C"&amp;COUNTA(CXC!A:A)),3,FALSE))</f>
        <v/>
      </c>
      <c r="D394" s="137" t="str">
        <f t="array" ref="D394">IF(A394="","",VLOOKUP(A394,INDIRECT("CXC!A2:H"&amp;COUNTA(CXC!A:A)),8,FALSE))</f>
        <v/>
      </c>
      <c r="E394" s="137" t="str">
        <f t="array" ref="E394">IFERROR(IF(A394="","",VLOOKUP(A394,INDIRECT("HISTÓRICO COBROS!A3:E"&amp;COUNTA('HISTÓRICO COBROS'!A:A)),5,FALSE)),"")</f>
        <v/>
      </c>
      <c r="F394" s="137" t="str">
        <f t="array" ref="F394">IF(A394="","",VLOOKUP(A394,INDIRECT("CXC!A2:I"&amp;COUNTA(CXC!A:A)),9,FALSE))</f>
        <v/>
      </c>
      <c r="G394" s="137" t="str">
        <f t="array" ref="G394">IFERROR(IF(A394="","",VLOOKUP(A394,INDIRECT("HISTÓRICO COBROS!A3:F"&amp;COUNTA('HISTÓRICO COBROS'!A:A)),6,FALSE)),"")</f>
        <v/>
      </c>
      <c r="H394" s="138" t="str">
        <f t="shared" ref="H394:I394" si="395">IF(D394="","",D394+F394)</f>
        <v/>
      </c>
      <c r="I394" s="135" t="str">
        <f t="shared" si="395"/>
        <v/>
      </c>
      <c r="J394" s="140" t="str">
        <f t="shared" si="3"/>
        <v/>
      </c>
      <c r="K394" s="140" t="str">
        <f t="shared" si="4"/>
        <v/>
      </c>
    </row>
    <row r="395" ht="22.5" customHeight="1">
      <c r="A395" s="140"/>
      <c r="B395" s="135" t="str">
        <f t="array" ref="B395">IF(A395="","",VLOOKUP(A395,INDIRECT("CXC!A2:B"&amp;COUNTA(CXC!A:A)),2,FALSE))</f>
        <v/>
      </c>
      <c r="C395" s="136" t="str">
        <f t="array" ref="C395">IF(A395="","",VLOOKUP(A395,INDIRECT("CXC!A2:C"&amp;COUNTA(CXC!A:A)),3,FALSE))</f>
        <v/>
      </c>
      <c r="D395" s="137" t="str">
        <f t="array" ref="D395">IF(A395="","",VLOOKUP(A395,INDIRECT("CXC!A2:H"&amp;COUNTA(CXC!A:A)),8,FALSE))</f>
        <v/>
      </c>
      <c r="E395" s="137" t="str">
        <f t="array" ref="E395">IFERROR(IF(A395="","",VLOOKUP(A395,INDIRECT("HISTÓRICO COBROS!A3:E"&amp;COUNTA('HISTÓRICO COBROS'!A:A)),5,FALSE)),"")</f>
        <v/>
      </c>
      <c r="F395" s="137" t="str">
        <f t="array" ref="F395">IF(A395="","",VLOOKUP(A395,INDIRECT("CXC!A2:I"&amp;COUNTA(CXC!A:A)),9,FALSE))</f>
        <v/>
      </c>
      <c r="G395" s="137" t="str">
        <f t="array" ref="G395">IFERROR(IF(A395="","",VLOOKUP(A395,INDIRECT("HISTÓRICO COBROS!A3:F"&amp;COUNTA('HISTÓRICO COBROS'!A:A)),6,FALSE)),"")</f>
        <v/>
      </c>
      <c r="H395" s="138" t="str">
        <f t="shared" ref="H395:I395" si="396">IF(D395="","",D395+F395)</f>
        <v/>
      </c>
      <c r="I395" s="135" t="str">
        <f t="shared" si="396"/>
        <v/>
      </c>
      <c r="J395" s="140" t="str">
        <f t="shared" si="3"/>
        <v/>
      </c>
      <c r="K395" s="140" t="str">
        <f t="shared" si="4"/>
        <v/>
      </c>
    </row>
    <row r="396" ht="22.5" customHeight="1">
      <c r="A396" s="140"/>
      <c r="B396" s="135" t="str">
        <f t="array" ref="B396">IF(A396="","",VLOOKUP(A396,INDIRECT("CXC!A2:B"&amp;COUNTA(CXC!A:A)),2,FALSE))</f>
        <v/>
      </c>
      <c r="C396" s="136" t="str">
        <f t="array" ref="C396">IF(A396="","",VLOOKUP(A396,INDIRECT("CXC!A2:C"&amp;COUNTA(CXC!A:A)),3,FALSE))</f>
        <v/>
      </c>
      <c r="D396" s="137" t="str">
        <f t="array" ref="D396">IF(A396="","",VLOOKUP(A396,INDIRECT("CXC!A2:H"&amp;COUNTA(CXC!A:A)),8,FALSE))</f>
        <v/>
      </c>
      <c r="E396" s="137" t="str">
        <f t="array" ref="E396">IFERROR(IF(A396="","",VLOOKUP(A396,INDIRECT("HISTÓRICO COBROS!A3:E"&amp;COUNTA('HISTÓRICO COBROS'!A:A)),5,FALSE)),"")</f>
        <v/>
      </c>
      <c r="F396" s="137" t="str">
        <f t="array" ref="F396">IF(A396="","",VLOOKUP(A396,INDIRECT("CXC!A2:I"&amp;COUNTA(CXC!A:A)),9,FALSE))</f>
        <v/>
      </c>
      <c r="G396" s="137" t="str">
        <f t="array" ref="G396">IFERROR(IF(A396="","",VLOOKUP(A396,INDIRECT("HISTÓRICO COBROS!A3:F"&amp;COUNTA('HISTÓRICO COBROS'!A:A)),6,FALSE)),"")</f>
        <v/>
      </c>
      <c r="H396" s="138" t="str">
        <f t="shared" ref="H396:I396" si="397">IF(D396="","",D396+F396)</f>
        <v/>
      </c>
      <c r="I396" s="135" t="str">
        <f t="shared" si="397"/>
        <v/>
      </c>
      <c r="J396" s="140" t="str">
        <f t="shared" si="3"/>
        <v/>
      </c>
      <c r="K396" s="140" t="str">
        <f t="shared" si="4"/>
        <v/>
      </c>
    </row>
    <row r="397" ht="22.5" customHeight="1">
      <c r="A397" s="140"/>
      <c r="B397" s="135" t="str">
        <f t="array" ref="B397">IF(A397="","",VLOOKUP(A397,INDIRECT("CXC!A2:B"&amp;COUNTA(CXC!A:A)),2,FALSE))</f>
        <v/>
      </c>
      <c r="C397" s="136" t="str">
        <f t="array" ref="C397">IF(A397="","",VLOOKUP(A397,INDIRECT("CXC!A2:C"&amp;COUNTA(CXC!A:A)),3,FALSE))</f>
        <v/>
      </c>
      <c r="D397" s="137" t="str">
        <f t="array" ref="D397">IF(A397="","",VLOOKUP(A397,INDIRECT("CXC!A2:H"&amp;COUNTA(CXC!A:A)),8,FALSE))</f>
        <v/>
      </c>
      <c r="E397" s="137" t="str">
        <f t="array" ref="E397">IFERROR(IF(A397="","",VLOOKUP(A397,INDIRECT("HISTÓRICO COBROS!A3:E"&amp;COUNTA('HISTÓRICO COBROS'!A:A)),5,FALSE)),"")</f>
        <v/>
      </c>
      <c r="F397" s="137" t="str">
        <f t="array" ref="F397">IF(A397="","",VLOOKUP(A397,INDIRECT("CXC!A2:I"&amp;COUNTA(CXC!A:A)),9,FALSE))</f>
        <v/>
      </c>
      <c r="G397" s="137" t="str">
        <f t="array" ref="G397">IFERROR(IF(A397="","",VLOOKUP(A397,INDIRECT("HISTÓRICO COBROS!A3:F"&amp;COUNTA('HISTÓRICO COBROS'!A:A)),6,FALSE)),"")</f>
        <v/>
      </c>
      <c r="H397" s="138" t="str">
        <f t="shared" ref="H397:I397" si="398">IF(D397="","",D397+F397)</f>
        <v/>
      </c>
      <c r="I397" s="135" t="str">
        <f t="shared" si="398"/>
        <v/>
      </c>
      <c r="J397" s="140" t="str">
        <f t="shared" si="3"/>
        <v/>
      </c>
      <c r="K397" s="140" t="str">
        <f t="shared" si="4"/>
        <v/>
      </c>
    </row>
    <row r="398" ht="22.5" customHeight="1">
      <c r="A398" s="140"/>
      <c r="B398" s="135" t="str">
        <f t="array" ref="B398">IF(A398="","",VLOOKUP(A398,INDIRECT("CXC!A2:B"&amp;COUNTA(CXC!A:A)),2,FALSE))</f>
        <v/>
      </c>
      <c r="C398" s="136" t="str">
        <f t="array" ref="C398">IF(A398="","",VLOOKUP(A398,INDIRECT("CXC!A2:C"&amp;COUNTA(CXC!A:A)),3,FALSE))</f>
        <v/>
      </c>
      <c r="D398" s="137" t="str">
        <f t="array" ref="D398">IF(A398="","",VLOOKUP(A398,INDIRECT("CXC!A2:H"&amp;COUNTA(CXC!A:A)),8,FALSE))</f>
        <v/>
      </c>
      <c r="E398" s="137" t="str">
        <f t="array" ref="E398">IFERROR(IF(A398="","",VLOOKUP(A398,INDIRECT("HISTÓRICO COBROS!A3:E"&amp;COUNTA('HISTÓRICO COBROS'!A:A)),5,FALSE)),"")</f>
        <v/>
      </c>
      <c r="F398" s="137" t="str">
        <f t="array" ref="F398">IF(A398="","",VLOOKUP(A398,INDIRECT("CXC!A2:I"&amp;COUNTA(CXC!A:A)),9,FALSE))</f>
        <v/>
      </c>
      <c r="G398" s="137" t="str">
        <f t="array" ref="G398">IFERROR(IF(A398="","",VLOOKUP(A398,INDIRECT("HISTÓRICO COBROS!A3:F"&amp;COUNTA('HISTÓRICO COBROS'!A:A)),6,FALSE)),"")</f>
        <v/>
      </c>
      <c r="H398" s="138" t="str">
        <f t="shared" ref="H398:I398" si="399">IF(D398="","",D398+F398)</f>
        <v/>
      </c>
      <c r="I398" s="135" t="str">
        <f t="shared" si="399"/>
        <v/>
      </c>
      <c r="J398" s="140" t="str">
        <f t="shared" si="3"/>
        <v/>
      </c>
      <c r="K398" s="140" t="str">
        <f t="shared" si="4"/>
        <v/>
      </c>
    </row>
    <row r="399" ht="22.5" customHeight="1">
      <c r="A399" s="140"/>
      <c r="B399" s="135" t="str">
        <f t="array" ref="B399">IF(A399="","",VLOOKUP(A399,INDIRECT("CXC!A2:B"&amp;COUNTA(CXC!A:A)),2,FALSE))</f>
        <v/>
      </c>
      <c r="C399" s="136" t="str">
        <f t="array" ref="C399">IF(A399="","",VLOOKUP(A399,INDIRECT("CXC!A2:C"&amp;COUNTA(CXC!A:A)),3,FALSE))</f>
        <v/>
      </c>
      <c r="D399" s="137" t="str">
        <f t="array" ref="D399">IF(A399="","",VLOOKUP(A399,INDIRECT("CXC!A2:H"&amp;COUNTA(CXC!A:A)),8,FALSE))</f>
        <v/>
      </c>
      <c r="E399" s="137" t="str">
        <f t="array" ref="E399">IFERROR(IF(A399="","",VLOOKUP(A399,INDIRECT("HISTÓRICO COBROS!A3:E"&amp;COUNTA('HISTÓRICO COBROS'!A:A)),5,FALSE)),"")</f>
        <v/>
      </c>
      <c r="F399" s="137" t="str">
        <f t="array" ref="F399">IF(A399="","",VLOOKUP(A399,INDIRECT("CXC!A2:I"&amp;COUNTA(CXC!A:A)),9,FALSE))</f>
        <v/>
      </c>
      <c r="G399" s="137" t="str">
        <f t="array" ref="G399">IFERROR(IF(A399="","",VLOOKUP(A399,INDIRECT("HISTÓRICO COBROS!A3:F"&amp;COUNTA('HISTÓRICO COBROS'!A:A)),6,FALSE)),"")</f>
        <v/>
      </c>
      <c r="H399" s="138" t="str">
        <f t="shared" ref="H399:I399" si="400">IF(D399="","",D399+F399)</f>
        <v/>
      </c>
      <c r="I399" s="135" t="str">
        <f t="shared" si="400"/>
        <v/>
      </c>
      <c r="J399" s="140" t="str">
        <f t="shared" si="3"/>
        <v/>
      </c>
      <c r="K399" s="140" t="str">
        <f t="shared" si="4"/>
        <v/>
      </c>
    </row>
    <row r="400" ht="22.5" customHeight="1">
      <c r="A400" s="140"/>
      <c r="B400" s="135" t="str">
        <f t="array" ref="B400">IF(A400="","",VLOOKUP(A400,INDIRECT("CXC!A2:B"&amp;COUNTA(CXC!A:A)),2,FALSE))</f>
        <v/>
      </c>
      <c r="C400" s="136" t="str">
        <f t="array" ref="C400">IF(A400="","",VLOOKUP(A400,INDIRECT("CXC!A2:C"&amp;COUNTA(CXC!A:A)),3,FALSE))</f>
        <v/>
      </c>
      <c r="D400" s="137" t="str">
        <f t="array" ref="D400">IF(A400="","",VLOOKUP(A400,INDIRECT("CXC!A2:H"&amp;COUNTA(CXC!A:A)),8,FALSE))</f>
        <v/>
      </c>
      <c r="E400" s="137" t="str">
        <f t="array" ref="E400">IFERROR(IF(A400="","",VLOOKUP(A400,INDIRECT("HISTÓRICO COBROS!A3:E"&amp;COUNTA('HISTÓRICO COBROS'!A:A)),5,FALSE)),"")</f>
        <v/>
      </c>
      <c r="F400" s="137" t="str">
        <f t="array" ref="F400">IF(A400="","",VLOOKUP(A400,INDIRECT("CXC!A2:I"&amp;COUNTA(CXC!A:A)),9,FALSE))</f>
        <v/>
      </c>
      <c r="G400" s="137" t="str">
        <f t="array" ref="G400">IFERROR(IF(A400="","",VLOOKUP(A400,INDIRECT("HISTÓRICO COBROS!A3:F"&amp;COUNTA('HISTÓRICO COBROS'!A:A)),6,FALSE)),"")</f>
        <v/>
      </c>
      <c r="H400" s="138" t="str">
        <f t="shared" ref="H400:I400" si="401">IF(D400="","",D400+F400)</f>
        <v/>
      </c>
      <c r="I400" s="135" t="str">
        <f t="shared" si="401"/>
        <v/>
      </c>
      <c r="J400" s="140" t="str">
        <f t="shared" si="3"/>
        <v/>
      </c>
      <c r="K400" s="140" t="str">
        <f t="shared" si="4"/>
        <v/>
      </c>
    </row>
    <row r="401" ht="22.5" customHeight="1">
      <c r="A401" s="140"/>
      <c r="B401" s="135" t="str">
        <f t="array" ref="B401">IF(A401="","",VLOOKUP(A401,INDIRECT("CXC!A2:B"&amp;COUNTA(CXC!A:A)),2,FALSE))</f>
        <v/>
      </c>
      <c r="C401" s="136" t="str">
        <f t="array" ref="C401">IF(A401="","",VLOOKUP(A401,INDIRECT("CXC!A2:C"&amp;COUNTA(CXC!A:A)),3,FALSE))</f>
        <v/>
      </c>
      <c r="D401" s="137" t="str">
        <f t="array" ref="D401">IF(A401="","",VLOOKUP(A401,INDIRECT("CXC!A2:H"&amp;COUNTA(CXC!A:A)),8,FALSE))</f>
        <v/>
      </c>
      <c r="E401" s="137" t="str">
        <f t="array" ref="E401">IFERROR(IF(A401="","",VLOOKUP(A401,INDIRECT("HISTÓRICO COBROS!A3:E"&amp;COUNTA('HISTÓRICO COBROS'!A:A)),5,FALSE)),"")</f>
        <v/>
      </c>
      <c r="F401" s="137" t="str">
        <f t="array" ref="F401">IF(A401="","",VLOOKUP(A401,INDIRECT("CXC!A2:I"&amp;COUNTA(CXC!A:A)),9,FALSE))</f>
        <v/>
      </c>
      <c r="G401" s="137" t="str">
        <f t="array" ref="G401">IFERROR(IF(A401="","",VLOOKUP(A401,INDIRECT("HISTÓRICO COBROS!A3:F"&amp;COUNTA('HISTÓRICO COBROS'!A:A)),6,FALSE)),"")</f>
        <v/>
      </c>
      <c r="H401" s="138" t="str">
        <f t="shared" ref="H401:I401" si="402">IF(D401="","",D401+F401)</f>
        <v/>
      </c>
      <c r="I401" s="135" t="str">
        <f t="shared" si="402"/>
        <v/>
      </c>
      <c r="J401" s="140" t="str">
        <f t="shared" si="3"/>
        <v/>
      </c>
      <c r="K401" s="140" t="str">
        <f t="shared" si="4"/>
        <v/>
      </c>
    </row>
    <row r="402" ht="22.5" customHeight="1">
      <c r="A402" s="140"/>
      <c r="B402" s="135" t="str">
        <f t="array" ref="B402">IF(A402="","",VLOOKUP(A402,INDIRECT("CXC!A2:B"&amp;COUNTA(CXC!A:A)),2,FALSE))</f>
        <v/>
      </c>
      <c r="C402" s="136" t="str">
        <f t="array" ref="C402">IF(A402="","",VLOOKUP(A402,INDIRECT("CXC!A2:C"&amp;COUNTA(CXC!A:A)),3,FALSE))</f>
        <v/>
      </c>
      <c r="D402" s="137" t="str">
        <f t="array" ref="D402">IF(A402="","",VLOOKUP(A402,INDIRECT("CXC!A2:H"&amp;COUNTA(CXC!A:A)),8,FALSE))</f>
        <v/>
      </c>
      <c r="E402" s="137" t="str">
        <f t="array" ref="E402">IFERROR(IF(A402="","",VLOOKUP(A402,INDIRECT("HISTÓRICO COBROS!A3:E"&amp;COUNTA('HISTÓRICO COBROS'!A:A)),5,FALSE)),"")</f>
        <v/>
      </c>
      <c r="F402" s="137" t="str">
        <f t="array" ref="F402">IF(A402="","",VLOOKUP(A402,INDIRECT("CXC!A2:I"&amp;COUNTA(CXC!A:A)),9,FALSE))</f>
        <v/>
      </c>
      <c r="G402" s="137" t="str">
        <f t="array" ref="G402">IFERROR(IF(A402="","",VLOOKUP(A402,INDIRECT("HISTÓRICO COBROS!A3:F"&amp;COUNTA('HISTÓRICO COBROS'!A:A)),6,FALSE)),"")</f>
        <v/>
      </c>
      <c r="H402" s="138" t="str">
        <f t="shared" ref="H402:I402" si="403">IF(D402="","",D402+F402)</f>
        <v/>
      </c>
      <c r="I402" s="135" t="str">
        <f t="shared" si="403"/>
        <v/>
      </c>
      <c r="J402" s="140" t="str">
        <f t="shared" si="3"/>
        <v/>
      </c>
      <c r="K402" s="140" t="str">
        <f t="shared" si="4"/>
        <v/>
      </c>
    </row>
    <row r="403" ht="22.5" customHeight="1">
      <c r="A403" s="140"/>
      <c r="B403" s="135" t="str">
        <f t="array" ref="B403">IF(A403="","",VLOOKUP(A403,INDIRECT("CXC!A2:B"&amp;COUNTA(CXC!A:A)),2,FALSE))</f>
        <v/>
      </c>
      <c r="C403" s="136" t="str">
        <f t="array" ref="C403">IF(A403="","",VLOOKUP(A403,INDIRECT("CXC!A2:C"&amp;COUNTA(CXC!A:A)),3,FALSE))</f>
        <v/>
      </c>
      <c r="D403" s="137" t="str">
        <f t="array" ref="D403">IF(A403="","",VLOOKUP(A403,INDIRECT("CXC!A2:H"&amp;COUNTA(CXC!A:A)),8,FALSE))</f>
        <v/>
      </c>
      <c r="E403" s="137" t="str">
        <f t="array" ref="E403">IFERROR(IF(A403="","",VLOOKUP(A403,INDIRECT("HISTÓRICO COBROS!A3:E"&amp;COUNTA('HISTÓRICO COBROS'!A:A)),5,FALSE)),"")</f>
        <v/>
      </c>
      <c r="F403" s="137" t="str">
        <f t="array" ref="F403">IF(A403="","",VLOOKUP(A403,INDIRECT("CXC!A2:I"&amp;COUNTA(CXC!A:A)),9,FALSE))</f>
        <v/>
      </c>
      <c r="G403" s="137" t="str">
        <f t="array" ref="G403">IFERROR(IF(A403="","",VLOOKUP(A403,INDIRECT("HISTÓRICO COBROS!A3:F"&amp;COUNTA('HISTÓRICO COBROS'!A:A)),6,FALSE)),"")</f>
        <v/>
      </c>
      <c r="H403" s="138" t="str">
        <f t="shared" ref="H403:I403" si="404">IF(D403="","",D403+F403)</f>
        <v/>
      </c>
      <c r="I403" s="135" t="str">
        <f t="shared" si="404"/>
        <v/>
      </c>
      <c r="J403" s="140" t="str">
        <f t="shared" si="3"/>
        <v/>
      </c>
      <c r="K403" s="140" t="str">
        <f t="shared" si="4"/>
        <v/>
      </c>
    </row>
    <row r="404" ht="22.5" customHeight="1">
      <c r="A404" s="140"/>
      <c r="B404" s="135" t="str">
        <f t="array" ref="B404">IF(A404="","",VLOOKUP(A404,INDIRECT("CXC!A2:B"&amp;COUNTA(CXC!A:A)),2,FALSE))</f>
        <v/>
      </c>
      <c r="C404" s="136" t="str">
        <f t="array" ref="C404">IF(A404="","",VLOOKUP(A404,INDIRECT("CXC!A2:C"&amp;COUNTA(CXC!A:A)),3,FALSE))</f>
        <v/>
      </c>
      <c r="D404" s="137" t="str">
        <f t="array" ref="D404">IF(A404="","",VLOOKUP(A404,INDIRECT("CXC!A2:H"&amp;COUNTA(CXC!A:A)),8,FALSE))</f>
        <v/>
      </c>
      <c r="E404" s="137" t="str">
        <f t="array" ref="E404">IFERROR(IF(A404="","",VLOOKUP(A404,INDIRECT("HISTÓRICO COBROS!A3:E"&amp;COUNTA('HISTÓRICO COBROS'!A:A)),5,FALSE)),"")</f>
        <v/>
      </c>
      <c r="F404" s="137" t="str">
        <f t="array" ref="F404">IF(A404="","",VLOOKUP(A404,INDIRECT("CXC!A2:I"&amp;COUNTA(CXC!A:A)),9,FALSE))</f>
        <v/>
      </c>
      <c r="G404" s="137" t="str">
        <f t="array" ref="G404">IFERROR(IF(A404="","",VLOOKUP(A404,INDIRECT("HISTÓRICO COBROS!A3:F"&amp;COUNTA('HISTÓRICO COBROS'!A:A)),6,FALSE)),"")</f>
        <v/>
      </c>
      <c r="H404" s="138" t="str">
        <f t="shared" ref="H404:I404" si="405">IF(D404="","",D404+F404)</f>
        <v/>
      </c>
      <c r="I404" s="135" t="str">
        <f t="shared" si="405"/>
        <v/>
      </c>
      <c r="J404" s="140" t="str">
        <f t="shared" si="3"/>
        <v/>
      </c>
      <c r="K404" s="140" t="str">
        <f t="shared" si="4"/>
        <v/>
      </c>
    </row>
    <row r="405" ht="22.5" customHeight="1">
      <c r="A405" s="140"/>
      <c r="B405" s="135" t="str">
        <f t="array" ref="B405">IF(A405="","",VLOOKUP(A405,INDIRECT("CXC!A2:B"&amp;COUNTA(CXC!A:A)),2,FALSE))</f>
        <v/>
      </c>
      <c r="C405" s="136" t="str">
        <f t="array" ref="C405">IF(A405="","",VLOOKUP(A405,INDIRECT("CXC!A2:C"&amp;COUNTA(CXC!A:A)),3,FALSE))</f>
        <v/>
      </c>
      <c r="D405" s="137" t="str">
        <f t="array" ref="D405">IF(A405="","",VLOOKUP(A405,INDIRECT("CXC!A2:H"&amp;COUNTA(CXC!A:A)),8,FALSE))</f>
        <v/>
      </c>
      <c r="E405" s="137" t="str">
        <f t="array" ref="E405">IFERROR(IF(A405="","",VLOOKUP(A405,INDIRECT("HISTÓRICO COBROS!A3:E"&amp;COUNTA('HISTÓRICO COBROS'!A:A)),5,FALSE)),"")</f>
        <v/>
      </c>
      <c r="F405" s="137" t="str">
        <f t="array" ref="F405">IF(A405="","",VLOOKUP(A405,INDIRECT("CXC!A2:I"&amp;COUNTA(CXC!A:A)),9,FALSE))</f>
        <v/>
      </c>
      <c r="G405" s="137" t="str">
        <f t="array" ref="G405">IFERROR(IF(A405="","",VLOOKUP(A405,INDIRECT("HISTÓRICO COBROS!A3:F"&amp;COUNTA('HISTÓRICO COBROS'!A:A)),6,FALSE)),"")</f>
        <v/>
      </c>
      <c r="H405" s="138" t="str">
        <f t="shared" ref="H405:I405" si="406">IF(D405="","",D405+F405)</f>
        <v/>
      </c>
      <c r="I405" s="135" t="str">
        <f t="shared" si="406"/>
        <v/>
      </c>
      <c r="J405" s="140" t="str">
        <f t="shared" si="3"/>
        <v/>
      </c>
      <c r="K405" s="140" t="str">
        <f t="shared" si="4"/>
        <v/>
      </c>
    </row>
    <row r="406" ht="22.5" customHeight="1">
      <c r="A406" s="140"/>
      <c r="B406" s="135" t="str">
        <f t="array" ref="B406">IF(A406="","",VLOOKUP(A406,INDIRECT("CXC!A2:B"&amp;COUNTA(CXC!A:A)),2,FALSE))</f>
        <v/>
      </c>
      <c r="C406" s="136" t="str">
        <f t="array" ref="C406">IF(A406="","",VLOOKUP(A406,INDIRECT("CXC!A2:C"&amp;COUNTA(CXC!A:A)),3,FALSE))</f>
        <v/>
      </c>
      <c r="D406" s="137" t="str">
        <f t="array" ref="D406">IF(A406="","",VLOOKUP(A406,INDIRECT("CXC!A2:H"&amp;COUNTA(CXC!A:A)),8,FALSE))</f>
        <v/>
      </c>
      <c r="E406" s="137" t="str">
        <f t="array" ref="E406">IFERROR(IF(A406="","",VLOOKUP(A406,INDIRECT("HISTÓRICO COBROS!A3:E"&amp;COUNTA('HISTÓRICO COBROS'!A:A)),5,FALSE)),"")</f>
        <v/>
      </c>
      <c r="F406" s="137" t="str">
        <f t="array" ref="F406">IF(A406="","",VLOOKUP(A406,INDIRECT("CXC!A2:I"&amp;COUNTA(CXC!A:A)),9,FALSE))</f>
        <v/>
      </c>
      <c r="G406" s="137" t="str">
        <f t="array" ref="G406">IFERROR(IF(A406="","",VLOOKUP(A406,INDIRECT("HISTÓRICO COBROS!A3:F"&amp;COUNTA('HISTÓRICO COBROS'!A:A)),6,FALSE)),"")</f>
        <v/>
      </c>
      <c r="H406" s="138" t="str">
        <f t="shared" ref="H406:I406" si="407">IF(D406="","",D406+F406)</f>
        <v/>
      </c>
      <c r="I406" s="135" t="str">
        <f t="shared" si="407"/>
        <v/>
      </c>
      <c r="J406" s="140" t="str">
        <f t="shared" si="3"/>
        <v/>
      </c>
      <c r="K406" s="140" t="str">
        <f t="shared" si="4"/>
        <v/>
      </c>
    </row>
    <row r="407" ht="22.5" customHeight="1">
      <c r="A407" s="140"/>
      <c r="B407" s="135" t="str">
        <f t="array" ref="B407">IF(A407="","",VLOOKUP(A407,INDIRECT("CXC!A2:B"&amp;COUNTA(CXC!A:A)),2,FALSE))</f>
        <v/>
      </c>
      <c r="C407" s="136" t="str">
        <f t="array" ref="C407">IF(A407="","",VLOOKUP(A407,INDIRECT("CXC!A2:C"&amp;COUNTA(CXC!A:A)),3,FALSE))</f>
        <v/>
      </c>
      <c r="D407" s="137" t="str">
        <f t="array" ref="D407">IF(A407="","",VLOOKUP(A407,INDIRECT("CXC!A2:H"&amp;COUNTA(CXC!A:A)),8,FALSE))</f>
        <v/>
      </c>
      <c r="E407" s="137" t="str">
        <f t="array" ref="E407">IFERROR(IF(A407="","",VLOOKUP(A407,INDIRECT("HISTÓRICO COBROS!A3:E"&amp;COUNTA('HISTÓRICO COBROS'!A:A)),5,FALSE)),"")</f>
        <v/>
      </c>
      <c r="F407" s="137" t="str">
        <f t="array" ref="F407">IF(A407="","",VLOOKUP(A407,INDIRECT("CXC!A2:I"&amp;COUNTA(CXC!A:A)),9,FALSE))</f>
        <v/>
      </c>
      <c r="G407" s="137" t="str">
        <f t="array" ref="G407">IFERROR(IF(A407="","",VLOOKUP(A407,INDIRECT("HISTÓRICO COBROS!A3:F"&amp;COUNTA('HISTÓRICO COBROS'!A:A)),6,FALSE)),"")</f>
        <v/>
      </c>
      <c r="H407" s="138" t="str">
        <f t="shared" ref="H407:I407" si="408">IF(D407="","",D407+F407)</f>
        <v/>
      </c>
      <c r="I407" s="135" t="str">
        <f t="shared" si="408"/>
        <v/>
      </c>
      <c r="J407" s="140" t="str">
        <f t="shared" si="3"/>
        <v/>
      </c>
      <c r="K407" s="140" t="str">
        <f t="shared" si="4"/>
        <v/>
      </c>
    </row>
    <row r="408" ht="22.5" customHeight="1">
      <c r="A408" s="140"/>
      <c r="B408" s="135" t="str">
        <f t="array" ref="B408">IF(A408="","",VLOOKUP(A408,INDIRECT("CXC!A2:B"&amp;COUNTA(CXC!A:A)),2,FALSE))</f>
        <v/>
      </c>
      <c r="C408" s="136" t="str">
        <f t="array" ref="C408">IF(A408="","",VLOOKUP(A408,INDIRECT("CXC!A2:C"&amp;COUNTA(CXC!A:A)),3,FALSE))</f>
        <v/>
      </c>
      <c r="D408" s="137" t="str">
        <f t="array" ref="D408">IF(A408="","",VLOOKUP(A408,INDIRECT("CXC!A2:H"&amp;COUNTA(CXC!A:A)),8,FALSE))</f>
        <v/>
      </c>
      <c r="E408" s="137" t="str">
        <f t="array" ref="E408">IFERROR(IF(A408="","",VLOOKUP(A408,INDIRECT("HISTÓRICO COBROS!A3:E"&amp;COUNTA('HISTÓRICO COBROS'!A:A)),5,FALSE)),"")</f>
        <v/>
      </c>
      <c r="F408" s="137" t="str">
        <f t="array" ref="F408">IF(A408="","",VLOOKUP(A408,INDIRECT("CXC!A2:I"&amp;COUNTA(CXC!A:A)),9,FALSE))</f>
        <v/>
      </c>
      <c r="G408" s="137" t="str">
        <f t="array" ref="G408">IFERROR(IF(A408="","",VLOOKUP(A408,INDIRECT("HISTÓRICO COBROS!A3:F"&amp;COUNTA('HISTÓRICO COBROS'!A:A)),6,FALSE)),"")</f>
        <v/>
      </c>
      <c r="H408" s="138" t="str">
        <f t="shared" ref="H408:I408" si="409">IF(D408="","",D408+F408)</f>
        <v/>
      </c>
      <c r="I408" s="135" t="str">
        <f t="shared" si="409"/>
        <v/>
      </c>
      <c r="J408" s="140" t="str">
        <f t="shared" si="3"/>
        <v/>
      </c>
      <c r="K408" s="140" t="str">
        <f t="shared" si="4"/>
        <v/>
      </c>
    </row>
    <row r="409" ht="22.5" customHeight="1">
      <c r="A409" s="140"/>
      <c r="B409" s="135" t="str">
        <f t="array" ref="B409">IF(A409="","",VLOOKUP(A409,INDIRECT("CXC!A2:B"&amp;COUNTA(CXC!A:A)),2,FALSE))</f>
        <v/>
      </c>
      <c r="C409" s="136" t="str">
        <f t="array" ref="C409">IF(A409="","",VLOOKUP(A409,INDIRECT("CXC!A2:C"&amp;COUNTA(CXC!A:A)),3,FALSE))</f>
        <v/>
      </c>
      <c r="D409" s="137" t="str">
        <f t="array" ref="D409">IF(A409="","",VLOOKUP(A409,INDIRECT("CXC!A2:H"&amp;COUNTA(CXC!A:A)),8,FALSE))</f>
        <v/>
      </c>
      <c r="E409" s="137" t="str">
        <f t="array" ref="E409">IFERROR(IF(A409="","",VLOOKUP(A409,INDIRECT("HISTÓRICO COBROS!A3:E"&amp;COUNTA('HISTÓRICO COBROS'!A:A)),5,FALSE)),"")</f>
        <v/>
      </c>
      <c r="F409" s="137" t="str">
        <f t="array" ref="F409">IF(A409="","",VLOOKUP(A409,INDIRECT("CXC!A2:I"&amp;COUNTA(CXC!A:A)),9,FALSE))</f>
        <v/>
      </c>
      <c r="G409" s="137" t="str">
        <f t="array" ref="G409">IFERROR(IF(A409="","",VLOOKUP(A409,INDIRECT("HISTÓRICO COBROS!A3:F"&amp;COUNTA('HISTÓRICO COBROS'!A:A)),6,FALSE)),"")</f>
        <v/>
      </c>
      <c r="H409" s="138" t="str">
        <f t="shared" ref="H409:I409" si="410">IF(D409="","",D409+F409)</f>
        <v/>
      </c>
      <c r="I409" s="135" t="str">
        <f t="shared" si="410"/>
        <v/>
      </c>
      <c r="J409" s="140" t="str">
        <f t="shared" si="3"/>
        <v/>
      </c>
      <c r="K409" s="140" t="str">
        <f t="shared" si="4"/>
        <v/>
      </c>
    </row>
    <row r="410" ht="22.5" customHeight="1">
      <c r="A410" s="140"/>
      <c r="B410" s="135" t="str">
        <f t="array" ref="B410">IF(A410="","",VLOOKUP(A410,INDIRECT("CXC!A2:B"&amp;COUNTA(CXC!A:A)),2,FALSE))</f>
        <v/>
      </c>
      <c r="C410" s="136" t="str">
        <f t="array" ref="C410">IF(A410="","",VLOOKUP(A410,INDIRECT("CXC!A2:C"&amp;COUNTA(CXC!A:A)),3,FALSE))</f>
        <v/>
      </c>
      <c r="D410" s="137" t="str">
        <f t="array" ref="D410">IF(A410="","",VLOOKUP(A410,INDIRECT("CXC!A2:H"&amp;COUNTA(CXC!A:A)),8,FALSE))</f>
        <v/>
      </c>
      <c r="E410" s="137" t="str">
        <f t="array" ref="E410">IFERROR(IF(A410="","",VLOOKUP(A410,INDIRECT("HISTÓRICO COBROS!A3:E"&amp;COUNTA('HISTÓRICO COBROS'!A:A)),5,FALSE)),"")</f>
        <v/>
      </c>
      <c r="F410" s="137" t="str">
        <f t="array" ref="F410">IF(A410="","",VLOOKUP(A410,INDIRECT("CXC!A2:I"&amp;COUNTA(CXC!A:A)),9,FALSE))</f>
        <v/>
      </c>
      <c r="G410" s="137" t="str">
        <f t="array" ref="G410">IFERROR(IF(A410="","",VLOOKUP(A410,INDIRECT("HISTÓRICO COBROS!A3:F"&amp;COUNTA('HISTÓRICO COBROS'!A:A)),6,FALSE)),"")</f>
        <v/>
      </c>
      <c r="H410" s="138" t="str">
        <f t="shared" ref="H410:I410" si="411">IF(D410="","",D410+F410)</f>
        <v/>
      </c>
      <c r="I410" s="135" t="str">
        <f t="shared" si="411"/>
        <v/>
      </c>
      <c r="J410" s="140" t="str">
        <f t="shared" si="3"/>
        <v/>
      </c>
      <c r="K410" s="140" t="str">
        <f t="shared" si="4"/>
        <v/>
      </c>
    </row>
    <row r="411" ht="22.5" customHeight="1">
      <c r="A411" s="140"/>
      <c r="B411" s="135" t="str">
        <f t="array" ref="B411">IF(A411="","",VLOOKUP(A411,INDIRECT("CXC!A2:B"&amp;COUNTA(CXC!A:A)),2,FALSE))</f>
        <v/>
      </c>
      <c r="C411" s="136" t="str">
        <f t="array" ref="C411">IF(A411="","",VLOOKUP(A411,INDIRECT("CXC!A2:C"&amp;COUNTA(CXC!A:A)),3,FALSE))</f>
        <v/>
      </c>
      <c r="D411" s="137" t="str">
        <f t="array" ref="D411">IF(A411="","",VLOOKUP(A411,INDIRECT("CXC!A2:H"&amp;COUNTA(CXC!A:A)),8,FALSE))</f>
        <v/>
      </c>
      <c r="E411" s="137" t="str">
        <f t="array" ref="E411">IFERROR(IF(A411="","",VLOOKUP(A411,INDIRECT("HISTÓRICO COBROS!A3:E"&amp;COUNTA('HISTÓRICO COBROS'!A:A)),5,FALSE)),"")</f>
        <v/>
      </c>
      <c r="F411" s="137" t="str">
        <f t="array" ref="F411">IF(A411="","",VLOOKUP(A411,INDIRECT("CXC!A2:I"&amp;COUNTA(CXC!A:A)),9,FALSE))</f>
        <v/>
      </c>
      <c r="G411" s="137" t="str">
        <f t="array" ref="G411">IFERROR(IF(A411="","",VLOOKUP(A411,INDIRECT("HISTÓRICO COBROS!A3:F"&amp;COUNTA('HISTÓRICO COBROS'!A:A)),6,FALSE)),"")</f>
        <v/>
      </c>
      <c r="H411" s="138" t="str">
        <f t="shared" ref="H411:I411" si="412">IF(D411="","",D411+F411)</f>
        <v/>
      </c>
      <c r="I411" s="135" t="str">
        <f t="shared" si="412"/>
        <v/>
      </c>
      <c r="J411" s="140" t="str">
        <f t="shared" si="3"/>
        <v/>
      </c>
      <c r="K411" s="140" t="str">
        <f t="shared" si="4"/>
        <v/>
      </c>
    </row>
    <row r="412" ht="22.5" customHeight="1">
      <c r="A412" s="140"/>
      <c r="B412" s="135" t="str">
        <f t="array" ref="B412">IF(A412="","",VLOOKUP(A412,INDIRECT("CXC!A2:B"&amp;COUNTA(CXC!A:A)),2,FALSE))</f>
        <v/>
      </c>
      <c r="C412" s="136" t="str">
        <f t="array" ref="C412">IF(A412="","",VLOOKUP(A412,INDIRECT("CXC!A2:C"&amp;COUNTA(CXC!A:A)),3,FALSE))</f>
        <v/>
      </c>
      <c r="D412" s="137" t="str">
        <f t="array" ref="D412">IF(A412="","",VLOOKUP(A412,INDIRECT("CXC!A2:H"&amp;COUNTA(CXC!A:A)),8,FALSE))</f>
        <v/>
      </c>
      <c r="E412" s="137" t="str">
        <f t="array" ref="E412">IFERROR(IF(A412="","",VLOOKUP(A412,INDIRECT("HISTÓRICO COBROS!A3:E"&amp;COUNTA('HISTÓRICO COBROS'!A:A)),5,FALSE)),"")</f>
        <v/>
      </c>
      <c r="F412" s="137" t="str">
        <f t="array" ref="F412">IF(A412="","",VLOOKUP(A412,INDIRECT("CXC!A2:I"&amp;COUNTA(CXC!A:A)),9,FALSE))</f>
        <v/>
      </c>
      <c r="G412" s="137" t="str">
        <f t="array" ref="G412">IFERROR(IF(A412="","",VLOOKUP(A412,INDIRECT("HISTÓRICO COBROS!A3:F"&amp;COUNTA('HISTÓRICO COBROS'!A:A)),6,FALSE)),"")</f>
        <v/>
      </c>
      <c r="H412" s="138" t="str">
        <f t="shared" ref="H412:I412" si="413">IF(D412="","",D412+F412)</f>
        <v/>
      </c>
      <c r="I412" s="135" t="str">
        <f t="shared" si="413"/>
        <v/>
      </c>
      <c r="J412" s="140" t="str">
        <f t="shared" si="3"/>
        <v/>
      </c>
      <c r="K412" s="140" t="str">
        <f t="shared" si="4"/>
        <v/>
      </c>
    </row>
    <row r="413" ht="22.5" customHeight="1">
      <c r="A413" s="140"/>
      <c r="B413" s="135" t="str">
        <f t="array" ref="B413">IF(A413="","",VLOOKUP(A413,INDIRECT("CXC!A2:B"&amp;COUNTA(CXC!A:A)),2,FALSE))</f>
        <v/>
      </c>
      <c r="C413" s="136" t="str">
        <f t="array" ref="C413">IF(A413="","",VLOOKUP(A413,INDIRECT("CXC!A2:C"&amp;COUNTA(CXC!A:A)),3,FALSE))</f>
        <v/>
      </c>
      <c r="D413" s="137" t="str">
        <f t="array" ref="D413">IF(A413="","",VLOOKUP(A413,INDIRECT("CXC!A2:H"&amp;COUNTA(CXC!A:A)),8,FALSE))</f>
        <v/>
      </c>
      <c r="E413" s="137" t="str">
        <f t="array" ref="E413">IFERROR(IF(A413="","",VLOOKUP(A413,INDIRECT("HISTÓRICO COBROS!A3:E"&amp;COUNTA('HISTÓRICO COBROS'!A:A)),5,FALSE)),"")</f>
        <v/>
      </c>
      <c r="F413" s="137" t="str">
        <f t="array" ref="F413">IF(A413="","",VLOOKUP(A413,INDIRECT("CXC!A2:I"&amp;COUNTA(CXC!A:A)),9,FALSE))</f>
        <v/>
      </c>
      <c r="G413" s="137" t="str">
        <f t="array" ref="G413">IFERROR(IF(A413="","",VLOOKUP(A413,INDIRECT("HISTÓRICO COBROS!A3:F"&amp;COUNTA('HISTÓRICO COBROS'!A:A)),6,FALSE)),"")</f>
        <v/>
      </c>
      <c r="H413" s="138" t="str">
        <f t="shared" ref="H413:I413" si="414">IF(D413="","",D413+F413)</f>
        <v/>
      </c>
      <c r="I413" s="135" t="str">
        <f t="shared" si="414"/>
        <v/>
      </c>
      <c r="J413" s="140" t="str">
        <f t="shared" si="3"/>
        <v/>
      </c>
      <c r="K413" s="140" t="str">
        <f t="shared" si="4"/>
        <v/>
      </c>
    </row>
    <row r="414" ht="22.5" customHeight="1">
      <c r="A414" s="140"/>
      <c r="B414" s="135" t="str">
        <f t="array" ref="B414">IF(A414="","",VLOOKUP(A414,INDIRECT("CXC!A2:B"&amp;COUNTA(CXC!A:A)),2,FALSE))</f>
        <v/>
      </c>
      <c r="C414" s="136" t="str">
        <f t="array" ref="C414">IF(A414="","",VLOOKUP(A414,INDIRECT("CXC!A2:C"&amp;COUNTA(CXC!A:A)),3,FALSE))</f>
        <v/>
      </c>
      <c r="D414" s="137" t="str">
        <f t="array" ref="D414">IF(A414="","",VLOOKUP(A414,INDIRECT("CXC!A2:H"&amp;COUNTA(CXC!A:A)),8,FALSE))</f>
        <v/>
      </c>
      <c r="E414" s="137" t="str">
        <f t="array" ref="E414">IFERROR(IF(A414="","",VLOOKUP(A414,INDIRECT("HISTÓRICO COBROS!A3:E"&amp;COUNTA('HISTÓRICO COBROS'!A:A)),5,FALSE)),"")</f>
        <v/>
      </c>
      <c r="F414" s="137" t="str">
        <f t="array" ref="F414">IF(A414="","",VLOOKUP(A414,INDIRECT("CXC!A2:I"&amp;COUNTA(CXC!A:A)),9,FALSE))</f>
        <v/>
      </c>
      <c r="G414" s="137" t="str">
        <f t="array" ref="G414">IFERROR(IF(A414="","",VLOOKUP(A414,INDIRECT("HISTÓRICO COBROS!A3:F"&amp;COUNTA('HISTÓRICO COBROS'!A:A)),6,FALSE)),"")</f>
        <v/>
      </c>
      <c r="H414" s="138" t="str">
        <f t="shared" ref="H414:I414" si="415">IF(D414="","",D414+F414)</f>
        <v/>
      </c>
      <c r="I414" s="135" t="str">
        <f t="shared" si="415"/>
        <v/>
      </c>
      <c r="J414" s="140" t="str">
        <f t="shared" si="3"/>
        <v/>
      </c>
      <c r="K414" s="140" t="str">
        <f t="shared" si="4"/>
        <v/>
      </c>
    </row>
    <row r="415" ht="22.5" customHeight="1">
      <c r="A415" s="140"/>
      <c r="B415" s="135" t="str">
        <f t="array" ref="B415">IF(A415="","",VLOOKUP(A415,INDIRECT("CXC!A2:B"&amp;COUNTA(CXC!A:A)),2,FALSE))</f>
        <v/>
      </c>
      <c r="C415" s="136" t="str">
        <f t="array" ref="C415">IF(A415="","",VLOOKUP(A415,INDIRECT("CXC!A2:C"&amp;COUNTA(CXC!A:A)),3,FALSE))</f>
        <v/>
      </c>
      <c r="D415" s="137" t="str">
        <f t="array" ref="D415">IF(A415="","",VLOOKUP(A415,INDIRECT("CXC!A2:H"&amp;COUNTA(CXC!A:A)),8,FALSE))</f>
        <v/>
      </c>
      <c r="E415" s="137" t="str">
        <f t="array" ref="E415">IFERROR(IF(A415="","",VLOOKUP(A415,INDIRECT("HISTÓRICO COBROS!A3:E"&amp;COUNTA('HISTÓRICO COBROS'!A:A)),5,FALSE)),"")</f>
        <v/>
      </c>
      <c r="F415" s="137" t="str">
        <f t="array" ref="F415">IF(A415="","",VLOOKUP(A415,INDIRECT("CXC!A2:I"&amp;COUNTA(CXC!A:A)),9,FALSE))</f>
        <v/>
      </c>
      <c r="G415" s="137" t="str">
        <f t="array" ref="G415">IFERROR(IF(A415="","",VLOOKUP(A415,INDIRECT("HISTÓRICO COBROS!A3:F"&amp;COUNTA('HISTÓRICO COBROS'!A:A)),6,FALSE)),"")</f>
        <v/>
      </c>
      <c r="H415" s="138" t="str">
        <f t="shared" ref="H415:I415" si="416">IF(D415="","",D415+F415)</f>
        <v/>
      </c>
      <c r="I415" s="135" t="str">
        <f t="shared" si="416"/>
        <v/>
      </c>
      <c r="J415" s="140" t="str">
        <f t="shared" si="3"/>
        <v/>
      </c>
      <c r="K415" s="140" t="str">
        <f t="shared" si="4"/>
        <v/>
      </c>
    </row>
    <row r="416" ht="22.5" customHeight="1">
      <c r="A416" s="140"/>
      <c r="B416" s="135" t="str">
        <f t="array" ref="B416">IF(A416="","",VLOOKUP(A416,INDIRECT("CXC!A2:B"&amp;COUNTA(CXC!A:A)),2,FALSE))</f>
        <v/>
      </c>
      <c r="C416" s="136" t="str">
        <f t="array" ref="C416">IF(A416="","",VLOOKUP(A416,INDIRECT("CXC!A2:C"&amp;COUNTA(CXC!A:A)),3,FALSE))</f>
        <v/>
      </c>
      <c r="D416" s="137" t="str">
        <f t="array" ref="D416">IF(A416="","",VLOOKUP(A416,INDIRECT("CXC!A2:H"&amp;COUNTA(CXC!A:A)),8,FALSE))</f>
        <v/>
      </c>
      <c r="E416" s="137" t="str">
        <f t="array" ref="E416">IFERROR(IF(A416="","",VLOOKUP(A416,INDIRECT("HISTÓRICO COBROS!A3:E"&amp;COUNTA('HISTÓRICO COBROS'!A:A)),5,FALSE)),"")</f>
        <v/>
      </c>
      <c r="F416" s="137" t="str">
        <f t="array" ref="F416">IF(A416="","",VLOOKUP(A416,INDIRECT("CXC!A2:I"&amp;COUNTA(CXC!A:A)),9,FALSE))</f>
        <v/>
      </c>
      <c r="G416" s="137" t="str">
        <f t="array" ref="G416">IFERROR(IF(A416="","",VLOOKUP(A416,INDIRECT("HISTÓRICO COBROS!A3:F"&amp;COUNTA('HISTÓRICO COBROS'!A:A)),6,FALSE)),"")</f>
        <v/>
      </c>
      <c r="H416" s="138" t="str">
        <f t="shared" ref="H416:I416" si="417">IF(D416="","",D416+F416)</f>
        <v/>
      </c>
      <c r="I416" s="135" t="str">
        <f t="shared" si="417"/>
        <v/>
      </c>
      <c r="J416" s="140" t="str">
        <f t="shared" si="3"/>
        <v/>
      </c>
      <c r="K416" s="140" t="str">
        <f t="shared" si="4"/>
        <v/>
      </c>
    </row>
    <row r="417" ht="22.5" customHeight="1">
      <c r="A417" s="140"/>
      <c r="B417" s="135" t="str">
        <f t="array" ref="B417">IF(A417="","",VLOOKUP(A417,INDIRECT("CXC!A2:B"&amp;COUNTA(CXC!A:A)),2,FALSE))</f>
        <v/>
      </c>
      <c r="C417" s="136" t="str">
        <f t="array" ref="C417">IF(A417="","",VLOOKUP(A417,INDIRECT("CXC!A2:C"&amp;COUNTA(CXC!A:A)),3,FALSE))</f>
        <v/>
      </c>
      <c r="D417" s="137" t="str">
        <f t="array" ref="D417">IF(A417="","",VLOOKUP(A417,INDIRECT("CXC!A2:H"&amp;COUNTA(CXC!A:A)),8,FALSE))</f>
        <v/>
      </c>
      <c r="E417" s="137" t="str">
        <f t="array" ref="E417">IFERROR(IF(A417="","",VLOOKUP(A417,INDIRECT("HISTÓRICO COBROS!A3:E"&amp;COUNTA('HISTÓRICO COBROS'!A:A)),5,FALSE)),"")</f>
        <v/>
      </c>
      <c r="F417" s="137" t="str">
        <f t="array" ref="F417">IF(A417="","",VLOOKUP(A417,INDIRECT("CXC!A2:I"&amp;COUNTA(CXC!A:A)),9,FALSE))</f>
        <v/>
      </c>
      <c r="G417" s="137" t="str">
        <f t="array" ref="G417">IFERROR(IF(A417="","",VLOOKUP(A417,INDIRECT("HISTÓRICO COBROS!A3:F"&amp;COUNTA('HISTÓRICO COBROS'!A:A)),6,FALSE)),"")</f>
        <v/>
      </c>
      <c r="H417" s="138" t="str">
        <f t="shared" ref="H417:I417" si="418">IF(D417="","",D417+F417)</f>
        <v/>
      </c>
      <c r="I417" s="135" t="str">
        <f t="shared" si="418"/>
        <v/>
      </c>
      <c r="J417" s="140" t="str">
        <f t="shared" si="3"/>
        <v/>
      </c>
      <c r="K417" s="140" t="str">
        <f t="shared" si="4"/>
        <v/>
      </c>
    </row>
    <row r="418" ht="22.5" customHeight="1">
      <c r="A418" s="140"/>
      <c r="B418" s="135" t="str">
        <f t="array" ref="B418">IF(A418="","",VLOOKUP(A418,INDIRECT("CXC!A2:B"&amp;COUNTA(CXC!A:A)),2,FALSE))</f>
        <v/>
      </c>
      <c r="C418" s="136" t="str">
        <f t="array" ref="C418">IF(A418="","",VLOOKUP(A418,INDIRECT("CXC!A2:C"&amp;COUNTA(CXC!A:A)),3,FALSE))</f>
        <v/>
      </c>
      <c r="D418" s="137" t="str">
        <f t="array" ref="D418">IF(A418="","",VLOOKUP(A418,INDIRECT("CXC!A2:H"&amp;COUNTA(CXC!A:A)),8,FALSE))</f>
        <v/>
      </c>
      <c r="E418" s="137" t="str">
        <f t="array" ref="E418">IFERROR(IF(A418="","",VLOOKUP(A418,INDIRECT("HISTÓRICO COBROS!A3:E"&amp;COUNTA('HISTÓRICO COBROS'!A:A)),5,FALSE)),"")</f>
        <v/>
      </c>
      <c r="F418" s="137" t="str">
        <f t="array" ref="F418">IF(A418="","",VLOOKUP(A418,INDIRECT("CXC!A2:I"&amp;COUNTA(CXC!A:A)),9,FALSE))</f>
        <v/>
      </c>
      <c r="G418" s="137" t="str">
        <f t="array" ref="G418">IFERROR(IF(A418="","",VLOOKUP(A418,INDIRECT("HISTÓRICO COBROS!A3:F"&amp;COUNTA('HISTÓRICO COBROS'!A:A)),6,FALSE)),"")</f>
        <v/>
      </c>
      <c r="H418" s="138" t="str">
        <f t="shared" ref="H418:I418" si="419">IF(D418="","",D418+F418)</f>
        <v/>
      </c>
      <c r="I418" s="135" t="str">
        <f t="shared" si="419"/>
        <v/>
      </c>
      <c r="J418" s="140" t="str">
        <f t="shared" si="3"/>
        <v/>
      </c>
      <c r="K418" s="140" t="str">
        <f t="shared" si="4"/>
        <v/>
      </c>
    </row>
    <row r="419" ht="22.5" customHeight="1">
      <c r="A419" s="140"/>
      <c r="B419" s="135" t="str">
        <f t="array" ref="B419">IF(A419="","",VLOOKUP(A419,INDIRECT("CXC!A2:B"&amp;COUNTA(CXC!A:A)),2,FALSE))</f>
        <v/>
      </c>
      <c r="C419" s="136" t="str">
        <f t="array" ref="C419">IF(A419="","",VLOOKUP(A419,INDIRECT("CXC!A2:C"&amp;COUNTA(CXC!A:A)),3,FALSE))</f>
        <v/>
      </c>
      <c r="D419" s="137" t="str">
        <f t="array" ref="D419">IF(A419="","",VLOOKUP(A419,INDIRECT("CXC!A2:H"&amp;COUNTA(CXC!A:A)),8,FALSE))</f>
        <v/>
      </c>
      <c r="E419" s="137" t="str">
        <f t="array" ref="E419">IFERROR(IF(A419="","",VLOOKUP(A419,INDIRECT("HISTÓRICO COBROS!A3:E"&amp;COUNTA('HISTÓRICO COBROS'!A:A)),5,FALSE)),"")</f>
        <v/>
      </c>
      <c r="F419" s="137" t="str">
        <f t="array" ref="F419">IF(A419="","",VLOOKUP(A419,INDIRECT("CXC!A2:I"&amp;COUNTA(CXC!A:A)),9,FALSE))</f>
        <v/>
      </c>
      <c r="G419" s="137" t="str">
        <f t="array" ref="G419">IFERROR(IF(A419="","",VLOOKUP(A419,INDIRECT("HISTÓRICO COBROS!A3:F"&amp;COUNTA('HISTÓRICO COBROS'!A:A)),6,FALSE)),"")</f>
        <v/>
      </c>
      <c r="H419" s="138" t="str">
        <f t="shared" ref="H419:I419" si="420">IF(D419="","",D419+F419)</f>
        <v/>
      </c>
      <c r="I419" s="135" t="str">
        <f t="shared" si="420"/>
        <v/>
      </c>
      <c r="J419" s="140" t="str">
        <f t="shared" si="3"/>
        <v/>
      </c>
      <c r="K419" s="140" t="str">
        <f t="shared" si="4"/>
        <v/>
      </c>
    </row>
    <row r="420" ht="22.5" customHeight="1">
      <c r="A420" s="140"/>
      <c r="B420" s="135" t="str">
        <f t="array" ref="B420">IF(A420="","",VLOOKUP(A420,INDIRECT("CXC!A2:B"&amp;COUNTA(CXC!A:A)),2,FALSE))</f>
        <v/>
      </c>
      <c r="C420" s="136" t="str">
        <f t="array" ref="C420">IF(A420="","",VLOOKUP(A420,INDIRECT("CXC!A2:C"&amp;COUNTA(CXC!A:A)),3,FALSE))</f>
        <v/>
      </c>
      <c r="D420" s="137" t="str">
        <f t="array" ref="D420">IF(A420="","",VLOOKUP(A420,INDIRECT("CXC!A2:H"&amp;COUNTA(CXC!A:A)),8,FALSE))</f>
        <v/>
      </c>
      <c r="E420" s="137" t="str">
        <f t="array" ref="E420">IFERROR(IF(A420="","",VLOOKUP(A420,INDIRECT("HISTÓRICO COBROS!A3:E"&amp;COUNTA('HISTÓRICO COBROS'!A:A)),5,FALSE)),"")</f>
        <v/>
      </c>
      <c r="F420" s="137" t="str">
        <f t="array" ref="F420">IF(A420="","",VLOOKUP(A420,INDIRECT("CXC!A2:I"&amp;COUNTA(CXC!A:A)),9,FALSE))</f>
        <v/>
      </c>
      <c r="G420" s="137" t="str">
        <f t="array" ref="G420">IFERROR(IF(A420="","",VLOOKUP(A420,INDIRECT("HISTÓRICO COBROS!A3:F"&amp;COUNTA('HISTÓRICO COBROS'!A:A)),6,FALSE)),"")</f>
        <v/>
      </c>
      <c r="H420" s="138" t="str">
        <f t="shared" ref="H420:I420" si="421">IF(D420="","",D420+F420)</f>
        <v/>
      </c>
      <c r="I420" s="135" t="str">
        <f t="shared" si="421"/>
        <v/>
      </c>
      <c r="J420" s="140" t="str">
        <f t="shared" si="3"/>
        <v/>
      </c>
      <c r="K420" s="140" t="str">
        <f t="shared" si="4"/>
        <v/>
      </c>
    </row>
    <row r="421" ht="22.5" customHeight="1">
      <c r="A421" s="140"/>
      <c r="B421" s="135" t="str">
        <f t="array" ref="B421">IF(A421="","",VLOOKUP(A421,INDIRECT("CXC!A2:B"&amp;COUNTA(CXC!A:A)),2,FALSE))</f>
        <v/>
      </c>
      <c r="C421" s="136" t="str">
        <f t="array" ref="C421">IF(A421="","",VLOOKUP(A421,INDIRECT("CXC!A2:C"&amp;COUNTA(CXC!A:A)),3,FALSE))</f>
        <v/>
      </c>
      <c r="D421" s="137" t="str">
        <f t="array" ref="D421">IF(A421="","",VLOOKUP(A421,INDIRECT("CXC!A2:H"&amp;COUNTA(CXC!A:A)),8,FALSE))</f>
        <v/>
      </c>
      <c r="E421" s="137" t="str">
        <f t="array" ref="E421">IFERROR(IF(A421="","",VLOOKUP(A421,INDIRECT("HISTÓRICO COBROS!A3:E"&amp;COUNTA('HISTÓRICO COBROS'!A:A)),5,FALSE)),"")</f>
        <v/>
      </c>
      <c r="F421" s="137" t="str">
        <f t="array" ref="F421">IF(A421="","",VLOOKUP(A421,INDIRECT("CXC!A2:I"&amp;COUNTA(CXC!A:A)),9,FALSE))</f>
        <v/>
      </c>
      <c r="G421" s="137" t="str">
        <f t="array" ref="G421">IFERROR(IF(A421="","",VLOOKUP(A421,INDIRECT("HISTÓRICO COBROS!A3:F"&amp;COUNTA('HISTÓRICO COBROS'!A:A)),6,FALSE)),"")</f>
        <v/>
      </c>
      <c r="H421" s="138" t="str">
        <f t="shared" ref="H421:I421" si="422">IF(D421="","",D421+F421)</f>
        <v/>
      </c>
      <c r="I421" s="135" t="str">
        <f t="shared" si="422"/>
        <v/>
      </c>
      <c r="J421" s="140" t="str">
        <f t="shared" si="3"/>
        <v/>
      </c>
      <c r="K421" s="140" t="str">
        <f t="shared" si="4"/>
        <v/>
      </c>
    </row>
    <row r="422" ht="22.5" customHeight="1">
      <c r="A422" s="140"/>
      <c r="B422" s="135" t="str">
        <f t="array" ref="B422">IF(A422="","",VLOOKUP(A422,INDIRECT("CXC!A2:B"&amp;COUNTA(CXC!A:A)),2,FALSE))</f>
        <v/>
      </c>
      <c r="C422" s="136" t="str">
        <f t="array" ref="C422">IF(A422="","",VLOOKUP(A422,INDIRECT("CXC!A2:C"&amp;COUNTA(CXC!A:A)),3,FALSE))</f>
        <v/>
      </c>
      <c r="D422" s="137" t="str">
        <f t="array" ref="D422">IF(A422="","",VLOOKUP(A422,INDIRECT("CXC!A2:H"&amp;COUNTA(CXC!A:A)),8,FALSE))</f>
        <v/>
      </c>
      <c r="E422" s="137" t="str">
        <f t="array" ref="E422">IFERROR(IF(A422="","",VLOOKUP(A422,INDIRECT("HISTÓRICO COBROS!A3:E"&amp;COUNTA('HISTÓRICO COBROS'!A:A)),5,FALSE)),"")</f>
        <v/>
      </c>
      <c r="F422" s="137" t="str">
        <f t="array" ref="F422">IF(A422="","",VLOOKUP(A422,INDIRECT("CXC!A2:I"&amp;COUNTA(CXC!A:A)),9,FALSE))</f>
        <v/>
      </c>
      <c r="G422" s="137" t="str">
        <f t="array" ref="G422">IFERROR(IF(A422="","",VLOOKUP(A422,INDIRECT("HISTÓRICO COBROS!A3:F"&amp;COUNTA('HISTÓRICO COBROS'!A:A)),6,FALSE)),"")</f>
        <v/>
      </c>
      <c r="H422" s="138" t="str">
        <f t="shared" ref="H422:I422" si="423">IF(D422="","",D422+F422)</f>
        <v/>
      </c>
      <c r="I422" s="135" t="str">
        <f t="shared" si="423"/>
        <v/>
      </c>
      <c r="J422" s="140" t="str">
        <f t="shared" si="3"/>
        <v/>
      </c>
      <c r="K422" s="140" t="str">
        <f t="shared" si="4"/>
        <v/>
      </c>
    </row>
    <row r="423" ht="22.5" customHeight="1">
      <c r="A423" s="140"/>
      <c r="B423" s="135" t="str">
        <f t="array" ref="B423">IF(A423="","",VLOOKUP(A423,INDIRECT("CXC!A2:B"&amp;COUNTA(CXC!A:A)),2,FALSE))</f>
        <v/>
      </c>
      <c r="C423" s="136" t="str">
        <f t="array" ref="C423">IF(A423="","",VLOOKUP(A423,INDIRECT("CXC!A2:C"&amp;COUNTA(CXC!A:A)),3,FALSE))</f>
        <v/>
      </c>
      <c r="D423" s="137" t="str">
        <f t="array" ref="D423">IF(A423="","",VLOOKUP(A423,INDIRECT("CXC!A2:H"&amp;COUNTA(CXC!A:A)),8,FALSE))</f>
        <v/>
      </c>
      <c r="E423" s="137" t="str">
        <f t="array" ref="E423">IFERROR(IF(A423="","",VLOOKUP(A423,INDIRECT("HISTÓRICO COBROS!A3:E"&amp;COUNTA('HISTÓRICO COBROS'!A:A)),5,FALSE)),"")</f>
        <v/>
      </c>
      <c r="F423" s="137" t="str">
        <f t="array" ref="F423">IF(A423="","",VLOOKUP(A423,INDIRECT("CXC!A2:I"&amp;COUNTA(CXC!A:A)),9,FALSE))</f>
        <v/>
      </c>
      <c r="G423" s="137" t="str">
        <f t="array" ref="G423">IFERROR(IF(A423="","",VLOOKUP(A423,INDIRECT("HISTÓRICO COBROS!A3:F"&amp;COUNTA('HISTÓRICO COBROS'!A:A)),6,FALSE)),"")</f>
        <v/>
      </c>
      <c r="H423" s="138" t="str">
        <f t="shared" ref="H423:I423" si="424">IF(D423="","",D423+F423)</f>
        <v/>
      </c>
      <c r="I423" s="135" t="str">
        <f t="shared" si="424"/>
        <v/>
      </c>
      <c r="J423" s="140" t="str">
        <f t="shared" si="3"/>
        <v/>
      </c>
      <c r="K423" s="140" t="str">
        <f t="shared" si="4"/>
        <v/>
      </c>
    </row>
    <row r="424" ht="22.5" customHeight="1">
      <c r="A424" s="140"/>
      <c r="B424" s="135" t="str">
        <f t="array" ref="B424">IF(A424="","",VLOOKUP(A424,INDIRECT("CXC!A2:B"&amp;COUNTA(CXC!A:A)),2,FALSE))</f>
        <v/>
      </c>
      <c r="C424" s="136" t="str">
        <f t="array" ref="C424">IF(A424="","",VLOOKUP(A424,INDIRECT("CXC!A2:C"&amp;COUNTA(CXC!A:A)),3,FALSE))</f>
        <v/>
      </c>
      <c r="D424" s="137" t="str">
        <f t="array" ref="D424">IF(A424="","",VLOOKUP(A424,INDIRECT("CXC!A2:H"&amp;COUNTA(CXC!A:A)),8,FALSE))</f>
        <v/>
      </c>
      <c r="E424" s="137" t="str">
        <f t="array" ref="E424">IFERROR(IF(A424="","",VLOOKUP(A424,INDIRECT("HISTÓRICO COBROS!A3:E"&amp;COUNTA('HISTÓRICO COBROS'!A:A)),5,FALSE)),"")</f>
        <v/>
      </c>
      <c r="F424" s="137" t="str">
        <f t="array" ref="F424">IF(A424="","",VLOOKUP(A424,INDIRECT("CXC!A2:I"&amp;COUNTA(CXC!A:A)),9,FALSE))</f>
        <v/>
      </c>
      <c r="G424" s="137" t="str">
        <f t="array" ref="G424">IFERROR(IF(A424="","",VLOOKUP(A424,INDIRECT("HISTÓRICO COBROS!A3:F"&amp;COUNTA('HISTÓRICO COBROS'!A:A)),6,FALSE)),"")</f>
        <v/>
      </c>
      <c r="H424" s="138" t="str">
        <f t="shared" ref="H424:I424" si="425">IF(D424="","",D424+F424)</f>
        <v/>
      </c>
      <c r="I424" s="135" t="str">
        <f t="shared" si="425"/>
        <v/>
      </c>
      <c r="J424" s="140" t="str">
        <f t="shared" si="3"/>
        <v/>
      </c>
      <c r="K424" s="140" t="str">
        <f t="shared" si="4"/>
        <v/>
      </c>
    </row>
    <row r="425" ht="22.5" customHeight="1">
      <c r="A425" s="140"/>
      <c r="B425" s="135" t="str">
        <f t="array" ref="B425">IF(A425="","",VLOOKUP(A425,INDIRECT("CXC!A2:B"&amp;COUNTA(CXC!A:A)),2,FALSE))</f>
        <v/>
      </c>
      <c r="C425" s="136" t="str">
        <f t="array" ref="C425">IF(A425="","",VLOOKUP(A425,INDIRECT("CXC!A2:C"&amp;COUNTA(CXC!A:A)),3,FALSE))</f>
        <v/>
      </c>
      <c r="D425" s="137" t="str">
        <f t="array" ref="D425">IF(A425="","",VLOOKUP(A425,INDIRECT("CXC!A2:H"&amp;COUNTA(CXC!A:A)),8,FALSE))</f>
        <v/>
      </c>
      <c r="E425" s="137" t="str">
        <f t="array" ref="E425">IFERROR(IF(A425="","",VLOOKUP(A425,INDIRECT("HISTÓRICO COBROS!A3:E"&amp;COUNTA('HISTÓRICO COBROS'!A:A)),5,FALSE)),"")</f>
        <v/>
      </c>
      <c r="F425" s="137" t="str">
        <f t="array" ref="F425">IF(A425="","",VLOOKUP(A425,INDIRECT("CXC!A2:I"&amp;COUNTA(CXC!A:A)),9,FALSE))</f>
        <v/>
      </c>
      <c r="G425" s="137" t="str">
        <f t="array" ref="G425">IFERROR(IF(A425="","",VLOOKUP(A425,INDIRECT("HISTÓRICO COBROS!A3:F"&amp;COUNTA('HISTÓRICO COBROS'!A:A)),6,FALSE)),"")</f>
        <v/>
      </c>
      <c r="H425" s="138" t="str">
        <f t="shared" ref="H425:I425" si="426">IF(D425="","",D425+F425)</f>
        <v/>
      </c>
      <c r="I425" s="135" t="str">
        <f t="shared" si="426"/>
        <v/>
      </c>
      <c r="J425" s="140" t="str">
        <f t="shared" si="3"/>
        <v/>
      </c>
      <c r="K425" s="140" t="str">
        <f t="shared" si="4"/>
        <v/>
      </c>
    </row>
    <row r="426" ht="22.5" customHeight="1">
      <c r="A426" s="140"/>
      <c r="B426" s="135" t="str">
        <f t="array" ref="B426">IF(A426="","",VLOOKUP(A426,INDIRECT("CXC!A2:B"&amp;COUNTA(CXC!A:A)),2,FALSE))</f>
        <v/>
      </c>
      <c r="C426" s="136" t="str">
        <f t="array" ref="C426">IF(A426="","",VLOOKUP(A426,INDIRECT("CXC!A2:C"&amp;COUNTA(CXC!A:A)),3,FALSE))</f>
        <v/>
      </c>
      <c r="D426" s="137" t="str">
        <f t="array" ref="D426">IF(A426="","",VLOOKUP(A426,INDIRECT("CXC!A2:H"&amp;COUNTA(CXC!A:A)),8,FALSE))</f>
        <v/>
      </c>
      <c r="E426" s="137" t="str">
        <f t="array" ref="E426">IFERROR(IF(A426="","",VLOOKUP(A426,INDIRECT("HISTÓRICO COBROS!A3:E"&amp;COUNTA('HISTÓRICO COBROS'!A:A)),5,FALSE)),"")</f>
        <v/>
      </c>
      <c r="F426" s="137" t="str">
        <f t="array" ref="F426">IF(A426="","",VLOOKUP(A426,INDIRECT("CXC!A2:I"&amp;COUNTA(CXC!A:A)),9,FALSE))</f>
        <v/>
      </c>
      <c r="G426" s="137" t="str">
        <f t="array" ref="G426">IFERROR(IF(A426="","",VLOOKUP(A426,INDIRECT("HISTÓRICO COBROS!A3:F"&amp;COUNTA('HISTÓRICO COBROS'!A:A)),6,FALSE)),"")</f>
        <v/>
      </c>
      <c r="H426" s="138" t="str">
        <f t="shared" ref="H426:I426" si="427">IF(D426="","",D426+F426)</f>
        <v/>
      </c>
      <c r="I426" s="135" t="str">
        <f t="shared" si="427"/>
        <v/>
      </c>
      <c r="J426" s="140" t="str">
        <f t="shared" si="3"/>
        <v/>
      </c>
      <c r="K426" s="140" t="str">
        <f t="shared" si="4"/>
        <v/>
      </c>
    </row>
    <row r="427" ht="22.5" customHeight="1">
      <c r="A427" s="140"/>
      <c r="B427" s="135" t="str">
        <f t="array" ref="B427">IF(A427="","",VLOOKUP(A427,INDIRECT("CXC!A2:B"&amp;COUNTA(CXC!A:A)),2,FALSE))</f>
        <v/>
      </c>
      <c r="C427" s="136" t="str">
        <f t="array" ref="C427">IF(A427="","",VLOOKUP(A427,INDIRECT("CXC!A2:C"&amp;COUNTA(CXC!A:A)),3,FALSE))</f>
        <v/>
      </c>
      <c r="D427" s="137" t="str">
        <f t="array" ref="D427">IF(A427="","",VLOOKUP(A427,INDIRECT("CXC!A2:H"&amp;COUNTA(CXC!A:A)),8,FALSE))</f>
        <v/>
      </c>
      <c r="E427" s="137" t="str">
        <f t="array" ref="E427">IFERROR(IF(A427="","",VLOOKUP(A427,INDIRECT("HISTÓRICO COBROS!A3:E"&amp;COUNTA('HISTÓRICO COBROS'!A:A)),5,FALSE)),"")</f>
        <v/>
      </c>
      <c r="F427" s="137" t="str">
        <f t="array" ref="F427">IF(A427="","",VLOOKUP(A427,INDIRECT("CXC!A2:I"&amp;COUNTA(CXC!A:A)),9,FALSE))</f>
        <v/>
      </c>
      <c r="G427" s="137" t="str">
        <f t="array" ref="G427">IFERROR(IF(A427="","",VLOOKUP(A427,INDIRECT("HISTÓRICO COBROS!A3:F"&amp;COUNTA('HISTÓRICO COBROS'!A:A)),6,FALSE)),"")</f>
        <v/>
      </c>
      <c r="H427" s="138" t="str">
        <f t="shared" ref="H427:I427" si="428">IF(D427="","",D427+F427)</f>
        <v/>
      </c>
      <c r="I427" s="135" t="str">
        <f t="shared" si="428"/>
        <v/>
      </c>
      <c r="J427" s="140" t="str">
        <f t="shared" si="3"/>
        <v/>
      </c>
      <c r="K427" s="140" t="str">
        <f t="shared" si="4"/>
        <v/>
      </c>
    </row>
    <row r="428" ht="22.5" customHeight="1">
      <c r="A428" s="140"/>
      <c r="B428" s="135" t="str">
        <f t="array" ref="B428">IF(A428="","",VLOOKUP(A428,INDIRECT("CXC!A2:B"&amp;COUNTA(CXC!A:A)),2,FALSE))</f>
        <v/>
      </c>
      <c r="C428" s="136" t="str">
        <f t="array" ref="C428">IF(A428="","",VLOOKUP(A428,INDIRECT("CXC!A2:C"&amp;COUNTA(CXC!A:A)),3,FALSE))</f>
        <v/>
      </c>
      <c r="D428" s="137" t="str">
        <f t="array" ref="D428">IF(A428="","",VLOOKUP(A428,INDIRECT("CXC!A2:H"&amp;COUNTA(CXC!A:A)),8,FALSE))</f>
        <v/>
      </c>
      <c r="E428" s="137" t="str">
        <f t="array" ref="E428">IFERROR(IF(A428="","",VLOOKUP(A428,INDIRECT("HISTÓRICO COBROS!A3:E"&amp;COUNTA('HISTÓRICO COBROS'!A:A)),5,FALSE)),"")</f>
        <v/>
      </c>
      <c r="F428" s="137" t="str">
        <f t="array" ref="F428">IF(A428="","",VLOOKUP(A428,INDIRECT("CXC!A2:I"&amp;COUNTA(CXC!A:A)),9,FALSE))</f>
        <v/>
      </c>
      <c r="G428" s="137" t="str">
        <f t="array" ref="G428">IFERROR(IF(A428="","",VLOOKUP(A428,INDIRECT("HISTÓRICO COBROS!A3:F"&amp;COUNTA('HISTÓRICO COBROS'!A:A)),6,FALSE)),"")</f>
        <v/>
      </c>
      <c r="H428" s="138" t="str">
        <f t="shared" ref="H428:I428" si="429">IF(D428="","",D428+F428)</f>
        <v/>
      </c>
      <c r="I428" s="135" t="str">
        <f t="shared" si="429"/>
        <v/>
      </c>
      <c r="J428" s="140" t="str">
        <f t="shared" si="3"/>
        <v/>
      </c>
      <c r="K428" s="140" t="str">
        <f t="shared" si="4"/>
        <v/>
      </c>
    </row>
    <row r="429" ht="22.5" customHeight="1">
      <c r="A429" s="140"/>
      <c r="B429" s="135" t="str">
        <f t="array" ref="B429">IF(A429="","",VLOOKUP(A429,INDIRECT("CXC!A2:B"&amp;COUNTA(CXC!A:A)),2,FALSE))</f>
        <v/>
      </c>
      <c r="C429" s="136" t="str">
        <f t="array" ref="C429">IF(A429="","",VLOOKUP(A429,INDIRECT("CXC!A2:C"&amp;COUNTA(CXC!A:A)),3,FALSE))</f>
        <v/>
      </c>
      <c r="D429" s="137" t="str">
        <f t="array" ref="D429">IF(A429="","",VLOOKUP(A429,INDIRECT("CXC!A2:H"&amp;COUNTA(CXC!A:A)),8,FALSE))</f>
        <v/>
      </c>
      <c r="E429" s="137" t="str">
        <f t="array" ref="E429">IFERROR(IF(A429="","",VLOOKUP(A429,INDIRECT("HISTÓRICO COBROS!A3:E"&amp;COUNTA('HISTÓRICO COBROS'!A:A)),5,FALSE)),"")</f>
        <v/>
      </c>
      <c r="F429" s="137" t="str">
        <f t="array" ref="F429">IF(A429="","",VLOOKUP(A429,INDIRECT("CXC!A2:I"&amp;COUNTA(CXC!A:A)),9,FALSE))</f>
        <v/>
      </c>
      <c r="G429" s="137" t="str">
        <f t="array" ref="G429">IFERROR(IF(A429="","",VLOOKUP(A429,INDIRECT("HISTÓRICO COBROS!A3:F"&amp;COUNTA('HISTÓRICO COBROS'!A:A)),6,FALSE)),"")</f>
        <v/>
      </c>
      <c r="H429" s="138" t="str">
        <f t="shared" ref="H429:I429" si="430">IF(D429="","",D429+F429)</f>
        <v/>
      </c>
      <c r="I429" s="135" t="str">
        <f t="shared" si="430"/>
        <v/>
      </c>
      <c r="J429" s="140" t="str">
        <f t="shared" si="3"/>
        <v/>
      </c>
      <c r="K429" s="140" t="str">
        <f t="shared" si="4"/>
        <v/>
      </c>
    </row>
    <row r="430" ht="22.5" customHeight="1">
      <c r="A430" s="140"/>
      <c r="B430" s="135" t="str">
        <f t="array" ref="B430">IF(A430="","",VLOOKUP(A430,INDIRECT("CXC!A2:B"&amp;COUNTA(CXC!A:A)),2,FALSE))</f>
        <v/>
      </c>
      <c r="C430" s="136" t="str">
        <f t="array" ref="C430">IF(A430="","",VLOOKUP(A430,INDIRECT("CXC!A2:C"&amp;COUNTA(CXC!A:A)),3,FALSE))</f>
        <v/>
      </c>
      <c r="D430" s="137" t="str">
        <f t="array" ref="D430">IF(A430="","",VLOOKUP(A430,INDIRECT("CXC!A2:H"&amp;COUNTA(CXC!A:A)),8,FALSE))</f>
        <v/>
      </c>
      <c r="E430" s="137" t="str">
        <f t="array" ref="E430">IFERROR(IF(A430="","",VLOOKUP(A430,INDIRECT("HISTÓRICO COBROS!A3:E"&amp;COUNTA('HISTÓRICO COBROS'!A:A)),5,FALSE)),"")</f>
        <v/>
      </c>
      <c r="F430" s="137" t="str">
        <f t="array" ref="F430">IF(A430="","",VLOOKUP(A430,INDIRECT("CXC!A2:I"&amp;COUNTA(CXC!A:A)),9,FALSE))</f>
        <v/>
      </c>
      <c r="G430" s="137" t="str">
        <f t="array" ref="G430">IFERROR(IF(A430="","",VLOOKUP(A430,INDIRECT("HISTÓRICO COBROS!A3:F"&amp;COUNTA('HISTÓRICO COBROS'!A:A)),6,FALSE)),"")</f>
        <v/>
      </c>
      <c r="H430" s="138" t="str">
        <f t="shared" ref="H430:I430" si="431">IF(D430="","",D430+F430)</f>
        <v/>
      </c>
      <c r="I430" s="135" t="str">
        <f t="shared" si="431"/>
        <v/>
      </c>
      <c r="J430" s="140" t="str">
        <f t="shared" si="3"/>
        <v/>
      </c>
      <c r="K430" s="140" t="str">
        <f t="shared" si="4"/>
        <v/>
      </c>
    </row>
    <row r="431" ht="22.5" customHeight="1">
      <c r="A431" s="140"/>
      <c r="B431" s="135" t="str">
        <f t="array" ref="B431">IF(A431="","",VLOOKUP(A431,INDIRECT("CXC!A2:B"&amp;COUNTA(CXC!A:A)),2,FALSE))</f>
        <v/>
      </c>
      <c r="C431" s="136" t="str">
        <f t="array" ref="C431">IF(A431="","",VLOOKUP(A431,INDIRECT("CXC!A2:C"&amp;COUNTA(CXC!A:A)),3,FALSE))</f>
        <v/>
      </c>
      <c r="D431" s="137" t="str">
        <f t="array" ref="D431">IF(A431="","",VLOOKUP(A431,INDIRECT("CXC!A2:H"&amp;COUNTA(CXC!A:A)),8,FALSE))</f>
        <v/>
      </c>
      <c r="E431" s="137" t="str">
        <f t="array" ref="E431">IFERROR(IF(A431="","",VLOOKUP(A431,INDIRECT("HISTÓRICO COBROS!A3:E"&amp;COUNTA('HISTÓRICO COBROS'!A:A)),5,FALSE)),"")</f>
        <v/>
      </c>
      <c r="F431" s="137" t="str">
        <f t="array" ref="F431">IF(A431="","",VLOOKUP(A431,INDIRECT("CXC!A2:I"&amp;COUNTA(CXC!A:A)),9,FALSE))</f>
        <v/>
      </c>
      <c r="G431" s="137" t="str">
        <f t="array" ref="G431">IFERROR(IF(A431="","",VLOOKUP(A431,INDIRECT("HISTÓRICO COBROS!A3:F"&amp;COUNTA('HISTÓRICO COBROS'!A:A)),6,FALSE)),"")</f>
        <v/>
      </c>
      <c r="H431" s="138" t="str">
        <f t="shared" ref="H431:I431" si="432">IF(D431="","",D431+F431)</f>
        <v/>
      </c>
      <c r="I431" s="135" t="str">
        <f t="shared" si="432"/>
        <v/>
      </c>
      <c r="J431" s="140" t="str">
        <f t="shared" si="3"/>
        <v/>
      </c>
      <c r="K431" s="140" t="str">
        <f t="shared" si="4"/>
        <v/>
      </c>
    </row>
    <row r="432" ht="22.5" customHeight="1">
      <c r="A432" s="140"/>
      <c r="B432" s="135" t="str">
        <f t="array" ref="B432">IF(A432="","",VLOOKUP(A432,INDIRECT("CXC!A2:B"&amp;COUNTA(CXC!A:A)),2,FALSE))</f>
        <v/>
      </c>
      <c r="C432" s="136" t="str">
        <f t="array" ref="C432">IF(A432="","",VLOOKUP(A432,INDIRECT("CXC!A2:C"&amp;COUNTA(CXC!A:A)),3,FALSE))</f>
        <v/>
      </c>
      <c r="D432" s="137" t="str">
        <f t="array" ref="D432">IF(A432="","",VLOOKUP(A432,INDIRECT("CXC!A2:H"&amp;COUNTA(CXC!A:A)),8,FALSE))</f>
        <v/>
      </c>
      <c r="E432" s="137" t="str">
        <f t="array" ref="E432">IFERROR(IF(A432="","",VLOOKUP(A432,INDIRECT("HISTÓRICO COBROS!A3:E"&amp;COUNTA('HISTÓRICO COBROS'!A:A)),5,FALSE)),"")</f>
        <v/>
      </c>
      <c r="F432" s="137" t="str">
        <f t="array" ref="F432">IF(A432="","",VLOOKUP(A432,INDIRECT("CXC!A2:I"&amp;COUNTA(CXC!A:A)),9,FALSE))</f>
        <v/>
      </c>
      <c r="G432" s="137" t="str">
        <f t="array" ref="G432">IFERROR(IF(A432="","",VLOOKUP(A432,INDIRECT("HISTÓRICO COBROS!A3:F"&amp;COUNTA('HISTÓRICO COBROS'!A:A)),6,FALSE)),"")</f>
        <v/>
      </c>
      <c r="H432" s="138" t="str">
        <f t="shared" ref="H432:I432" si="433">IF(D432="","",D432+F432)</f>
        <v/>
      </c>
      <c r="I432" s="135" t="str">
        <f t="shared" si="433"/>
        <v/>
      </c>
      <c r="J432" s="140" t="str">
        <f t="shared" si="3"/>
        <v/>
      </c>
      <c r="K432" s="140" t="str">
        <f t="shared" si="4"/>
        <v/>
      </c>
    </row>
    <row r="433" ht="22.5" customHeight="1">
      <c r="A433" s="140"/>
      <c r="B433" s="135" t="str">
        <f t="array" ref="B433">IF(A433="","",VLOOKUP(A433,INDIRECT("CXC!A2:B"&amp;COUNTA(CXC!A:A)),2,FALSE))</f>
        <v/>
      </c>
      <c r="C433" s="136" t="str">
        <f t="array" ref="C433">IF(A433="","",VLOOKUP(A433,INDIRECT("CXC!A2:C"&amp;COUNTA(CXC!A:A)),3,FALSE))</f>
        <v/>
      </c>
      <c r="D433" s="137" t="str">
        <f t="array" ref="D433">IF(A433="","",VLOOKUP(A433,INDIRECT("CXC!A2:H"&amp;COUNTA(CXC!A:A)),8,FALSE))</f>
        <v/>
      </c>
      <c r="E433" s="137" t="str">
        <f t="array" ref="E433">IFERROR(IF(A433="","",VLOOKUP(A433,INDIRECT("HISTÓRICO COBROS!A3:E"&amp;COUNTA('HISTÓRICO COBROS'!A:A)),5,FALSE)),"")</f>
        <v/>
      </c>
      <c r="F433" s="137" t="str">
        <f t="array" ref="F433">IF(A433="","",VLOOKUP(A433,INDIRECT("CXC!A2:I"&amp;COUNTA(CXC!A:A)),9,FALSE))</f>
        <v/>
      </c>
      <c r="G433" s="137" t="str">
        <f t="array" ref="G433">IFERROR(IF(A433="","",VLOOKUP(A433,INDIRECT("HISTÓRICO COBROS!A3:F"&amp;COUNTA('HISTÓRICO COBROS'!A:A)),6,FALSE)),"")</f>
        <v/>
      </c>
      <c r="H433" s="138" t="str">
        <f t="shared" ref="H433:I433" si="434">IF(D433="","",D433+F433)</f>
        <v/>
      </c>
      <c r="I433" s="135" t="str">
        <f t="shared" si="434"/>
        <v/>
      </c>
      <c r="J433" s="140" t="str">
        <f t="shared" si="3"/>
        <v/>
      </c>
      <c r="K433" s="140" t="str">
        <f t="shared" si="4"/>
        <v/>
      </c>
    </row>
    <row r="434" ht="22.5" customHeight="1">
      <c r="A434" s="140"/>
      <c r="B434" s="135" t="str">
        <f t="array" ref="B434">IF(A434="","",VLOOKUP(A434,INDIRECT("CXC!A2:B"&amp;COUNTA(CXC!A:A)),2,FALSE))</f>
        <v/>
      </c>
      <c r="C434" s="136" t="str">
        <f t="array" ref="C434">IF(A434="","",VLOOKUP(A434,INDIRECT("CXC!A2:C"&amp;COUNTA(CXC!A:A)),3,FALSE))</f>
        <v/>
      </c>
      <c r="D434" s="137" t="str">
        <f t="array" ref="D434">IF(A434="","",VLOOKUP(A434,INDIRECT("CXC!A2:H"&amp;COUNTA(CXC!A:A)),8,FALSE))</f>
        <v/>
      </c>
      <c r="E434" s="137" t="str">
        <f t="array" ref="E434">IFERROR(IF(A434="","",VLOOKUP(A434,INDIRECT("HISTÓRICO COBROS!A3:E"&amp;COUNTA('HISTÓRICO COBROS'!A:A)),5,FALSE)),"")</f>
        <v/>
      </c>
      <c r="F434" s="137" t="str">
        <f t="array" ref="F434">IF(A434="","",VLOOKUP(A434,INDIRECT("CXC!A2:I"&amp;COUNTA(CXC!A:A)),9,FALSE))</f>
        <v/>
      </c>
      <c r="G434" s="137" t="str">
        <f t="array" ref="G434">IFERROR(IF(A434="","",VLOOKUP(A434,INDIRECT("HISTÓRICO COBROS!A3:F"&amp;COUNTA('HISTÓRICO COBROS'!A:A)),6,FALSE)),"")</f>
        <v/>
      </c>
      <c r="H434" s="138" t="str">
        <f t="shared" ref="H434:I434" si="435">IF(D434="","",D434+F434)</f>
        <v/>
      </c>
      <c r="I434" s="135" t="str">
        <f t="shared" si="435"/>
        <v/>
      </c>
      <c r="J434" s="140" t="str">
        <f t="shared" si="3"/>
        <v/>
      </c>
      <c r="K434" s="140" t="str">
        <f t="shared" si="4"/>
        <v/>
      </c>
    </row>
    <row r="435" ht="22.5" customHeight="1">
      <c r="A435" s="140"/>
      <c r="B435" s="135" t="str">
        <f t="array" ref="B435">IF(A435="","",VLOOKUP(A435,INDIRECT("CXC!A2:B"&amp;COUNTA(CXC!A:A)),2,FALSE))</f>
        <v/>
      </c>
      <c r="C435" s="136" t="str">
        <f t="array" ref="C435">IF(A435="","",VLOOKUP(A435,INDIRECT("CXC!A2:C"&amp;COUNTA(CXC!A:A)),3,FALSE))</f>
        <v/>
      </c>
      <c r="D435" s="137" t="str">
        <f t="array" ref="D435">IF(A435="","",VLOOKUP(A435,INDIRECT("CXC!A2:H"&amp;COUNTA(CXC!A:A)),8,FALSE))</f>
        <v/>
      </c>
      <c r="E435" s="137" t="str">
        <f t="array" ref="E435">IFERROR(IF(A435="","",VLOOKUP(A435,INDIRECT("HISTÓRICO COBROS!A3:E"&amp;COUNTA('HISTÓRICO COBROS'!A:A)),5,FALSE)),"")</f>
        <v/>
      </c>
      <c r="F435" s="137" t="str">
        <f t="array" ref="F435">IF(A435="","",VLOOKUP(A435,INDIRECT("CXC!A2:I"&amp;COUNTA(CXC!A:A)),9,FALSE))</f>
        <v/>
      </c>
      <c r="G435" s="137" t="str">
        <f t="array" ref="G435">IFERROR(IF(A435="","",VLOOKUP(A435,INDIRECT("HISTÓRICO COBROS!A3:F"&amp;COUNTA('HISTÓRICO COBROS'!A:A)),6,FALSE)),"")</f>
        <v/>
      </c>
      <c r="H435" s="138" t="str">
        <f t="shared" ref="H435:I435" si="436">IF(D435="","",D435+F435)</f>
        <v/>
      </c>
      <c r="I435" s="135" t="str">
        <f t="shared" si="436"/>
        <v/>
      </c>
      <c r="J435" s="140" t="str">
        <f t="shared" si="3"/>
        <v/>
      </c>
      <c r="K435" s="140" t="str">
        <f t="shared" si="4"/>
        <v/>
      </c>
    </row>
    <row r="436" ht="22.5" customHeight="1">
      <c r="A436" s="140"/>
      <c r="B436" s="135" t="str">
        <f t="array" ref="B436">IF(A436="","",VLOOKUP(A436,INDIRECT("CXC!A2:B"&amp;COUNTA(CXC!A:A)),2,FALSE))</f>
        <v/>
      </c>
      <c r="C436" s="136" t="str">
        <f t="array" ref="C436">IF(A436="","",VLOOKUP(A436,INDIRECT("CXC!A2:C"&amp;COUNTA(CXC!A:A)),3,FALSE))</f>
        <v/>
      </c>
      <c r="D436" s="137" t="str">
        <f t="array" ref="D436">IF(A436="","",VLOOKUP(A436,INDIRECT("CXC!A2:H"&amp;COUNTA(CXC!A:A)),8,FALSE))</f>
        <v/>
      </c>
      <c r="E436" s="137" t="str">
        <f t="array" ref="E436">IFERROR(IF(A436="","",VLOOKUP(A436,INDIRECT("HISTÓRICO COBROS!A3:E"&amp;COUNTA('HISTÓRICO COBROS'!A:A)),5,FALSE)),"")</f>
        <v/>
      </c>
      <c r="F436" s="137" t="str">
        <f t="array" ref="F436">IF(A436="","",VLOOKUP(A436,INDIRECT("CXC!A2:I"&amp;COUNTA(CXC!A:A)),9,FALSE))</f>
        <v/>
      </c>
      <c r="G436" s="137" t="str">
        <f t="array" ref="G436">IFERROR(IF(A436="","",VLOOKUP(A436,INDIRECT("HISTÓRICO COBROS!A3:F"&amp;COUNTA('HISTÓRICO COBROS'!A:A)),6,FALSE)),"")</f>
        <v/>
      </c>
      <c r="H436" s="138" t="str">
        <f t="shared" ref="H436:I436" si="437">IF(D436="","",D436+F436)</f>
        <v/>
      </c>
      <c r="I436" s="135" t="str">
        <f t="shared" si="437"/>
        <v/>
      </c>
      <c r="J436" s="140" t="str">
        <f t="shared" si="3"/>
        <v/>
      </c>
      <c r="K436" s="140" t="str">
        <f t="shared" si="4"/>
        <v/>
      </c>
    </row>
    <row r="437" ht="22.5" customHeight="1">
      <c r="A437" s="140"/>
      <c r="B437" s="135" t="str">
        <f t="array" ref="B437">IF(A437="","",VLOOKUP(A437,INDIRECT("CXC!A2:B"&amp;COUNTA(CXC!A:A)),2,FALSE))</f>
        <v/>
      </c>
      <c r="C437" s="136" t="str">
        <f t="array" ref="C437">IF(A437="","",VLOOKUP(A437,INDIRECT("CXC!A2:C"&amp;COUNTA(CXC!A:A)),3,FALSE))</f>
        <v/>
      </c>
      <c r="D437" s="137" t="str">
        <f t="array" ref="D437">IF(A437="","",VLOOKUP(A437,INDIRECT("CXC!A2:H"&amp;COUNTA(CXC!A:A)),8,FALSE))</f>
        <v/>
      </c>
      <c r="E437" s="137" t="str">
        <f t="array" ref="E437">IFERROR(IF(A437="","",VLOOKUP(A437,INDIRECT("HISTÓRICO COBROS!A3:E"&amp;COUNTA('HISTÓRICO COBROS'!A:A)),5,FALSE)),"")</f>
        <v/>
      </c>
      <c r="F437" s="137" t="str">
        <f t="array" ref="F437">IF(A437="","",VLOOKUP(A437,INDIRECT("CXC!A2:I"&amp;COUNTA(CXC!A:A)),9,FALSE))</f>
        <v/>
      </c>
      <c r="G437" s="137" t="str">
        <f t="array" ref="G437">IFERROR(IF(A437="","",VLOOKUP(A437,INDIRECT("HISTÓRICO COBROS!A3:F"&amp;COUNTA('HISTÓRICO COBROS'!A:A)),6,FALSE)),"")</f>
        <v/>
      </c>
      <c r="H437" s="138" t="str">
        <f t="shared" ref="H437:I437" si="438">IF(D437="","",D437+F437)</f>
        <v/>
      </c>
      <c r="I437" s="135" t="str">
        <f t="shared" si="438"/>
        <v/>
      </c>
      <c r="J437" s="140" t="str">
        <f t="shared" si="3"/>
        <v/>
      </c>
      <c r="K437" s="140" t="str">
        <f t="shared" si="4"/>
        <v/>
      </c>
    </row>
    <row r="438" ht="22.5" customHeight="1">
      <c r="A438" s="140"/>
      <c r="B438" s="135" t="str">
        <f t="array" ref="B438">IF(A438="","",VLOOKUP(A438,INDIRECT("CXC!A2:B"&amp;COUNTA(CXC!A:A)),2,FALSE))</f>
        <v/>
      </c>
      <c r="C438" s="136" t="str">
        <f t="array" ref="C438">IF(A438="","",VLOOKUP(A438,INDIRECT("CXC!A2:C"&amp;COUNTA(CXC!A:A)),3,FALSE))</f>
        <v/>
      </c>
      <c r="D438" s="137" t="str">
        <f t="array" ref="D438">IF(A438="","",VLOOKUP(A438,INDIRECT("CXC!A2:H"&amp;COUNTA(CXC!A:A)),8,FALSE))</f>
        <v/>
      </c>
      <c r="E438" s="137" t="str">
        <f t="array" ref="E438">IFERROR(IF(A438="","",VLOOKUP(A438,INDIRECT("HISTÓRICO COBROS!A3:E"&amp;COUNTA('HISTÓRICO COBROS'!A:A)),5,FALSE)),"")</f>
        <v/>
      </c>
      <c r="F438" s="137" t="str">
        <f t="array" ref="F438">IF(A438="","",VLOOKUP(A438,INDIRECT("CXC!A2:I"&amp;COUNTA(CXC!A:A)),9,FALSE))</f>
        <v/>
      </c>
      <c r="G438" s="137" t="str">
        <f t="array" ref="G438">IFERROR(IF(A438="","",VLOOKUP(A438,INDIRECT("HISTÓRICO COBROS!A3:F"&amp;COUNTA('HISTÓRICO COBROS'!A:A)),6,FALSE)),"")</f>
        <v/>
      </c>
      <c r="H438" s="138" t="str">
        <f t="shared" ref="H438:I438" si="439">IF(D438="","",D438+F438)</f>
        <v/>
      </c>
      <c r="I438" s="135" t="str">
        <f t="shared" si="439"/>
        <v/>
      </c>
      <c r="J438" s="140" t="str">
        <f t="shared" si="3"/>
        <v/>
      </c>
      <c r="K438" s="140" t="str">
        <f t="shared" si="4"/>
        <v/>
      </c>
    </row>
    <row r="439" ht="22.5" customHeight="1">
      <c r="A439" s="140"/>
      <c r="B439" s="135" t="str">
        <f t="array" ref="B439">IF(A439="","",VLOOKUP(A439,INDIRECT("CXC!A2:B"&amp;COUNTA(CXC!A:A)),2,FALSE))</f>
        <v/>
      </c>
      <c r="C439" s="136" t="str">
        <f t="array" ref="C439">IF(A439="","",VLOOKUP(A439,INDIRECT("CXC!A2:C"&amp;COUNTA(CXC!A:A)),3,FALSE))</f>
        <v/>
      </c>
      <c r="D439" s="137" t="str">
        <f t="array" ref="D439">IF(A439="","",VLOOKUP(A439,INDIRECT("CXC!A2:H"&amp;COUNTA(CXC!A:A)),8,FALSE))</f>
        <v/>
      </c>
      <c r="E439" s="137" t="str">
        <f t="array" ref="E439">IFERROR(IF(A439="","",VLOOKUP(A439,INDIRECT("HISTÓRICO COBROS!A3:E"&amp;COUNTA('HISTÓRICO COBROS'!A:A)),5,FALSE)),"")</f>
        <v/>
      </c>
      <c r="F439" s="137" t="str">
        <f t="array" ref="F439">IF(A439="","",VLOOKUP(A439,INDIRECT("CXC!A2:I"&amp;COUNTA(CXC!A:A)),9,FALSE))</f>
        <v/>
      </c>
      <c r="G439" s="137" t="str">
        <f t="array" ref="G439">IFERROR(IF(A439="","",VLOOKUP(A439,INDIRECT("HISTÓRICO COBROS!A3:F"&amp;COUNTA('HISTÓRICO COBROS'!A:A)),6,FALSE)),"")</f>
        <v/>
      </c>
      <c r="H439" s="138" t="str">
        <f t="shared" ref="H439:I439" si="440">IF(D439="","",D439+F439)</f>
        <v/>
      </c>
      <c r="I439" s="135" t="str">
        <f t="shared" si="440"/>
        <v/>
      </c>
      <c r="J439" s="140" t="str">
        <f t="shared" si="3"/>
        <v/>
      </c>
      <c r="K439" s="140" t="str">
        <f t="shared" si="4"/>
        <v/>
      </c>
    </row>
    <row r="440" ht="22.5" customHeight="1">
      <c r="A440" s="140"/>
      <c r="B440" s="135" t="str">
        <f t="array" ref="B440">IF(A440="","",VLOOKUP(A440,INDIRECT("CXC!A2:B"&amp;COUNTA(CXC!A:A)),2,FALSE))</f>
        <v/>
      </c>
      <c r="C440" s="136" t="str">
        <f t="array" ref="C440">IF(A440="","",VLOOKUP(A440,INDIRECT("CXC!A2:C"&amp;COUNTA(CXC!A:A)),3,FALSE))</f>
        <v/>
      </c>
      <c r="D440" s="137" t="str">
        <f t="array" ref="D440">IF(A440="","",VLOOKUP(A440,INDIRECT("CXC!A2:H"&amp;COUNTA(CXC!A:A)),8,FALSE))</f>
        <v/>
      </c>
      <c r="E440" s="137" t="str">
        <f t="array" ref="E440">IFERROR(IF(A440="","",VLOOKUP(A440,INDIRECT("HISTÓRICO COBROS!A3:E"&amp;COUNTA('HISTÓRICO COBROS'!A:A)),5,FALSE)),"")</f>
        <v/>
      </c>
      <c r="F440" s="137" t="str">
        <f t="array" ref="F440">IF(A440="","",VLOOKUP(A440,INDIRECT("CXC!A2:I"&amp;COUNTA(CXC!A:A)),9,FALSE))</f>
        <v/>
      </c>
      <c r="G440" s="137" t="str">
        <f t="array" ref="G440">IFERROR(IF(A440="","",VLOOKUP(A440,INDIRECT("HISTÓRICO COBROS!A3:F"&amp;COUNTA('HISTÓRICO COBROS'!A:A)),6,FALSE)),"")</f>
        <v/>
      </c>
      <c r="H440" s="138" t="str">
        <f t="shared" ref="H440:I440" si="441">IF(D440="","",D440+F440)</f>
        <v/>
      </c>
      <c r="I440" s="135" t="str">
        <f t="shared" si="441"/>
        <v/>
      </c>
      <c r="J440" s="140" t="str">
        <f t="shared" si="3"/>
        <v/>
      </c>
      <c r="K440" s="140" t="str">
        <f t="shared" si="4"/>
        <v/>
      </c>
    </row>
    <row r="441" ht="22.5" customHeight="1">
      <c r="A441" s="140"/>
      <c r="B441" s="135" t="str">
        <f t="array" ref="B441">IF(A441="","",VLOOKUP(A441,INDIRECT("CXC!A2:B"&amp;COUNTA(CXC!A:A)),2,FALSE))</f>
        <v/>
      </c>
      <c r="C441" s="136" t="str">
        <f t="array" ref="C441">IF(A441="","",VLOOKUP(A441,INDIRECT("CXC!A2:C"&amp;COUNTA(CXC!A:A)),3,FALSE))</f>
        <v/>
      </c>
      <c r="D441" s="137" t="str">
        <f t="array" ref="D441">IF(A441="","",VLOOKUP(A441,INDIRECT("CXC!A2:H"&amp;COUNTA(CXC!A:A)),8,FALSE))</f>
        <v/>
      </c>
      <c r="E441" s="137" t="str">
        <f t="array" ref="E441">IFERROR(IF(A441="","",VLOOKUP(A441,INDIRECT("HISTÓRICO COBROS!A3:E"&amp;COUNTA('HISTÓRICO COBROS'!A:A)),5,FALSE)),"")</f>
        <v/>
      </c>
      <c r="F441" s="137" t="str">
        <f t="array" ref="F441">IF(A441="","",VLOOKUP(A441,INDIRECT("CXC!A2:I"&amp;COUNTA(CXC!A:A)),9,FALSE))</f>
        <v/>
      </c>
      <c r="G441" s="137" t="str">
        <f t="array" ref="G441">IFERROR(IF(A441="","",VLOOKUP(A441,INDIRECT("HISTÓRICO COBROS!A3:F"&amp;COUNTA('HISTÓRICO COBROS'!A:A)),6,FALSE)),"")</f>
        <v/>
      </c>
      <c r="H441" s="138" t="str">
        <f t="shared" ref="H441:I441" si="442">IF(D441="","",D441+F441)</f>
        <v/>
      </c>
      <c r="I441" s="135" t="str">
        <f t="shared" si="442"/>
        <v/>
      </c>
      <c r="J441" s="140" t="str">
        <f t="shared" si="3"/>
        <v/>
      </c>
      <c r="K441" s="140" t="str">
        <f t="shared" si="4"/>
        <v/>
      </c>
    </row>
    <row r="442" ht="22.5" customHeight="1">
      <c r="A442" s="140"/>
      <c r="B442" s="135" t="str">
        <f t="array" ref="B442">IF(A442="","",VLOOKUP(A442,INDIRECT("CXC!A2:B"&amp;COUNTA(CXC!A:A)),2,FALSE))</f>
        <v/>
      </c>
      <c r="C442" s="136" t="str">
        <f t="array" ref="C442">IF(A442="","",VLOOKUP(A442,INDIRECT("CXC!A2:C"&amp;COUNTA(CXC!A:A)),3,FALSE))</f>
        <v/>
      </c>
      <c r="D442" s="137" t="str">
        <f t="array" ref="D442">IF(A442="","",VLOOKUP(A442,INDIRECT("CXC!A2:H"&amp;COUNTA(CXC!A:A)),8,FALSE))</f>
        <v/>
      </c>
      <c r="E442" s="137" t="str">
        <f t="array" ref="E442">IFERROR(IF(A442="","",VLOOKUP(A442,INDIRECT("HISTÓRICO COBROS!A3:E"&amp;COUNTA('HISTÓRICO COBROS'!A:A)),5,FALSE)),"")</f>
        <v/>
      </c>
      <c r="F442" s="137" t="str">
        <f t="array" ref="F442">IF(A442="","",VLOOKUP(A442,INDIRECT("CXC!A2:I"&amp;COUNTA(CXC!A:A)),9,FALSE))</f>
        <v/>
      </c>
      <c r="G442" s="137" t="str">
        <f t="array" ref="G442">IFERROR(IF(A442="","",VLOOKUP(A442,INDIRECT("HISTÓRICO COBROS!A3:F"&amp;COUNTA('HISTÓRICO COBROS'!A:A)),6,FALSE)),"")</f>
        <v/>
      </c>
      <c r="H442" s="138" t="str">
        <f t="shared" ref="H442:I442" si="443">IF(D442="","",D442+F442)</f>
        <v/>
      </c>
      <c r="I442" s="135" t="str">
        <f t="shared" si="443"/>
        <v/>
      </c>
      <c r="J442" s="140" t="str">
        <f t="shared" si="3"/>
        <v/>
      </c>
      <c r="K442" s="140" t="str">
        <f t="shared" si="4"/>
        <v/>
      </c>
    </row>
    <row r="443" ht="22.5" customHeight="1">
      <c r="A443" s="140"/>
      <c r="B443" s="135" t="str">
        <f t="array" ref="B443">IF(A443="","",VLOOKUP(A443,INDIRECT("CXC!A2:B"&amp;COUNTA(CXC!A:A)),2,FALSE))</f>
        <v/>
      </c>
      <c r="C443" s="136" t="str">
        <f t="array" ref="C443">IF(A443="","",VLOOKUP(A443,INDIRECT("CXC!A2:C"&amp;COUNTA(CXC!A:A)),3,FALSE))</f>
        <v/>
      </c>
      <c r="D443" s="137" t="str">
        <f t="array" ref="D443">IF(A443="","",VLOOKUP(A443,INDIRECT("CXC!A2:H"&amp;COUNTA(CXC!A:A)),8,FALSE))</f>
        <v/>
      </c>
      <c r="E443" s="137" t="str">
        <f t="array" ref="E443">IFERROR(IF(A443="","",VLOOKUP(A443,INDIRECT("HISTÓRICO COBROS!A3:E"&amp;COUNTA('HISTÓRICO COBROS'!A:A)),5,FALSE)),"")</f>
        <v/>
      </c>
      <c r="F443" s="137" t="str">
        <f t="array" ref="F443">IF(A443="","",VLOOKUP(A443,INDIRECT("CXC!A2:I"&amp;COUNTA(CXC!A:A)),9,FALSE))</f>
        <v/>
      </c>
      <c r="G443" s="137" t="str">
        <f t="array" ref="G443">IFERROR(IF(A443="","",VLOOKUP(A443,INDIRECT("HISTÓRICO COBROS!A3:F"&amp;COUNTA('HISTÓRICO COBROS'!A:A)),6,FALSE)),"")</f>
        <v/>
      </c>
      <c r="H443" s="138" t="str">
        <f t="shared" ref="H443:I443" si="444">IF(D443="","",D443+F443)</f>
        <v/>
      </c>
      <c r="I443" s="135" t="str">
        <f t="shared" si="444"/>
        <v/>
      </c>
      <c r="J443" s="140" t="str">
        <f t="shared" si="3"/>
        <v/>
      </c>
      <c r="K443" s="140" t="str">
        <f t="shared" si="4"/>
        <v/>
      </c>
    </row>
    <row r="444" ht="22.5" customHeight="1">
      <c r="A444" s="140"/>
      <c r="B444" s="135" t="str">
        <f t="array" ref="B444">IF(A444="","",VLOOKUP(A444,INDIRECT("CXC!A2:B"&amp;COUNTA(CXC!A:A)),2,FALSE))</f>
        <v/>
      </c>
      <c r="C444" s="136" t="str">
        <f t="array" ref="C444">IF(A444="","",VLOOKUP(A444,INDIRECT("CXC!A2:C"&amp;COUNTA(CXC!A:A)),3,FALSE))</f>
        <v/>
      </c>
      <c r="D444" s="137" t="str">
        <f t="array" ref="D444">IF(A444="","",VLOOKUP(A444,INDIRECT("CXC!A2:H"&amp;COUNTA(CXC!A:A)),8,FALSE))</f>
        <v/>
      </c>
      <c r="E444" s="137" t="str">
        <f t="array" ref="E444">IFERROR(IF(A444="","",VLOOKUP(A444,INDIRECT("HISTÓRICO COBROS!A3:E"&amp;COUNTA('HISTÓRICO COBROS'!A:A)),5,FALSE)),"")</f>
        <v/>
      </c>
      <c r="F444" s="137" t="str">
        <f t="array" ref="F444">IF(A444="","",VLOOKUP(A444,INDIRECT("CXC!A2:I"&amp;COUNTA(CXC!A:A)),9,FALSE))</f>
        <v/>
      </c>
      <c r="G444" s="137" t="str">
        <f t="array" ref="G444">IFERROR(IF(A444="","",VLOOKUP(A444,INDIRECT("HISTÓRICO COBROS!A3:F"&amp;COUNTA('HISTÓRICO COBROS'!A:A)),6,FALSE)),"")</f>
        <v/>
      </c>
      <c r="H444" s="138" t="str">
        <f t="shared" ref="H444:I444" si="445">IF(D444="","",D444+F444)</f>
        <v/>
      </c>
      <c r="I444" s="135" t="str">
        <f t="shared" si="445"/>
        <v/>
      </c>
      <c r="J444" s="140" t="str">
        <f t="shared" si="3"/>
        <v/>
      </c>
      <c r="K444" s="140" t="str">
        <f t="shared" si="4"/>
        <v/>
      </c>
    </row>
    <row r="445" ht="22.5" customHeight="1">
      <c r="A445" s="140"/>
      <c r="B445" s="135" t="str">
        <f t="array" ref="B445">IF(A445="","",VLOOKUP(A445,INDIRECT("CXC!A2:B"&amp;COUNTA(CXC!A:A)),2,FALSE))</f>
        <v/>
      </c>
      <c r="C445" s="136" t="str">
        <f t="array" ref="C445">IF(A445="","",VLOOKUP(A445,INDIRECT("CXC!A2:C"&amp;COUNTA(CXC!A:A)),3,FALSE))</f>
        <v/>
      </c>
      <c r="D445" s="137" t="str">
        <f t="array" ref="D445">IF(A445="","",VLOOKUP(A445,INDIRECT("CXC!A2:H"&amp;COUNTA(CXC!A:A)),8,FALSE))</f>
        <v/>
      </c>
      <c r="E445" s="137" t="str">
        <f t="array" ref="E445">IFERROR(IF(A445="","",VLOOKUP(A445,INDIRECT("HISTÓRICO COBROS!A3:E"&amp;COUNTA('HISTÓRICO COBROS'!A:A)),5,FALSE)),"")</f>
        <v/>
      </c>
      <c r="F445" s="137" t="str">
        <f t="array" ref="F445">IF(A445="","",VLOOKUP(A445,INDIRECT("CXC!A2:I"&amp;COUNTA(CXC!A:A)),9,FALSE))</f>
        <v/>
      </c>
      <c r="G445" s="137" t="str">
        <f t="array" ref="G445">IFERROR(IF(A445="","",VLOOKUP(A445,INDIRECT("HISTÓRICO COBROS!A3:F"&amp;COUNTA('HISTÓRICO COBROS'!A:A)),6,FALSE)),"")</f>
        <v/>
      </c>
      <c r="H445" s="138" t="str">
        <f t="shared" ref="H445:I445" si="446">IF(D445="","",D445+F445)</f>
        <v/>
      </c>
      <c r="I445" s="135" t="str">
        <f t="shared" si="446"/>
        <v/>
      </c>
      <c r="J445" s="140" t="str">
        <f t="shared" si="3"/>
        <v/>
      </c>
      <c r="K445" s="140" t="str">
        <f t="shared" si="4"/>
        <v/>
      </c>
    </row>
    <row r="446" ht="22.5" customHeight="1">
      <c r="A446" s="140"/>
      <c r="B446" s="135" t="str">
        <f t="array" ref="B446">IF(A446="","",VLOOKUP(A446,INDIRECT("CXC!A2:B"&amp;COUNTA(CXC!A:A)),2,FALSE))</f>
        <v/>
      </c>
      <c r="C446" s="136" t="str">
        <f t="array" ref="C446">IF(A446="","",VLOOKUP(A446,INDIRECT("CXC!A2:C"&amp;COUNTA(CXC!A:A)),3,FALSE))</f>
        <v/>
      </c>
      <c r="D446" s="137" t="str">
        <f t="array" ref="D446">IF(A446="","",VLOOKUP(A446,INDIRECT("CXC!A2:H"&amp;COUNTA(CXC!A:A)),8,FALSE))</f>
        <v/>
      </c>
      <c r="E446" s="137" t="str">
        <f t="array" ref="E446">IFERROR(IF(A446="","",VLOOKUP(A446,INDIRECT("HISTÓRICO COBROS!A3:E"&amp;COUNTA('HISTÓRICO COBROS'!A:A)),5,FALSE)),"")</f>
        <v/>
      </c>
      <c r="F446" s="137" t="str">
        <f t="array" ref="F446">IF(A446="","",VLOOKUP(A446,INDIRECT("CXC!A2:I"&amp;COUNTA(CXC!A:A)),9,FALSE))</f>
        <v/>
      </c>
      <c r="G446" s="137" t="str">
        <f t="array" ref="G446">IFERROR(IF(A446="","",VLOOKUP(A446,INDIRECT("HISTÓRICO COBROS!A3:F"&amp;COUNTA('HISTÓRICO COBROS'!A:A)),6,FALSE)),"")</f>
        <v/>
      </c>
      <c r="H446" s="138" t="str">
        <f t="shared" ref="H446:I446" si="447">IF(D446="","",D446+F446)</f>
        <v/>
      </c>
      <c r="I446" s="135" t="str">
        <f t="shared" si="447"/>
        <v/>
      </c>
      <c r="J446" s="140" t="str">
        <f t="shared" si="3"/>
        <v/>
      </c>
      <c r="K446" s="140" t="str">
        <f t="shared" si="4"/>
        <v/>
      </c>
    </row>
    <row r="447" ht="22.5" customHeight="1">
      <c r="A447" s="140"/>
      <c r="B447" s="135" t="str">
        <f t="array" ref="B447">IF(A447="","",VLOOKUP(A447,INDIRECT("CXC!A2:B"&amp;COUNTA(CXC!A:A)),2,FALSE))</f>
        <v/>
      </c>
      <c r="C447" s="136" t="str">
        <f t="array" ref="C447">IF(A447="","",VLOOKUP(A447,INDIRECT("CXC!A2:C"&amp;COUNTA(CXC!A:A)),3,FALSE))</f>
        <v/>
      </c>
      <c r="D447" s="137" t="str">
        <f t="array" ref="D447">IF(A447="","",VLOOKUP(A447,INDIRECT("CXC!A2:H"&amp;COUNTA(CXC!A:A)),8,FALSE))</f>
        <v/>
      </c>
      <c r="E447" s="137" t="str">
        <f t="array" ref="E447">IFERROR(IF(A447="","",VLOOKUP(A447,INDIRECT("HISTÓRICO COBROS!A3:E"&amp;COUNTA('HISTÓRICO COBROS'!A:A)),5,FALSE)),"")</f>
        <v/>
      </c>
      <c r="F447" s="137" t="str">
        <f t="array" ref="F447">IF(A447="","",VLOOKUP(A447,INDIRECT("CXC!A2:I"&amp;COUNTA(CXC!A:A)),9,FALSE))</f>
        <v/>
      </c>
      <c r="G447" s="137" t="str">
        <f t="array" ref="G447">IFERROR(IF(A447="","",VLOOKUP(A447,INDIRECT("HISTÓRICO COBROS!A3:F"&amp;COUNTA('HISTÓRICO COBROS'!A:A)),6,FALSE)),"")</f>
        <v/>
      </c>
      <c r="H447" s="138" t="str">
        <f t="shared" ref="H447:I447" si="448">IF(D447="","",D447+F447)</f>
        <v/>
      </c>
      <c r="I447" s="135" t="str">
        <f t="shared" si="448"/>
        <v/>
      </c>
      <c r="J447" s="140" t="str">
        <f t="shared" si="3"/>
        <v/>
      </c>
      <c r="K447" s="140" t="str">
        <f t="shared" si="4"/>
        <v/>
      </c>
    </row>
    <row r="448" ht="22.5" customHeight="1">
      <c r="A448" s="140"/>
      <c r="B448" s="135" t="str">
        <f t="array" ref="B448">IF(A448="","",VLOOKUP(A448,INDIRECT("CXC!A2:B"&amp;COUNTA(CXC!A:A)),2,FALSE))</f>
        <v/>
      </c>
      <c r="C448" s="136" t="str">
        <f t="array" ref="C448">IF(A448="","",VLOOKUP(A448,INDIRECT("CXC!A2:C"&amp;COUNTA(CXC!A:A)),3,FALSE))</f>
        <v/>
      </c>
      <c r="D448" s="137" t="str">
        <f t="array" ref="D448">IF(A448="","",VLOOKUP(A448,INDIRECT("CXC!A2:H"&amp;COUNTA(CXC!A:A)),8,FALSE))</f>
        <v/>
      </c>
      <c r="E448" s="137" t="str">
        <f t="array" ref="E448">IFERROR(IF(A448="","",VLOOKUP(A448,INDIRECT("HISTÓRICO COBROS!A3:E"&amp;COUNTA('HISTÓRICO COBROS'!A:A)),5,FALSE)),"")</f>
        <v/>
      </c>
      <c r="F448" s="137" t="str">
        <f t="array" ref="F448">IF(A448="","",VLOOKUP(A448,INDIRECT("CXC!A2:I"&amp;COUNTA(CXC!A:A)),9,FALSE))</f>
        <v/>
      </c>
      <c r="G448" s="137" t="str">
        <f t="array" ref="G448">IFERROR(IF(A448="","",VLOOKUP(A448,INDIRECT("HISTÓRICO COBROS!A3:F"&amp;COUNTA('HISTÓRICO COBROS'!A:A)),6,FALSE)),"")</f>
        <v/>
      </c>
      <c r="H448" s="138" t="str">
        <f t="shared" ref="H448:I448" si="449">IF(D448="","",D448+F448)</f>
        <v/>
      </c>
      <c r="I448" s="135" t="str">
        <f t="shared" si="449"/>
        <v/>
      </c>
      <c r="J448" s="140" t="str">
        <f t="shared" si="3"/>
        <v/>
      </c>
      <c r="K448" s="140" t="str">
        <f t="shared" si="4"/>
        <v/>
      </c>
    </row>
    <row r="449" ht="22.5" customHeight="1">
      <c r="A449" s="140"/>
      <c r="B449" s="135" t="str">
        <f t="array" ref="B449">IF(A449="","",VLOOKUP(A449,INDIRECT("CXC!A2:B"&amp;COUNTA(CXC!A:A)),2,FALSE))</f>
        <v/>
      </c>
      <c r="C449" s="136" t="str">
        <f t="array" ref="C449">IF(A449="","",VLOOKUP(A449,INDIRECT("CXC!A2:C"&amp;COUNTA(CXC!A:A)),3,FALSE))</f>
        <v/>
      </c>
      <c r="D449" s="137" t="str">
        <f t="array" ref="D449">IF(A449="","",VLOOKUP(A449,INDIRECT("CXC!A2:H"&amp;COUNTA(CXC!A:A)),8,FALSE))</f>
        <v/>
      </c>
      <c r="E449" s="137" t="str">
        <f t="array" ref="E449">IFERROR(IF(A449="","",VLOOKUP(A449,INDIRECT("HISTÓRICO COBROS!A3:E"&amp;COUNTA('HISTÓRICO COBROS'!A:A)),5,FALSE)),"")</f>
        <v/>
      </c>
      <c r="F449" s="137" t="str">
        <f t="array" ref="F449">IF(A449="","",VLOOKUP(A449,INDIRECT("CXC!A2:I"&amp;COUNTA(CXC!A:A)),9,FALSE))</f>
        <v/>
      </c>
      <c r="G449" s="137" t="str">
        <f t="array" ref="G449">IFERROR(IF(A449="","",VLOOKUP(A449,INDIRECT("HISTÓRICO COBROS!A3:F"&amp;COUNTA('HISTÓRICO COBROS'!A:A)),6,FALSE)),"")</f>
        <v/>
      </c>
      <c r="H449" s="138" t="str">
        <f t="shared" ref="H449:I449" si="450">IF(D449="","",D449+F449)</f>
        <v/>
      </c>
      <c r="I449" s="135" t="str">
        <f t="shared" si="450"/>
        <v/>
      </c>
      <c r="J449" s="140" t="str">
        <f t="shared" si="3"/>
        <v/>
      </c>
      <c r="K449" s="140" t="str">
        <f t="shared" si="4"/>
        <v/>
      </c>
    </row>
    <row r="450" ht="22.5" customHeight="1">
      <c r="A450" s="140"/>
      <c r="B450" s="135" t="str">
        <f t="array" ref="B450">IF(A450="","",VLOOKUP(A450,INDIRECT("CXC!A2:B"&amp;COUNTA(CXC!A:A)),2,FALSE))</f>
        <v/>
      </c>
      <c r="C450" s="136" t="str">
        <f t="array" ref="C450">IF(A450="","",VLOOKUP(A450,INDIRECT("CXC!A2:C"&amp;COUNTA(CXC!A:A)),3,FALSE))</f>
        <v/>
      </c>
      <c r="D450" s="137" t="str">
        <f t="array" ref="D450">IF(A450="","",VLOOKUP(A450,INDIRECT("CXC!A2:H"&amp;COUNTA(CXC!A:A)),8,FALSE))</f>
        <v/>
      </c>
      <c r="E450" s="137" t="str">
        <f t="array" ref="E450">IFERROR(IF(A450="","",VLOOKUP(A450,INDIRECT("HISTÓRICO COBROS!A3:E"&amp;COUNTA('HISTÓRICO COBROS'!A:A)),5,FALSE)),"")</f>
        <v/>
      </c>
      <c r="F450" s="137" t="str">
        <f t="array" ref="F450">IF(A450="","",VLOOKUP(A450,INDIRECT("CXC!A2:I"&amp;COUNTA(CXC!A:A)),9,FALSE))</f>
        <v/>
      </c>
      <c r="G450" s="137" t="str">
        <f t="array" ref="G450">IFERROR(IF(A450="","",VLOOKUP(A450,INDIRECT("HISTÓRICO COBROS!A3:F"&amp;COUNTA('HISTÓRICO COBROS'!A:A)),6,FALSE)),"")</f>
        <v/>
      </c>
      <c r="H450" s="138" t="str">
        <f t="shared" ref="H450:I450" si="451">IF(D450="","",D450+F450)</f>
        <v/>
      </c>
      <c r="I450" s="135" t="str">
        <f t="shared" si="451"/>
        <v/>
      </c>
      <c r="J450" s="140" t="str">
        <f t="shared" si="3"/>
        <v/>
      </c>
      <c r="K450" s="140" t="str">
        <f t="shared" si="4"/>
        <v/>
      </c>
    </row>
    <row r="451" ht="22.5" customHeight="1">
      <c r="A451" s="140"/>
      <c r="B451" s="135" t="str">
        <f t="array" ref="B451">IF(A451="","",VLOOKUP(A451,INDIRECT("CXC!A2:B"&amp;COUNTA(CXC!A:A)),2,FALSE))</f>
        <v/>
      </c>
      <c r="C451" s="136" t="str">
        <f t="array" ref="C451">IF(A451="","",VLOOKUP(A451,INDIRECT("CXC!A2:C"&amp;COUNTA(CXC!A:A)),3,FALSE))</f>
        <v/>
      </c>
      <c r="D451" s="137" t="str">
        <f t="array" ref="D451">IF(A451="","",VLOOKUP(A451,INDIRECT("CXC!A2:H"&amp;COUNTA(CXC!A:A)),8,FALSE))</f>
        <v/>
      </c>
      <c r="E451" s="137" t="str">
        <f t="array" ref="E451">IFERROR(IF(A451="","",VLOOKUP(A451,INDIRECT("HISTÓRICO COBROS!A3:E"&amp;COUNTA('HISTÓRICO COBROS'!A:A)),5,FALSE)),"")</f>
        <v/>
      </c>
      <c r="F451" s="137" t="str">
        <f t="array" ref="F451">IF(A451="","",VLOOKUP(A451,INDIRECT("CXC!A2:I"&amp;COUNTA(CXC!A:A)),9,FALSE))</f>
        <v/>
      </c>
      <c r="G451" s="137" t="str">
        <f t="array" ref="G451">IFERROR(IF(A451="","",VLOOKUP(A451,INDIRECT("HISTÓRICO COBROS!A3:F"&amp;COUNTA('HISTÓRICO COBROS'!A:A)),6,FALSE)),"")</f>
        <v/>
      </c>
      <c r="H451" s="138" t="str">
        <f t="shared" ref="H451:I451" si="452">IF(D451="","",D451+F451)</f>
        <v/>
      </c>
      <c r="I451" s="135" t="str">
        <f t="shared" si="452"/>
        <v/>
      </c>
      <c r="J451" s="140" t="str">
        <f t="shared" si="3"/>
        <v/>
      </c>
      <c r="K451" s="140" t="str">
        <f t="shared" si="4"/>
        <v/>
      </c>
    </row>
    <row r="452" ht="22.5" customHeight="1">
      <c r="A452" s="140"/>
      <c r="B452" s="135" t="str">
        <f t="array" ref="B452">IF(A452="","",VLOOKUP(A452,INDIRECT("CXC!A2:B"&amp;COUNTA(CXC!A:A)),2,FALSE))</f>
        <v/>
      </c>
      <c r="C452" s="136" t="str">
        <f t="array" ref="C452">IF(A452="","",VLOOKUP(A452,INDIRECT("CXC!A2:C"&amp;COUNTA(CXC!A:A)),3,FALSE))</f>
        <v/>
      </c>
      <c r="D452" s="137" t="str">
        <f t="array" ref="D452">IF(A452="","",VLOOKUP(A452,INDIRECT("CXC!A2:H"&amp;COUNTA(CXC!A:A)),8,FALSE))</f>
        <v/>
      </c>
      <c r="E452" s="137" t="str">
        <f t="array" ref="E452">IFERROR(IF(A452="","",VLOOKUP(A452,INDIRECT("HISTÓRICO COBROS!A3:E"&amp;COUNTA('HISTÓRICO COBROS'!A:A)),5,FALSE)),"")</f>
        <v/>
      </c>
      <c r="F452" s="137" t="str">
        <f t="array" ref="F452">IF(A452="","",VLOOKUP(A452,INDIRECT("CXC!A2:I"&amp;COUNTA(CXC!A:A)),9,FALSE))</f>
        <v/>
      </c>
      <c r="G452" s="137" t="str">
        <f t="array" ref="G452">IFERROR(IF(A452="","",VLOOKUP(A452,INDIRECT("HISTÓRICO COBROS!A3:F"&amp;COUNTA('HISTÓRICO COBROS'!A:A)),6,FALSE)),"")</f>
        <v/>
      </c>
      <c r="H452" s="138" t="str">
        <f t="shared" ref="H452:I452" si="453">IF(D452="","",D452+F452)</f>
        <v/>
      </c>
      <c r="I452" s="135" t="str">
        <f t="shared" si="453"/>
        <v/>
      </c>
      <c r="J452" s="140" t="str">
        <f t="shared" si="3"/>
        <v/>
      </c>
      <c r="K452" s="140" t="str">
        <f t="shared" si="4"/>
        <v/>
      </c>
    </row>
    <row r="453" ht="22.5" customHeight="1">
      <c r="A453" s="140"/>
      <c r="B453" s="135" t="str">
        <f t="array" ref="B453">IF(A453="","",VLOOKUP(A453,INDIRECT("CXC!A2:B"&amp;COUNTA(CXC!A:A)),2,FALSE))</f>
        <v/>
      </c>
      <c r="C453" s="136" t="str">
        <f t="array" ref="C453">IF(A453="","",VLOOKUP(A453,INDIRECT("CXC!A2:C"&amp;COUNTA(CXC!A:A)),3,FALSE))</f>
        <v/>
      </c>
      <c r="D453" s="137" t="str">
        <f t="array" ref="D453">IF(A453="","",VLOOKUP(A453,INDIRECT("CXC!A2:H"&amp;COUNTA(CXC!A:A)),8,FALSE))</f>
        <v/>
      </c>
      <c r="E453" s="137" t="str">
        <f t="array" ref="E453">IFERROR(IF(A453="","",VLOOKUP(A453,INDIRECT("HISTÓRICO COBROS!A3:E"&amp;COUNTA('HISTÓRICO COBROS'!A:A)),5,FALSE)),"")</f>
        <v/>
      </c>
      <c r="F453" s="137" t="str">
        <f t="array" ref="F453">IF(A453="","",VLOOKUP(A453,INDIRECT("CXC!A2:I"&amp;COUNTA(CXC!A:A)),9,FALSE))</f>
        <v/>
      </c>
      <c r="G453" s="137" t="str">
        <f t="array" ref="G453">IFERROR(IF(A453="","",VLOOKUP(A453,INDIRECT("HISTÓRICO COBROS!A3:F"&amp;COUNTA('HISTÓRICO COBROS'!A:A)),6,FALSE)),"")</f>
        <v/>
      </c>
      <c r="H453" s="138" t="str">
        <f t="shared" ref="H453:I453" si="454">IF(D453="","",D453+F453)</f>
        <v/>
      </c>
      <c r="I453" s="135" t="str">
        <f t="shared" si="454"/>
        <v/>
      </c>
      <c r="J453" s="140" t="str">
        <f t="shared" si="3"/>
        <v/>
      </c>
      <c r="K453" s="140" t="str">
        <f t="shared" si="4"/>
        <v/>
      </c>
    </row>
    <row r="454" ht="22.5" customHeight="1">
      <c r="A454" s="140"/>
      <c r="B454" s="135" t="str">
        <f t="array" ref="B454">IF(A454="","",VLOOKUP(A454,INDIRECT("CXC!A2:B"&amp;COUNTA(CXC!A:A)),2,FALSE))</f>
        <v/>
      </c>
      <c r="C454" s="136" t="str">
        <f t="array" ref="C454">IF(A454="","",VLOOKUP(A454,INDIRECT("CXC!A2:C"&amp;COUNTA(CXC!A:A)),3,FALSE))</f>
        <v/>
      </c>
      <c r="D454" s="137" t="str">
        <f t="array" ref="D454">IF(A454="","",VLOOKUP(A454,INDIRECT("CXC!A2:H"&amp;COUNTA(CXC!A:A)),8,FALSE))</f>
        <v/>
      </c>
      <c r="E454" s="137" t="str">
        <f t="array" ref="E454">IFERROR(IF(A454="","",VLOOKUP(A454,INDIRECT("HISTÓRICO COBROS!A3:E"&amp;COUNTA('HISTÓRICO COBROS'!A:A)),5,FALSE)),"")</f>
        <v/>
      </c>
      <c r="F454" s="137" t="str">
        <f t="array" ref="F454">IF(A454="","",VLOOKUP(A454,INDIRECT("CXC!A2:I"&amp;COUNTA(CXC!A:A)),9,FALSE))</f>
        <v/>
      </c>
      <c r="G454" s="137" t="str">
        <f t="array" ref="G454">IFERROR(IF(A454="","",VLOOKUP(A454,INDIRECT("HISTÓRICO COBROS!A3:F"&amp;COUNTA('HISTÓRICO COBROS'!A:A)),6,FALSE)),"")</f>
        <v/>
      </c>
      <c r="H454" s="138" t="str">
        <f t="shared" ref="H454:I454" si="455">IF(D454="","",D454+F454)</f>
        <v/>
      </c>
      <c r="I454" s="135" t="str">
        <f t="shared" si="455"/>
        <v/>
      </c>
      <c r="J454" s="140" t="str">
        <f t="shared" si="3"/>
        <v/>
      </c>
      <c r="K454" s="140" t="str">
        <f t="shared" si="4"/>
        <v/>
      </c>
    </row>
    <row r="455" ht="22.5" customHeight="1">
      <c r="A455" s="140"/>
      <c r="B455" s="135" t="str">
        <f t="array" ref="B455">IF(A455="","",VLOOKUP(A455,INDIRECT("CXC!A2:B"&amp;COUNTA(CXC!A:A)),2,FALSE))</f>
        <v/>
      </c>
      <c r="C455" s="136" t="str">
        <f t="array" ref="C455">IF(A455="","",VLOOKUP(A455,INDIRECT("CXC!A2:C"&amp;COUNTA(CXC!A:A)),3,FALSE))</f>
        <v/>
      </c>
      <c r="D455" s="137" t="str">
        <f t="array" ref="D455">IF(A455="","",VLOOKUP(A455,INDIRECT("CXC!A2:H"&amp;COUNTA(CXC!A:A)),8,FALSE))</f>
        <v/>
      </c>
      <c r="E455" s="137" t="str">
        <f t="array" ref="E455">IFERROR(IF(A455="","",VLOOKUP(A455,INDIRECT("HISTÓRICO COBROS!A3:E"&amp;COUNTA('HISTÓRICO COBROS'!A:A)),5,FALSE)),"")</f>
        <v/>
      </c>
      <c r="F455" s="137" t="str">
        <f t="array" ref="F455">IF(A455="","",VLOOKUP(A455,INDIRECT("CXC!A2:I"&amp;COUNTA(CXC!A:A)),9,FALSE))</f>
        <v/>
      </c>
      <c r="G455" s="137" t="str">
        <f t="array" ref="G455">IFERROR(IF(A455="","",VLOOKUP(A455,INDIRECT("HISTÓRICO COBROS!A3:F"&amp;COUNTA('HISTÓRICO COBROS'!A:A)),6,FALSE)),"")</f>
        <v/>
      </c>
      <c r="H455" s="138" t="str">
        <f t="shared" ref="H455:I455" si="456">IF(D455="","",D455+F455)</f>
        <v/>
      </c>
      <c r="I455" s="135" t="str">
        <f t="shared" si="456"/>
        <v/>
      </c>
      <c r="J455" s="140" t="str">
        <f t="shared" si="3"/>
        <v/>
      </c>
      <c r="K455" s="140" t="str">
        <f t="shared" si="4"/>
        <v/>
      </c>
    </row>
    <row r="456" ht="22.5" customHeight="1">
      <c r="A456" s="140"/>
      <c r="B456" s="135" t="str">
        <f t="array" ref="B456">IF(A456="","",VLOOKUP(A456,INDIRECT("CXC!A2:B"&amp;COUNTA(CXC!A:A)),2,FALSE))</f>
        <v/>
      </c>
      <c r="C456" s="136" t="str">
        <f t="array" ref="C456">IF(A456="","",VLOOKUP(A456,INDIRECT("CXC!A2:C"&amp;COUNTA(CXC!A:A)),3,FALSE))</f>
        <v/>
      </c>
      <c r="D456" s="137" t="str">
        <f t="array" ref="D456">IF(A456="","",VLOOKUP(A456,INDIRECT("CXC!A2:H"&amp;COUNTA(CXC!A:A)),8,FALSE))</f>
        <v/>
      </c>
      <c r="E456" s="137" t="str">
        <f t="array" ref="E456">IFERROR(IF(A456="","",VLOOKUP(A456,INDIRECT("HISTÓRICO COBROS!A3:E"&amp;COUNTA('HISTÓRICO COBROS'!A:A)),5,FALSE)),"")</f>
        <v/>
      </c>
      <c r="F456" s="137" t="str">
        <f t="array" ref="F456">IF(A456="","",VLOOKUP(A456,INDIRECT("CXC!A2:I"&amp;COUNTA(CXC!A:A)),9,FALSE))</f>
        <v/>
      </c>
      <c r="G456" s="137" t="str">
        <f t="array" ref="G456">IFERROR(IF(A456="","",VLOOKUP(A456,INDIRECT("HISTÓRICO COBROS!A3:F"&amp;COUNTA('HISTÓRICO COBROS'!A:A)),6,FALSE)),"")</f>
        <v/>
      </c>
      <c r="H456" s="138" t="str">
        <f t="shared" ref="H456:I456" si="457">IF(D456="","",D456+F456)</f>
        <v/>
      </c>
      <c r="I456" s="135" t="str">
        <f t="shared" si="457"/>
        <v/>
      </c>
      <c r="J456" s="140" t="str">
        <f t="shared" si="3"/>
        <v/>
      </c>
      <c r="K456" s="140" t="str">
        <f t="shared" si="4"/>
        <v/>
      </c>
    </row>
    <row r="457" ht="22.5" customHeight="1">
      <c r="A457" s="140"/>
      <c r="B457" s="135" t="str">
        <f t="array" ref="B457">IF(A457="","",VLOOKUP(A457,INDIRECT("CXC!A2:B"&amp;COUNTA(CXC!A:A)),2,FALSE))</f>
        <v/>
      </c>
      <c r="C457" s="136" t="str">
        <f t="array" ref="C457">IF(A457="","",VLOOKUP(A457,INDIRECT("CXC!A2:C"&amp;COUNTA(CXC!A:A)),3,FALSE))</f>
        <v/>
      </c>
      <c r="D457" s="137" t="str">
        <f t="array" ref="D457">IF(A457="","",VLOOKUP(A457,INDIRECT("CXC!A2:H"&amp;COUNTA(CXC!A:A)),8,FALSE))</f>
        <v/>
      </c>
      <c r="E457" s="137" t="str">
        <f t="array" ref="E457">IFERROR(IF(A457="","",VLOOKUP(A457,INDIRECT("HISTÓRICO COBROS!A3:E"&amp;COUNTA('HISTÓRICO COBROS'!A:A)),5,FALSE)),"")</f>
        <v/>
      </c>
      <c r="F457" s="137" t="str">
        <f t="array" ref="F457">IF(A457="","",VLOOKUP(A457,INDIRECT("CXC!A2:I"&amp;COUNTA(CXC!A:A)),9,FALSE))</f>
        <v/>
      </c>
      <c r="G457" s="137" t="str">
        <f t="array" ref="G457">IFERROR(IF(A457="","",VLOOKUP(A457,INDIRECT("HISTÓRICO COBROS!A3:F"&amp;COUNTA('HISTÓRICO COBROS'!A:A)),6,FALSE)),"")</f>
        <v/>
      </c>
      <c r="H457" s="138" t="str">
        <f t="shared" ref="H457:I457" si="458">IF(D457="","",D457+F457)</f>
        <v/>
      </c>
      <c r="I457" s="135" t="str">
        <f t="shared" si="458"/>
        <v/>
      </c>
      <c r="J457" s="140" t="str">
        <f t="shared" si="3"/>
        <v/>
      </c>
      <c r="K457" s="140" t="str">
        <f t="shared" si="4"/>
        <v/>
      </c>
    </row>
    <row r="458" ht="22.5" customHeight="1">
      <c r="A458" s="140"/>
      <c r="B458" s="135" t="str">
        <f t="array" ref="B458">IF(A458="","",VLOOKUP(A458,INDIRECT("CXC!A2:B"&amp;COUNTA(CXC!A:A)),2,FALSE))</f>
        <v/>
      </c>
      <c r="C458" s="136" t="str">
        <f t="array" ref="C458">IF(A458="","",VLOOKUP(A458,INDIRECT("CXC!A2:C"&amp;COUNTA(CXC!A:A)),3,FALSE))</f>
        <v/>
      </c>
      <c r="D458" s="137" t="str">
        <f t="array" ref="D458">IF(A458="","",VLOOKUP(A458,INDIRECT("CXC!A2:H"&amp;COUNTA(CXC!A:A)),8,FALSE))</f>
        <v/>
      </c>
      <c r="E458" s="137" t="str">
        <f t="array" ref="E458">IFERROR(IF(A458="","",VLOOKUP(A458,INDIRECT("HISTÓRICO COBROS!A3:E"&amp;COUNTA('HISTÓRICO COBROS'!A:A)),5,FALSE)),"")</f>
        <v/>
      </c>
      <c r="F458" s="137" t="str">
        <f t="array" ref="F458">IF(A458="","",VLOOKUP(A458,INDIRECT("CXC!A2:I"&amp;COUNTA(CXC!A:A)),9,FALSE))</f>
        <v/>
      </c>
      <c r="G458" s="137" t="str">
        <f t="array" ref="G458">IFERROR(IF(A458="","",VLOOKUP(A458,INDIRECT("HISTÓRICO COBROS!A3:F"&amp;COUNTA('HISTÓRICO COBROS'!A:A)),6,FALSE)),"")</f>
        <v/>
      </c>
      <c r="H458" s="138" t="str">
        <f t="shared" ref="H458:I458" si="459">IF(D458="","",D458+F458)</f>
        <v/>
      </c>
      <c r="I458" s="135" t="str">
        <f t="shared" si="459"/>
        <v/>
      </c>
      <c r="J458" s="140" t="str">
        <f t="shared" si="3"/>
        <v/>
      </c>
      <c r="K458" s="140" t="str">
        <f t="shared" si="4"/>
        <v/>
      </c>
    </row>
    <row r="459" ht="22.5" customHeight="1">
      <c r="A459" s="140"/>
      <c r="B459" s="135" t="str">
        <f t="array" ref="B459">IF(A459="","",VLOOKUP(A459,INDIRECT("CXC!A2:B"&amp;COUNTA(CXC!A:A)),2,FALSE))</f>
        <v/>
      </c>
      <c r="C459" s="136" t="str">
        <f t="array" ref="C459">IF(A459="","",VLOOKUP(A459,INDIRECT("CXC!A2:C"&amp;COUNTA(CXC!A:A)),3,FALSE))</f>
        <v/>
      </c>
      <c r="D459" s="137" t="str">
        <f t="array" ref="D459">IF(A459="","",VLOOKUP(A459,INDIRECT("CXC!A2:H"&amp;COUNTA(CXC!A:A)),8,FALSE))</f>
        <v/>
      </c>
      <c r="E459" s="137" t="str">
        <f t="array" ref="E459">IFERROR(IF(A459="","",VLOOKUP(A459,INDIRECT("HISTÓRICO COBROS!A3:E"&amp;COUNTA('HISTÓRICO COBROS'!A:A)),5,FALSE)),"")</f>
        <v/>
      </c>
      <c r="F459" s="137" t="str">
        <f t="array" ref="F459">IF(A459="","",VLOOKUP(A459,INDIRECT("CXC!A2:I"&amp;COUNTA(CXC!A:A)),9,FALSE))</f>
        <v/>
      </c>
      <c r="G459" s="137" t="str">
        <f t="array" ref="G459">IFERROR(IF(A459="","",VLOOKUP(A459,INDIRECT("HISTÓRICO COBROS!A3:F"&amp;COUNTA('HISTÓRICO COBROS'!A:A)),6,FALSE)),"")</f>
        <v/>
      </c>
      <c r="H459" s="138" t="str">
        <f t="shared" ref="H459:I459" si="460">IF(D459="","",D459+F459)</f>
        <v/>
      </c>
      <c r="I459" s="135" t="str">
        <f t="shared" si="460"/>
        <v/>
      </c>
      <c r="J459" s="140" t="str">
        <f t="shared" si="3"/>
        <v/>
      </c>
      <c r="K459" s="140" t="str">
        <f t="shared" si="4"/>
        <v/>
      </c>
    </row>
    <row r="460" ht="22.5" customHeight="1">
      <c r="A460" s="140"/>
      <c r="B460" s="135" t="str">
        <f t="array" ref="B460">IF(A460="","",VLOOKUP(A460,INDIRECT("CXC!A2:B"&amp;COUNTA(CXC!A:A)),2,FALSE))</f>
        <v/>
      </c>
      <c r="C460" s="136" t="str">
        <f t="array" ref="C460">IF(A460="","",VLOOKUP(A460,INDIRECT("CXC!A2:C"&amp;COUNTA(CXC!A:A)),3,FALSE))</f>
        <v/>
      </c>
      <c r="D460" s="137" t="str">
        <f t="array" ref="D460">IF(A460="","",VLOOKUP(A460,INDIRECT("CXC!A2:H"&amp;COUNTA(CXC!A:A)),8,FALSE))</f>
        <v/>
      </c>
      <c r="E460" s="137" t="str">
        <f t="array" ref="E460">IFERROR(IF(A460="","",VLOOKUP(A460,INDIRECT("HISTÓRICO COBROS!A3:E"&amp;COUNTA('HISTÓRICO COBROS'!A:A)),5,FALSE)),"")</f>
        <v/>
      </c>
      <c r="F460" s="137" t="str">
        <f t="array" ref="F460">IF(A460="","",VLOOKUP(A460,INDIRECT("CXC!A2:I"&amp;COUNTA(CXC!A:A)),9,FALSE))</f>
        <v/>
      </c>
      <c r="G460" s="137" t="str">
        <f t="array" ref="G460">IFERROR(IF(A460="","",VLOOKUP(A460,INDIRECT("HISTÓRICO COBROS!A3:F"&amp;COUNTA('HISTÓRICO COBROS'!A:A)),6,FALSE)),"")</f>
        <v/>
      </c>
      <c r="H460" s="138" t="str">
        <f t="shared" ref="H460:I460" si="461">IF(D460="","",D460+F460)</f>
        <v/>
      </c>
      <c r="I460" s="135" t="str">
        <f t="shared" si="461"/>
        <v/>
      </c>
      <c r="J460" s="140" t="str">
        <f t="shared" si="3"/>
        <v/>
      </c>
      <c r="K460" s="140" t="str">
        <f t="shared" si="4"/>
        <v/>
      </c>
    </row>
    <row r="461" ht="22.5" customHeight="1">
      <c r="A461" s="140"/>
      <c r="B461" s="135" t="str">
        <f t="array" ref="B461">IF(A461="","",VLOOKUP(A461,INDIRECT("CXC!A2:B"&amp;COUNTA(CXC!A:A)),2,FALSE))</f>
        <v/>
      </c>
      <c r="C461" s="136" t="str">
        <f t="array" ref="C461">IF(A461="","",VLOOKUP(A461,INDIRECT("CXC!A2:C"&amp;COUNTA(CXC!A:A)),3,FALSE))</f>
        <v/>
      </c>
      <c r="D461" s="137" t="str">
        <f t="array" ref="D461">IF(A461="","",VLOOKUP(A461,INDIRECT("CXC!A2:H"&amp;COUNTA(CXC!A:A)),8,FALSE))</f>
        <v/>
      </c>
      <c r="E461" s="137" t="str">
        <f t="array" ref="E461">IFERROR(IF(A461="","",VLOOKUP(A461,INDIRECT("HISTÓRICO COBROS!A3:E"&amp;COUNTA('HISTÓRICO COBROS'!A:A)),5,FALSE)),"")</f>
        <v/>
      </c>
      <c r="F461" s="137" t="str">
        <f t="array" ref="F461">IF(A461="","",VLOOKUP(A461,INDIRECT("CXC!A2:I"&amp;COUNTA(CXC!A:A)),9,FALSE))</f>
        <v/>
      </c>
      <c r="G461" s="137" t="str">
        <f t="array" ref="G461">IFERROR(IF(A461="","",VLOOKUP(A461,INDIRECT("HISTÓRICO COBROS!A3:F"&amp;COUNTA('HISTÓRICO COBROS'!A:A)),6,FALSE)),"")</f>
        <v/>
      </c>
      <c r="H461" s="138" t="str">
        <f t="shared" ref="H461:I461" si="462">IF(D461="","",D461+F461)</f>
        <v/>
      </c>
      <c r="I461" s="135" t="str">
        <f t="shared" si="462"/>
        <v/>
      </c>
      <c r="J461" s="140" t="str">
        <f t="shared" si="3"/>
        <v/>
      </c>
      <c r="K461" s="140" t="str">
        <f t="shared" si="4"/>
        <v/>
      </c>
    </row>
    <row r="462" ht="22.5" customHeight="1">
      <c r="A462" s="140"/>
      <c r="B462" s="135" t="str">
        <f t="array" ref="B462">IF(A462="","",VLOOKUP(A462,INDIRECT("CXC!A2:B"&amp;COUNTA(CXC!A:A)),2,FALSE))</f>
        <v/>
      </c>
      <c r="C462" s="136" t="str">
        <f t="array" ref="C462">IF(A462="","",VLOOKUP(A462,INDIRECT("CXC!A2:C"&amp;COUNTA(CXC!A:A)),3,FALSE))</f>
        <v/>
      </c>
      <c r="D462" s="137" t="str">
        <f t="array" ref="D462">IF(A462="","",VLOOKUP(A462,INDIRECT("CXC!A2:H"&amp;COUNTA(CXC!A:A)),8,FALSE))</f>
        <v/>
      </c>
      <c r="E462" s="137" t="str">
        <f t="array" ref="E462">IFERROR(IF(A462="","",VLOOKUP(A462,INDIRECT("HISTÓRICO COBROS!A3:E"&amp;COUNTA('HISTÓRICO COBROS'!A:A)),5,FALSE)),"")</f>
        <v/>
      </c>
      <c r="F462" s="137" t="str">
        <f t="array" ref="F462">IF(A462="","",VLOOKUP(A462,INDIRECT("CXC!A2:I"&amp;COUNTA(CXC!A:A)),9,FALSE))</f>
        <v/>
      </c>
      <c r="G462" s="137" t="str">
        <f t="array" ref="G462">IFERROR(IF(A462="","",VLOOKUP(A462,INDIRECT("HISTÓRICO COBROS!A3:F"&amp;COUNTA('HISTÓRICO COBROS'!A:A)),6,FALSE)),"")</f>
        <v/>
      </c>
      <c r="H462" s="138" t="str">
        <f t="shared" ref="H462:I462" si="463">IF(D462="","",D462+F462)</f>
        <v/>
      </c>
      <c r="I462" s="135" t="str">
        <f t="shared" si="463"/>
        <v/>
      </c>
      <c r="J462" s="140" t="str">
        <f t="shared" si="3"/>
        <v/>
      </c>
      <c r="K462" s="140" t="str">
        <f t="shared" si="4"/>
        <v/>
      </c>
    </row>
    <row r="463" ht="22.5" customHeight="1">
      <c r="A463" s="140"/>
      <c r="B463" s="135" t="str">
        <f t="array" ref="B463">IF(A463="","",VLOOKUP(A463,INDIRECT("CXC!A2:B"&amp;COUNTA(CXC!A:A)),2,FALSE))</f>
        <v/>
      </c>
      <c r="C463" s="136" t="str">
        <f t="array" ref="C463">IF(A463="","",VLOOKUP(A463,INDIRECT("CXC!A2:C"&amp;COUNTA(CXC!A:A)),3,FALSE))</f>
        <v/>
      </c>
      <c r="D463" s="137" t="str">
        <f t="array" ref="D463">IF(A463="","",VLOOKUP(A463,INDIRECT("CXC!A2:H"&amp;COUNTA(CXC!A:A)),8,FALSE))</f>
        <v/>
      </c>
      <c r="E463" s="137" t="str">
        <f t="array" ref="E463">IFERROR(IF(A463="","",VLOOKUP(A463,INDIRECT("HISTÓRICO COBROS!A3:E"&amp;COUNTA('HISTÓRICO COBROS'!A:A)),5,FALSE)),"")</f>
        <v/>
      </c>
      <c r="F463" s="137" t="str">
        <f t="array" ref="F463">IF(A463="","",VLOOKUP(A463,INDIRECT("CXC!A2:I"&amp;COUNTA(CXC!A:A)),9,FALSE))</f>
        <v/>
      </c>
      <c r="G463" s="137" t="str">
        <f t="array" ref="G463">IFERROR(IF(A463="","",VLOOKUP(A463,INDIRECT("HISTÓRICO COBROS!A3:F"&amp;COUNTA('HISTÓRICO COBROS'!A:A)),6,FALSE)),"")</f>
        <v/>
      </c>
      <c r="H463" s="138" t="str">
        <f t="shared" ref="H463:I463" si="464">IF(D463="","",D463+F463)</f>
        <v/>
      </c>
      <c r="I463" s="135" t="str">
        <f t="shared" si="464"/>
        <v/>
      </c>
      <c r="J463" s="140" t="str">
        <f t="shared" si="3"/>
        <v/>
      </c>
      <c r="K463" s="140" t="str">
        <f t="shared" si="4"/>
        <v/>
      </c>
    </row>
    <row r="464" ht="22.5" customHeight="1">
      <c r="A464" s="140"/>
      <c r="B464" s="135" t="str">
        <f t="array" ref="B464">IF(A464="","",VLOOKUP(A464,INDIRECT("CXC!A2:B"&amp;COUNTA(CXC!A:A)),2,FALSE))</f>
        <v/>
      </c>
      <c r="C464" s="136" t="str">
        <f t="array" ref="C464">IF(A464="","",VLOOKUP(A464,INDIRECT("CXC!A2:C"&amp;COUNTA(CXC!A:A)),3,FALSE))</f>
        <v/>
      </c>
      <c r="D464" s="137" t="str">
        <f t="array" ref="D464">IF(A464="","",VLOOKUP(A464,INDIRECT("CXC!A2:H"&amp;COUNTA(CXC!A:A)),8,FALSE))</f>
        <v/>
      </c>
      <c r="E464" s="137" t="str">
        <f t="array" ref="E464">IFERROR(IF(A464="","",VLOOKUP(A464,INDIRECT("HISTÓRICO COBROS!A3:E"&amp;COUNTA('HISTÓRICO COBROS'!A:A)),5,FALSE)),"")</f>
        <v/>
      </c>
      <c r="F464" s="137" t="str">
        <f t="array" ref="F464">IF(A464="","",VLOOKUP(A464,INDIRECT("CXC!A2:I"&amp;COUNTA(CXC!A:A)),9,FALSE))</f>
        <v/>
      </c>
      <c r="G464" s="137" t="str">
        <f t="array" ref="G464">IFERROR(IF(A464="","",VLOOKUP(A464,INDIRECT("HISTÓRICO COBROS!A3:F"&amp;COUNTA('HISTÓRICO COBROS'!A:A)),6,FALSE)),"")</f>
        <v/>
      </c>
      <c r="H464" s="138" t="str">
        <f t="shared" ref="H464:I464" si="465">IF(D464="","",D464+F464)</f>
        <v/>
      </c>
      <c r="I464" s="135" t="str">
        <f t="shared" si="465"/>
        <v/>
      </c>
      <c r="J464" s="140" t="str">
        <f t="shared" si="3"/>
        <v/>
      </c>
      <c r="K464" s="140" t="str">
        <f t="shared" si="4"/>
        <v/>
      </c>
    </row>
    <row r="465" ht="22.5" customHeight="1">
      <c r="A465" s="140"/>
      <c r="B465" s="135" t="str">
        <f t="array" ref="B465">IF(A465="","",VLOOKUP(A465,INDIRECT("CXC!A2:B"&amp;COUNTA(CXC!A:A)),2,FALSE))</f>
        <v/>
      </c>
      <c r="C465" s="136" t="str">
        <f t="array" ref="C465">IF(A465="","",VLOOKUP(A465,INDIRECT("CXC!A2:C"&amp;COUNTA(CXC!A:A)),3,FALSE))</f>
        <v/>
      </c>
      <c r="D465" s="137" t="str">
        <f t="array" ref="D465">IF(A465="","",VLOOKUP(A465,INDIRECT("CXC!A2:H"&amp;COUNTA(CXC!A:A)),8,FALSE))</f>
        <v/>
      </c>
      <c r="E465" s="137" t="str">
        <f t="array" ref="E465">IFERROR(IF(A465="","",VLOOKUP(A465,INDIRECT("HISTÓRICO COBROS!A3:E"&amp;COUNTA('HISTÓRICO COBROS'!A:A)),5,FALSE)),"")</f>
        <v/>
      </c>
      <c r="F465" s="137" t="str">
        <f t="array" ref="F465">IF(A465="","",VLOOKUP(A465,INDIRECT("CXC!A2:I"&amp;COUNTA(CXC!A:A)),9,FALSE))</f>
        <v/>
      </c>
      <c r="G465" s="137" t="str">
        <f t="array" ref="G465">IFERROR(IF(A465="","",VLOOKUP(A465,INDIRECT("HISTÓRICO COBROS!A3:F"&amp;COUNTA('HISTÓRICO COBROS'!A:A)),6,FALSE)),"")</f>
        <v/>
      </c>
      <c r="H465" s="138" t="str">
        <f t="shared" ref="H465:I465" si="466">IF(D465="","",D465+F465)</f>
        <v/>
      </c>
      <c r="I465" s="135" t="str">
        <f t="shared" si="466"/>
        <v/>
      </c>
      <c r="J465" s="140" t="str">
        <f t="shared" si="3"/>
        <v/>
      </c>
      <c r="K465" s="140" t="str">
        <f t="shared" si="4"/>
        <v/>
      </c>
    </row>
    <row r="466" ht="22.5" customHeight="1">
      <c r="A466" s="140"/>
      <c r="B466" s="135" t="str">
        <f t="array" ref="B466">IF(A466="","",VLOOKUP(A466,INDIRECT("CXC!A2:B"&amp;COUNTA(CXC!A:A)),2,FALSE))</f>
        <v/>
      </c>
      <c r="C466" s="136" t="str">
        <f t="array" ref="C466">IF(A466="","",VLOOKUP(A466,INDIRECT("CXC!A2:C"&amp;COUNTA(CXC!A:A)),3,FALSE))</f>
        <v/>
      </c>
      <c r="D466" s="137" t="str">
        <f t="array" ref="D466">IF(A466="","",VLOOKUP(A466,INDIRECT("CXC!A2:H"&amp;COUNTA(CXC!A:A)),8,FALSE))</f>
        <v/>
      </c>
      <c r="E466" s="137" t="str">
        <f t="array" ref="E466">IFERROR(IF(A466="","",VLOOKUP(A466,INDIRECT("HISTÓRICO COBROS!A3:E"&amp;COUNTA('HISTÓRICO COBROS'!A:A)),5,FALSE)),"")</f>
        <v/>
      </c>
      <c r="F466" s="137" t="str">
        <f t="array" ref="F466">IF(A466="","",VLOOKUP(A466,INDIRECT("CXC!A2:I"&amp;COUNTA(CXC!A:A)),9,FALSE))</f>
        <v/>
      </c>
      <c r="G466" s="137" t="str">
        <f t="array" ref="G466">IFERROR(IF(A466="","",VLOOKUP(A466,INDIRECT("HISTÓRICO COBROS!A3:F"&amp;COUNTA('HISTÓRICO COBROS'!A:A)),6,FALSE)),"")</f>
        <v/>
      </c>
      <c r="H466" s="138" t="str">
        <f t="shared" ref="H466:I466" si="467">IF(D466="","",D466+F466)</f>
        <v/>
      </c>
      <c r="I466" s="135" t="str">
        <f t="shared" si="467"/>
        <v/>
      </c>
      <c r="J466" s="140" t="str">
        <f t="shared" si="3"/>
        <v/>
      </c>
      <c r="K466" s="140" t="str">
        <f t="shared" si="4"/>
        <v/>
      </c>
    </row>
    <row r="467" ht="22.5" customHeight="1">
      <c r="A467" s="140"/>
      <c r="B467" s="135" t="str">
        <f t="array" ref="B467">IF(A467="","",VLOOKUP(A467,INDIRECT("CXC!A2:B"&amp;COUNTA(CXC!A:A)),2,FALSE))</f>
        <v/>
      </c>
      <c r="C467" s="136" t="str">
        <f t="array" ref="C467">IF(A467="","",VLOOKUP(A467,INDIRECT("CXC!A2:C"&amp;COUNTA(CXC!A:A)),3,FALSE))</f>
        <v/>
      </c>
      <c r="D467" s="137" t="str">
        <f t="array" ref="D467">IF(A467="","",VLOOKUP(A467,INDIRECT("CXC!A2:H"&amp;COUNTA(CXC!A:A)),8,FALSE))</f>
        <v/>
      </c>
      <c r="E467" s="137" t="str">
        <f t="array" ref="E467">IFERROR(IF(A467="","",VLOOKUP(A467,INDIRECT("HISTÓRICO COBROS!A3:E"&amp;COUNTA('HISTÓRICO COBROS'!A:A)),5,FALSE)),"")</f>
        <v/>
      </c>
      <c r="F467" s="137" t="str">
        <f t="array" ref="F467">IF(A467="","",VLOOKUP(A467,INDIRECT("CXC!A2:I"&amp;COUNTA(CXC!A:A)),9,FALSE))</f>
        <v/>
      </c>
      <c r="G467" s="137" t="str">
        <f t="array" ref="G467">IFERROR(IF(A467="","",VLOOKUP(A467,INDIRECT("HISTÓRICO COBROS!A3:F"&amp;COUNTA('HISTÓRICO COBROS'!A:A)),6,FALSE)),"")</f>
        <v/>
      </c>
      <c r="H467" s="138" t="str">
        <f t="shared" ref="H467:I467" si="468">IF(D467="","",D467+F467)</f>
        <v/>
      </c>
      <c r="I467" s="135" t="str">
        <f t="shared" si="468"/>
        <v/>
      </c>
      <c r="J467" s="140" t="str">
        <f t="shared" si="3"/>
        <v/>
      </c>
      <c r="K467" s="140" t="str">
        <f t="shared" si="4"/>
        <v/>
      </c>
    </row>
    <row r="468" ht="22.5" customHeight="1">
      <c r="A468" s="140"/>
      <c r="B468" s="135" t="str">
        <f t="array" ref="B468">IF(A468="","",VLOOKUP(A468,INDIRECT("CXC!A2:B"&amp;COUNTA(CXC!A:A)),2,FALSE))</f>
        <v/>
      </c>
      <c r="C468" s="136" t="str">
        <f t="array" ref="C468">IF(A468="","",VLOOKUP(A468,INDIRECT("CXC!A2:C"&amp;COUNTA(CXC!A:A)),3,FALSE))</f>
        <v/>
      </c>
      <c r="D468" s="137" t="str">
        <f t="array" ref="D468">IF(A468="","",VLOOKUP(A468,INDIRECT("CXC!A2:H"&amp;COUNTA(CXC!A:A)),8,FALSE))</f>
        <v/>
      </c>
      <c r="E468" s="137" t="str">
        <f t="array" ref="E468">IFERROR(IF(A468="","",VLOOKUP(A468,INDIRECT("HISTÓRICO COBROS!A3:E"&amp;COUNTA('HISTÓRICO COBROS'!A:A)),5,FALSE)),"")</f>
        <v/>
      </c>
      <c r="F468" s="137" t="str">
        <f t="array" ref="F468">IF(A468="","",VLOOKUP(A468,INDIRECT("CXC!A2:I"&amp;COUNTA(CXC!A:A)),9,FALSE))</f>
        <v/>
      </c>
      <c r="G468" s="137" t="str">
        <f t="array" ref="G468">IFERROR(IF(A468="","",VLOOKUP(A468,INDIRECT("HISTÓRICO COBROS!A3:F"&amp;COUNTA('HISTÓRICO COBROS'!A:A)),6,FALSE)),"")</f>
        <v/>
      </c>
      <c r="H468" s="138" t="str">
        <f t="shared" ref="H468:I468" si="469">IF(D468="","",D468+F468)</f>
        <v/>
      </c>
      <c r="I468" s="135" t="str">
        <f t="shared" si="469"/>
        <v/>
      </c>
      <c r="J468" s="140" t="str">
        <f t="shared" si="3"/>
        <v/>
      </c>
      <c r="K468" s="140" t="str">
        <f t="shared" si="4"/>
        <v/>
      </c>
    </row>
    <row r="469" ht="22.5" customHeight="1">
      <c r="A469" s="140"/>
      <c r="B469" s="135" t="str">
        <f t="array" ref="B469">IF(A469="","",VLOOKUP(A469,INDIRECT("CXC!A2:B"&amp;COUNTA(CXC!A:A)),2,FALSE))</f>
        <v/>
      </c>
      <c r="C469" s="136" t="str">
        <f t="array" ref="C469">IF(A469="","",VLOOKUP(A469,INDIRECT("CXC!A2:C"&amp;COUNTA(CXC!A:A)),3,FALSE))</f>
        <v/>
      </c>
      <c r="D469" s="137" t="str">
        <f t="array" ref="D469">IF(A469="","",VLOOKUP(A469,INDIRECT("CXC!A2:H"&amp;COUNTA(CXC!A:A)),8,FALSE))</f>
        <v/>
      </c>
      <c r="E469" s="137" t="str">
        <f t="array" ref="E469">IFERROR(IF(A469="","",VLOOKUP(A469,INDIRECT("HISTÓRICO COBROS!A3:E"&amp;COUNTA('HISTÓRICO COBROS'!A:A)),5,FALSE)),"")</f>
        <v/>
      </c>
      <c r="F469" s="137" t="str">
        <f t="array" ref="F469">IF(A469="","",VLOOKUP(A469,INDIRECT("CXC!A2:I"&amp;COUNTA(CXC!A:A)),9,FALSE))</f>
        <v/>
      </c>
      <c r="G469" s="137" t="str">
        <f t="array" ref="G469">IFERROR(IF(A469="","",VLOOKUP(A469,INDIRECT("HISTÓRICO COBROS!A3:F"&amp;COUNTA('HISTÓRICO COBROS'!A:A)),6,FALSE)),"")</f>
        <v/>
      </c>
      <c r="H469" s="138" t="str">
        <f t="shared" ref="H469:I469" si="470">IF(D469="","",D469+F469)</f>
        <v/>
      </c>
      <c r="I469" s="135" t="str">
        <f t="shared" si="470"/>
        <v/>
      </c>
      <c r="J469" s="140" t="str">
        <f t="shared" si="3"/>
        <v/>
      </c>
      <c r="K469" s="140" t="str">
        <f t="shared" si="4"/>
        <v/>
      </c>
    </row>
    <row r="470" ht="22.5" customHeight="1">
      <c r="A470" s="140"/>
      <c r="B470" s="135" t="str">
        <f t="array" ref="B470">IF(A470="","",VLOOKUP(A470,INDIRECT("CXC!A2:B"&amp;COUNTA(CXC!A:A)),2,FALSE))</f>
        <v/>
      </c>
      <c r="C470" s="136" t="str">
        <f t="array" ref="C470">IF(A470="","",VLOOKUP(A470,INDIRECT("CXC!A2:C"&amp;COUNTA(CXC!A:A)),3,FALSE))</f>
        <v/>
      </c>
      <c r="D470" s="137" t="str">
        <f t="array" ref="D470">IF(A470="","",VLOOKUP(A470,INDIRECT("CXC!A2:H"&amp;COUNTA(CXC!A:A)),8,FALSE))</f>
        <v/>
      </c>
      <c r="E470" s="137" t="str">
        <f t="array" ref="E470">IFERROR(IF(A470="","",VLOOKUP(A470,INDIRECT("HISTÓRICO COBROS!A3:E"&amp;COUNTA('HISTÓRICO COBROS'!A:A)),5,FALSE)),"")</f>
        <v/>
      </c>
      <c r="F470" s="137" t="str">
        <f t="array" ref="F470">IF(A470="","",VLOOKUP(A470,INDIRECT("CXC!A2:I"&amp;COUNTA(CXC!A:A)),9,FALSE))</f>
        <v/>
      </c>
      <c r="G470" s="137" t="str">
        <f t="array" ref="G470">IFERROR(IF(A470="","",VLOOKUP(A470,INDIRECT("HISTÓRICO COBROS!A3:F"&amp;COUNTA('HISTÓRICO COBROS'!A:A)),6,FALSE)),"")</f>
        <v/>
      </c>
      <c r="H470" s="138" t="str">
        <f t="shared" ref="H470:I470" si="471">IF(D470="","",D470+F470)</f>
        <v/>
      </c>
      <c r="I470" s="135" t="str">
        <f t="shared" si="471"/>
        <v/>
      </c>
      <c r="J470" s="140" t="str">
        <f t="shared" si="3"/>
        <v/>
      </c>
      <c r="K470" s="140" t="str">
        <f t="shared" si="4"/>
        <v/>
      </c>
    </row>
    <row r="471" ht="22.5" customHeight="1">
      <c r="A471" s="140"/>
      <c r="B471" s="135" t="str">
        <f t="array" ref="B471">IF(A471="","",VLOOKUP(A471,INDIRECT("CXC!A2:B"&amp;COUNTA(CXC!A:A)),2,FALSE))</f>
        <v/>
      </c>
      <c r="C471" s="136" t="str">
        <f t="array" ref="C471">IF(A471="","",VLOOKUP(A471,INDIRECT("CXC!A2:C"&amp;COUNTA(CXC!A:A)),3,FALSE))</f>
        <v/>
      </c>
      <c r="D471" s="137" t="str">
        <f t="array" ref="D471">IF(A471="","",VLOOKUP(A471,INDIRECT("CXC!A2:H"&amp;COUNTA(CXC!A:A)),8,FALSE))</f>
        <v/>
      </c>
      <c r="E471" s="137" t="str">
        <f t="array" ref="E471">IFERROR(IF(A471="","",VLOOKUP(A471,INDIRECT("HISTÓRICO COBROS!A3:E"&amp;COUNTA('HISTÓRICO COBROS'!A:A)),5,FALSE)),"")</f>
        <v/>
      </c>
      <c r="F471" s="137" t="str">
        <f t="array" ref="F471">IF(A471="","",VLOOKUP(A471,INDIRECT("CXC!A2:I"&amp;COUNTA(CXC!A:A)),9,FALSE))</f>
        <v/>
      </c>
      <c r="G471" s="137" t="str">
        <f t="array" ref="G471">IFERROR(IF(A471="","",VLOOKUP(A471,INDIRECT("HISTÓRICO COBROS!A3:F"&amp;COUNTA('HISTÓRICO COBROS'!A:A)),6,FALSE)),"")</f>
        <v/>
      </c>
      <c r="H471" s="138" t="str">
        <f t="shared" ref="H471:I471" si="472">IF(D471="","",D471+F471)</f>
        <v/>
      </c>
      <c r="I471" s="135" t="str">
        <f t="shared" si="472"/>
        <v/>
      </c>
      <c r="J471" s="140" t="str">
        <f t="shared" si="3"/>
        <v/>
      </c>
      <c r="K471" s="140" t="str">
        <f t="shared" si="4"/>
        <v/>
      </c>
    </row>
    <row r="472" ht="22.5" customHeight="1">
      <c r="A472" s="140"/>
      <c r="B472" s="135" t="str">
        <f t="array" ref="B472">IF(A472="","",VLOOKUP(A472,INDIRECT("CXC!A2:B"&amp;COUNTA(CXC!A:A)),2,FALSE))</f>
        <v/>
      </c>
      <c r="C472" s="136" t="str">
        <f t="array" ref="C472">IF(A472="","",VLOOKUP(A472,INDIRECT("CXC!A2:C"&amp;COUNTA(CXC!A:A)),3,FALSE))</f>
        <v/>
      </c>
      <c r="D472" s="137" t="str">
        <f t="array" ref="D472">IF(A472="","",VLOOKUP(A472,INDIRECT("CXC!A2:H"&amp;COUNTA(CXC!A:A)),8,FALSE))</f>
        <v/>
      </c>
      <c r="E472" s="137" t="str">
        <f t="array" ref="E472">IFERROR(IF(A472="","",VLOOKUP(A472,INDIRECT("HISTÓRICO COBROS!A3:E"&amp;COUNTA('HISTÓRICO COBROS'!A:A)),5,FALSE)),"")</f>
        <v/>
      </c>
      <c r="F472" s="137" t="str">
        <f t="array" ref="F472">IF(A472="","",VLOOKUP(A472,INDIRECT("CXC!A2:I"&amp;COUNTA(CXC!A:A)),9,FALSE))</f>
        <v/>
      </c>
      <c r="G472" s="137" t="str">
        <f t="array" ref="G472">IFERROR(IF(A472="","",VLOOKUP(A472,INDIRECT("HISTÓRICO COBROS!A3:F"&amp;COUNTA('HISTÓRICO COBROS'!A:A)),6,FALSE)),"")</f>
        <v/>
      </c>
      <c r="H472" s="138" t="str">
        <f t="shared" ref="H472:I472" si="473">IF(D472="","",D472+F472)</f>
        <v/>
      </c>
      <c r="I472" s="135" t="str">
        <f t="shared" si="473"/>
        <v/>
      </c>
      <c r="J472" s="140" t="str">
        <f t="shared" si="3"/>
        <v/>
      </c>
      <c r="K472" s="140" t="str">
        <f t="shared" si="4"/>
        <v/>
      </c>
    </row>
    <row r="473" ht="22.5" customHeight="1">
      <c r="A473" s="140"/>
      <c r="B473" s="135" t="str">
        <f t="array" ref="B473">IF(A473="","",VLOOKUP(A473,INDIRECT("CXC!A2:B"&amp;COUNTA(CXC!A:A)),2,FALSE))</f>
        <v/>
      </c>
      <c r="C473" s="136" t="str">
        <f t="array" ref="C473">IF(A473="","",VLOOKUP(A473,INDIRECT("CXC!A2:C"&amp;COUNTA(CXC!A:A)),3,FALSE))</f>
        <v/>
      </c>
      <c r="D473" s="137" t="str">
        <f t="array" ref="D473">IF(A473="","",VLOOKUP(A473,INDIRECT("CXC!A2:H"&amp;COUNTA(CXC!A:A)),8,FALSE))</f>
        <v/>
      </c>
      <c r="E473" s="137" t="str">
        <f t="array" ref="E473">IFERROR(IF(A473="","",VLOOKUP(A473,INDIRECT("HISTÓRICO COBROS!A3:E"&amp;COUNTA('HISTÓRICO COBROS'!A:A)),5,FALSE)),"")</f>
        <v/>
      </c>
      <c r="F473" s="137" t="str">
        <f t="array" ref="F473">IF(A473="","",VLOOKUP(A473,INDIRECT("CXC!A2:I"&amp;COUNTA(CXC!A:A)),9,FALSE))</f>
        <v/>
      </c>
      <c r="G473" s="137" t="str">
        <f t="array" ref="G473">IFERROR(IF(A473="","",VLOOKUP(A473,INDIRECT("HISTÓRICO COBROS!A3:F"&amp;COUNTA('HISTÓRICO COBROS'!A:A)),6,FALSE)),"")</f>
        <v/>
      </c>
      <c r="H473" s="138" t="str">
        <f t="shared" ref="H473:I473" si="474">IF(D473="","",D473+F473)</f>
        <v/>
      </c>
      <c r="I473" s="135" t="str">
        <f t="shared" si="474"/>
        <v/>
      </c>
      <c r="J473" s="140" t="str">
        <f t="shared" si="3"/>
        <v/>
      </c>
      <c r="K473" s="140" t="str">
        <f t="shared" si="4"/>
        <v/>
      </c>
    </row>
    <row r="474" ht="22.5" customHeight="1">
      <c r="A474" s="140"/>
      <c r="B474" s="135" t="str">
        <f t="array" ref="B474">IF(A474="","",VLOOKUP(A474,INDIRECT("CXC!A2:B"&amp;COUNTA(CXC!A:A)),2,FALSE))</f>
        <v/>
      </c>
      <c r="C474" s="136" t="str">
        <f t="array" ref="C474">IF(A474="","",VLOOKUP(A474,INDIRECT("CXC!A2:C"&amp;COUNTA(CXC!A:A)),3,FALSE))</f>
        <v/>
      </c>
      <c r="D474" s="137" t="str">
        <f t="array" ref="D474">IF(A474="","",VLOOKUP(A474,INDIRECT("CXC!A2:H"&amp;COUNTA(CXC!A:A)),8,FALSE))</f>
        <v/>
      </c>
      <c r="E474" s="137" t="str">
        <f t="array" ref="E474">IFERROR(IF(A474="","",VLOOKUP(A474,INDIRECT("HISTÓRICO COBROS!A3:E"&amp;COUNTA('HISTÓRICO COBROS'!A:A)),5,FALSE)),"")</f>
        <v/>
      </c>
      <c r="F474" s="137" t="str">
        <f t="array" ref="F474">IF(A474="","",VLOOKUP(A474,INDIRECT("CXC!A2:I"&amp;COUNTA(CXC!A:A)),9,FALSE))</f>
        <v/>
      </c>
      <c r="G474" s="137" t="str">
        <f t="array" ref="G474">IFERROR(IF(A474="","",VLOOKUP(A474,INDIRECT("HISTÓRICO COBROS!A3:F"&amp;COUNTA('HISTÓRICO COBROS'!A:A)),6,FALSE)),"")</f>
        <v/>
      </c>
      <c r="H474" s="138" t="str">
        <f t="shared" ref="H474:I474" si="475">IF(D474="","",D474+F474)</f>
        <v/>
      </c>
      <c r="I474" s="135" t="str">
        <f t="shared" si="475"/>
        <v/>
      </c>
      <c r="J474" s="140" t="str">
        <f t="shared" si="3"/>
        <v/>
      </c>
      <c r="K474" s="140" t="str">
        <f t="shared" si="4"/>
        <v/>
      </c>
    </row>
    <row r="475" ht="22.5" customHeight="1">
      <c r="A475" s="140"/>
      <c r="B475" s="135" t="str">
        <f t="array" ref="B475">IF(A475="","",VLOOKUP(A475,INDIRECT("CXC!A2:B"&amp;COUNTA(CXC!A:A)),2,FALSE))</f>
        <v/>
      </c>
      <c r="C475" s="136" t="str">
        <f t="array" ref="C475">IF(A475="","",VLOOKUP(A475,INDIRECT("CXC!A2:C"&amp;COUNTA(CXC!A:A)),3,FALSE))</f>
        <v/>
      </c>
      <c r="D475" s="137" t="str">
        <f t="array" ref="D475">IF(A475="","",VLOOKUP(A475,INDIRECT("CXC!A2:H"&amp;COUNTA(CXC!A:A)),8,FALSE))</f>
        <v/>
      </c>
      <c r="E475" s="137" t="str">
        <f t="array" ref="E475">IFERROR(IF(A475="","",VLOOKUP(A475,INDIRECT("HISTÓRICO COBROS!A3:E"&amp;COUNTA('HISTÓRICO COBROS'!A:A)),5,FALSE)),"")</f>
        <v/>
      </c>
      <c r="F475" s="137" t="str">
        <f t="array" ref="F475">IF(A475="","",VLOOKUP(A475,INDIRECT("CXC!A2:I"&amp;COUNTA(CXC!A:A)),9,FALSE))</f>
        <v/>
      </c>
      <c r="G475" s="137" t="str">
        <f t="array" ref="G475">IFERROR(IF(A475="","",VLOOKUP(A475,INDIRECT("HISTÓRICO COBROS!A3:F"&amp;COUNTA('HISTÓRICO COBROS'!A:A)),6,FALSE)),"")</f>
        <v/>
      </c>
      <c r="H475" s="138" t="str">
        <f t="shared" ref="H475:I475" si="476">IF(D475="","",D475+F475)</f>
        <v/>
      </c>
      <c r="I475" s="135" t="str">
        <f t="shared" si="476"/>
        <v/>
      </c>
      <c r="J475" s="140" t="str">
        <f t="shared" si="3"/>
        <v/>
      </c>
      <c r="K475" s="140" t="str">
        <f t="shared" si="4"/>
        <v/>
      </c>
    </row>
    <row r="476" ht="22.5" customHeight="1">
      <c r="A476" s="140"/>
      <c r="B476" s="135" t="str">
        <f t="array" ref="B476">IF(A476="","",VLOOKUP(A476,INDIRECT("CXC!A2:B"&amp;COUNTA(CXC!A:A)),2,FALSE))</f>
        <v/>
      </c>
      <c r="C476" s="136" t="str">
        <f t="array" ref="C476">IF(A476="","",VLOOKUP(A476,INDIRECT("CXC!A2:C"&amp;COUNTA(CXC!A:A)),3,FALSE))</f>
        <v/>
      </c>
      <c r="D476" s="137" t="str">
        <f t="array" ref="D476">IF(A476="","",VLOOKUP(A476,INDIRECT("CXC!A2:H"&amp;COUNTA(CXC!A:A)),8,FALSE))</f>
        <v/>
      </c>
      <c r="E476" s="137" t="str">
        <f t="array" ref="E476">IFERROR(IF(A476="","",VLOOKUP(A476,INDIRECT("HISTÓRICO COBROS!A3:E"&amp;COUNTA('HISTÓRICO COBROS'!A:A)),5,FALSE)),"")</f>
        <v/>
      </c>
      <c r="F476" s="137" t="str">
        <f t="array" ref="F476">IF(A476="","",VLOOKUP(A476,INDIRECT("CXC!A2:I"&amp;COUNTA(CXC!A:A)),9,FALSE))</f>
        <v/>
      </c>
      <c r="G476" s="137" t="str">
        <f t="array" ref="G476">IFERROR(IF(A476="","",VLOOKUP(A476,INDIRECT("HISTÓRICO COBROS!A3:F"&amp;COUNTA('HISTÓRICO COBROS'!A:A)),6,FALSE)),"")</f>
        <v/>
      </c>
      <c r="H476" s="138" t="str">
        <f t="shared" ref="H476:I476" si="477">IF(D476="","",D476+F476)</f>
        <v/>
      </c>
      <c r="I476" s="135" t="str">
        <f t="shared" si="477"/>
        <v/>
      </c>
      <c r="J476" s="140" t="str">
        <f t="shared" si="3"/>
        <v/>
      </c>
      <c r="K476" s="140" t="str">
        <f t="shared" si="4"/>
        <v/>
      </c>
    </row>
    <row r="477" ht="22.5" customHeight="1">
      <c r="A477" s="140"/>
      <c r="B477" s="135" t="str">
        <f t="array" ref="B477">IF(A477="","",VLOOKUP(A477,INDIRECT("CXC!A2:B"&amp;COUNTA(CXC!A:A)),2,FALSE))</f>
        <v/>
      </c>
      <c r="C477" s="136" t="str">
        <f t="array" ref="C477">IF(A477="","",VLOOKUP(A477,INDIRECT("CXC!A2:C"&amp;COUNTA(CXC!A:A)),3,FALSE))</f>
        <v/>
      </c>
      <c r="D477" s="137" t="str">
        <f t="array" ref="D477">IF(A477="","",VLOOKUP(A477,INDIRECT("CXC!A2:H"&amp;COUNTA(CXC!A:A)),8,FALSE))</f>
        <v/>
      </c>
      <c r="E477" s="137" t="str">
        <f t="array" ref="E477">IFERROR(IF(A477="","",VLOOKUP(A477,INDIRECT("HISTÓRICO COBROS!A3:E"&amp;COUNTA('HISTÓRICO COBROS'!A:A)),5,FALSE)),"")</f>
        <v/>
      </c>
      <c r="F477" s="137" t="str">
        <f t="array" ref="F477">IF(A477="","",VLOOKUP(A477,INDIRECT("CXC!A2:I"&amp;COUNTA(CXC!A:A)),9,FALSE))</f>
        <v/>
      </c>
      <c r="G477" s="137" t="str">
        <f t="array" ref="G477">IFERROR(IF(A477="","",VLOOKUP(A477,INDIRECT("HISTÓRICO COBROS!A3:F"&amp;COUNTA('HISTÓRICO COBROS'!A:A)),6,FALSE)),"")</f>
        <v/>
      </c>
      <c r="H477" s="138" t="str">
        <f t="shared" ref="H477:I477" si="478">IF(D477="","",D477+F477)</f>
        <v/>
      </c>
      <c r="I477" s="135" t="str">
        <f t="shared" si="478"/>
        <v/>
      </c>
      <c r="J477" s="140" t="str">
        <f t="shared" si="3"/>
        <v/>
      </c>
      <c r="K477" s="140" t="str">
        <f t="shared" si="4"/>
        <v/>
      </c>
    </row>
    <row r="478" ht="22.5" customHeight="1">
      <c r="A478" s="140"/>
      <c r="B478" s="135" t="str">
        <f t="array" ref="B478">IF(A478="","",VLOOKUP(A478,INDIRECT("CXC!A2:B"&amp;COUNTA(CXC!A:A)),2,FALSE))</f>
        <v/>
      </c>
      <c r="C478" s="136" t="str">
        <f t="array" ref="C478">IF(A478="","",VLOOKUP(A478,INDIRECT("CXC!A2:C"&amp;COUNTA(CXC!A:A)),3,FALSE))</f>
        <v/>
      </c>
      <c r="D478" s="137" t="str">
        <f t="array" ref="D478">IF(A478="","",VLOOKUP(A478,INDIRECT("CXC!A2:H"&amp;COUNTA(CXC!A:A)),8,FALSE))</f>
        <v/>
      </c>
      <c r="E478" s="137" t="str">
        <f t="array" ref="E478">IFERROR(IF(A478="","",VLOOKUP(A478,INDIRECT("HISTÓRICO COBROS!A3:E"&amp;COUNTA('HISTÓRICO COBROS'!A:A)),5,FALSE)),"")</f>
        <v/>
      </c>
      <c r="F478" s="137" t="str">
        <f t="array" ref="F478">IF(A478="","",VLOOKUP(A478,INDIRECT("CXC!A2:I"&amp;COUNTA(CXC!A:A)),9,FALSE))</f>
        <v/>
      </c>
      <c r="G478" s="137" t="str">
        <f t="array" ref="G478">IFERROR(IF(A478="","",VLOOKUP(A478,INDIRECT("HISTÓRICO COBROS!A3:F"&amp;COUNTA('HISTÓRICO COBROS'!A:A)),6,FALSE)),"")</f>
        <v/>
      </c>
      <c r="H478" s="138" t="str">
        <f t="shared" ref="H478:I478" si="479">IF(D478="","",D478+F478)</f>
        <v/>
      </c>
      <c r="I478" s="135" t="str">
        <f t="shared" si="479"/>
        <v/>
      </c>
      <c r="J478" s="140" t="str">
        <f t="shared" si="3"/>
        <v/>
      </c>
      <c r="K478" s="140" t="str">
        <f t="shared" si="4"/>
        <v/>
      </c>
    </row>
    <row r="479" ht="22.5" customHeight="1">
      <c r="A479" s="140"/>
      <c r="B479" s="135" t="str">
        <f t="array" ref="B479">IF(A479="","",VLOOKUP(A479,INDIRECT("CXC!A2:B"&amp;COUNTA(CXC!A:A)),2,FALSE))</f>
        <v/>
      </c>
      <c r="C479" s="136" t="str">
        <f t="array" ref="C479">IF(A479="","",VLOOKUP(A479,INDIRECT("CXC!A2:C"&amp;COUNTA(CXC!A:A)),3,FALSE))</f>
        <v/>
      </c>
      <c r="D479" s="137" t="str">
        <f t="array" ref="D479">IF(A479="","",VLOOKUP(A479,INDIRECT("CXC!A2:H"&amp;COUNTA(CXC!A:A)),8,FALSE))</f>
        <v/>
      </c>
      <c r="E479" s="137" t="str">
        <f t="array" ref="E479">IFERROR(IF(A479="","",VLOOKUP(A479,INDIRECT("HISTÓRICO COBROS!A3:E"&amp;COUNTA('HISTÓRICO COBROS'!A:A)),5,FALSE)),"")</f>
        <v/>
      </c>
      <c r="F479" s="137" t="str">
        <f t="array" ref="F479">IF(A479="","",VLOOKUP(A479,INDIRECT("CXC!A2:I"&amp;COUNTA(CXC!A:A)),9,FALSE))</f>
        <v/>
      </c>
      <c r="G479" s="137" t="str">
        <f t="array" ref="G479">IFERROR(IF(A479="","",VLOOKUP(A479,INDIRECT("HISTÓRICO COBROS!A3:F"&amp;COUNTA('HISTÓRICO COBROS'!A:A)),6,FALSE)),"")</f>
        <v/>
      </c>
      <c r="H479" s="138" t="str">
        <f t="shared" ref="H479:I479" si="480">IF(D479="","",D479+F479)</f>
        <v/>
      </c>
      <c r="I479" s="135" t="str">
        <f t="shared" si="480"/>
        <v/>
      </c>
      <c r="J479" s="140" t="str">
        <f t="shared" si="3"/>
        <v/>
      </c>
      <c r="K479" s="140" t="str">
        <f t="shared" si="4"/>
        <v/>
      </c>
    </row>
    <row r="480" ht="22.5" customHeight="1">
      <c r="A480" s="140"/>
      <c r="B480" s="135" t="str">
        <f t="array" ref="B480">IF(A480="","",VLOOKUP(A480,INDIRECT("CXC!A2:B"&amp;COUNTA(CXC!A:A)),2,FALSE))</f>
        <v/>
      </c>
      <c r="C480" s="136" t="str">
        <f t="array" ref="C480">IF(A480="","",VLOOKUP(A480,INDIRECT("CXC!A2:C"&amp;COUNTA(CXC!A:A)),3,FALSE))</f>
        <v/>
      </c>
      <c r="D480" s="137" t="str">
        <f t="array" ref="D480">IF(A480="","",VLOOKUP(A480,INDIRECT("CXC!A2:H"&amp;COUNTA(CXC!A:A)),8,FALSE))</f>
        <v/>
      </c>
      <c r="E480" s="137" t="str">
        <f t="array" ref="E480">IFERROR(IF(A480="","",VLOOKUP(A480,INDIRECT("HISTÓRICO COBROS!A3:E"&amp;COUNTA('HISTÓRICO COBROS'!A:A)),5,FALSE)),"")</f>
        <v/>
      </c>
      <c r="F480" s="137" t="str">
        <f t="array" ref="F480">IF(A480="","",VLOOKUP(A480,INDIRECT("CXC!A2:I"&amp;COUNTA(CXC!A:A)),9,FALSE))</f>
        <v/>
      </c>
      <c r="G480" s="137" t="str">
        <f t="array" ref="G480">IFERROR(IF(A480="","",VLOOKUP(A480,INDIRECT("HISTÓRICO COBROS!A3:F"&amp;COUNTA('HISTÓRICO COBROS'!A:A)),6,FALSE)),"")</f>
        <v/>
      </c>
      <c r="H480" s="138" t="str">
        <f t="shared" ref="H480:I480" si="481">IF(D480="","",D480+F480)</f>
        <v/>
      </c>
      <c r="I480" s="135" t="str">
        <f t="shared" si="481"/>
        <v/>
      </c>
      <c r="J480" s="140" t="str">
        <f t="shared" si="3"/>
        <v/>
      </c>
      <c r="K480" s="140" t="str">
        <f t="shared" si="4"/>
        <v/>
      </c>
    </row>
    <row r="481" ht="22.5" customHeight="1">
      <c r="A481" s="140"/>
      <c r="B481" s="135" t="str">
        <f t="array" ref="B481">IF(A481="","",VLOOKUP(A481,INDIRECT("CXC!A2:B"&amp;COUNTA(CXC!A:A)),2,FALSE))</f>
        <v/>
      </c>
      <c r="C481" s="136" t="str">
        <f t="array" ref="C481">IF(A481="","",VLOOKUP(A481,INDIRECT("CXC!A2:C"&amp;COUNTA(CXC!A:A)),3,FALSE))</f>
        <v/>
      </c>
      <c r="D481" s="137" t="str">
        <f t="array" ref="D481">IF(A481="","",VLOOKUP(A481,INDIRECT("CXC!A2:H"&amp;COUNTA(CXC!A:A)),8,FALSE))</f>
        <v/>
      </c>
      <c r="E481" s="137" t="str">
        <f t="array" ref="E481">IFERROR(IF(A481="","",VLOOKUP(A481,INDIRECT("HISTÓRICO COBROS!A3:E"&amp;COUNTA('HISTÓRICO COBROS'!A:A)),5,FALSE)),"")</f>
        <v/>
      </c>
      <c r="F481" s="137" t="str">
        <f t="array" ref="F481">IF(A481="","",VLOOKUP(A481,INDIRECT("CXC!A2:I"&amp;COUNTA(CXC!A:A)),9,FALSE))</f>
        <v/>
      </c>
      <c r="G481" s="137" t="str">
        <f t="array" ref="G481">IFERROR(IF(A481="","",VLOOKUP(A481,INDIRECT("HISTÓRICO COBROS!A3:F"&amp;COUNTA('HISTÓRICO COBROS'!A:A)),6,FALSE)),"")</f>
        <v/>
      </c>
      <c r="H481" s="138" t="str">
        <f t="shared" ref="H481:I481" si="482">IF(D481="","",D481+F481)</f>
        <v/>
      </c>
      <c r="I481" s="135" t="str">
        <f t="shared" si="482"/>
        <v/>
      </c>
      <c r="J481" s="140" t="str">
        <f t="shared" si="3"/>
        <v/>
      </c>
      <c r="K481" s="140" t="str">
        <f t="shared" si="4"/>
        <v/>
      </c>
    </row>
    <row r="482" ht="22.5" customHeight="1">
      <c r="A482" s="140"/>
      <c r="B482" s="135" t="str">
        <f t="array" ref="B482">IF(A482="","",VLOOKUP(A482,INDIRECT("CXC!A2:B"&amp;COUNTA(CXC!A:A)),2,FALSE))</f>
        <v/>
      </c>
      <c r="C482" s="136" t="str">
        <f t="array" ref="C482">IF(A482="","",VLOOKUP(A482,INDIRECT("CXC!A2:C"&amp;COUNTA(CXC!A:A)),3,FALSE))</f>
        <v/>
      </c>
      <c r="D482" s="137" t="str">
        <f t="array" ref="D482">IF(A482="","",VLOOKUP(A482,INDIRECT("CXC!A2:H"&amp;COUNTA(CXC!A:A)),8,FALSE))</f>
        <v/>
      </c>
      <c r="E482" s="137" t="str">
        <f t="array" ref="E482">IFERROR(IF(A482="","",VLOOKUP(A482,INDIRECT("HISTÓRICO COBROS!A3:E"&amp;COUNTA('HISTÓRICO COBROS'!A:A)),5,FALSE)),"")</f>
        <v/>
      </c>
      <c r="F482" s="137" t="str">
        <f t="array" ref="F482">IF(A482="","",VLOOKUP(A482,INDIRECT("CXC!A2:I"&amp;COUNTA(CXC!A:A)),9,FALSE))</f>
        <v/>
      </c>
      <c r="G482" s="137" t="str">
        <f t="array" ref="G482">IFERROR(IF(A482="","",VLOOKUP(A482,INDIRECT("HISTÓRICO COBROS!A3:F"&amp;COUNTA('HISTÓRICO COBROS'!A:A)),6,FALSE)),"")</f>
        <v/>
      </c>
      <c r="H482" s="138" t="str">
        <f t="shared" ref="H482:I482" si="483">IF(D482="","",D482+F482)</f>
        <v/>
      </c>
      <c r="I482" s="135" t="str">
        <f t="shared" si="483"/>
        <v/>
      </c>
      <c r="J482" s="140" t="str">
        <f t="shared" si="3"/>
        <v/>
      </c>
      <c r="K482" s="140" t="str">
        <f t="shared" si="4"/>
        <v/>
      </c>
    </row>
    <row r="483" ht="22.5" customHeight="1">
      <c r="A483" s="140"/>
      <c r="B483" s="135" t="str">
        <f t="array" ref="B483">IF(A483="","",VLOOKUP(A483,INDIRECT("CXC!A2:B"&amp;COUNTA(CXC!A:A)),2,FALSE))</f>
        <v/>
      </c>
      <c r="C483" s="136" t="str">
        <f t="array" ref="C483">IF(A483="","",VLOOKUP(A483,INDIRECT("CXC!A2:C"&amp;COUNTA(CXC!A:A)),3,FALSE))</f>
        <v/>
      </c>
      <c r="D483" s="137" t="str">
        <f t="array" ref="D483">IF(A483="","",VLOOKUP(A483,INDIRECT("CXC!A2:H"&amp;COUNTA(CXC!A:A)),8,FALSE))</f>
        <v/>
      </c>
      <c r="E483" s="137" t="str">
        <f t="array" ref="E483">IFERROR(IF(A483="","",VLOOKUP(A483,INDIRECT("HISTÓRICO COBROS!A3:E"&amp;COUNTA('HISTÓRICO COBROS'!A:A)),5,FALSE)),"")</f>
        <v/>
      </c>
      <c r="F483" s="137" t="str">
        <f t="array" ref="F483">IF(A483="","",VLOOKUP(A483,INDIRECT("CXC!A2:I"&amp;COUNTA(CXC!A:A)),9,FALSE))</f>
        <v/>
      </c>
      <c r="G483" s="137" t="str">
        <f t="array" ref="G483">IFERROR(IF(A483="","",VLOOKUP(A483,INDIRECT("HISTÓRICO COBROS!A3:F"&amp;COUNTA('HISTÓRICO COBROS'!A:A)),6,FALSE)),"")</f>
        <v/>
      </c>
      <c r="H483" s="138" t="str">
        <f t="shared" ref="H483:I483" si="484">IF(D483="","",D483+F483)</f>
        <v/>
      </c>
      <c r="I483" s="135" t="str">
        <f t="shared" si="484"/>
        <v/>
      </c>
      <c r="J483" s="140" t="str">
        <f t="shared" si="3"/>
        <v/>
      </c>
      <c r="K483" s="140" t="str">
        <f t="shared" si="4"/>
        <v/>
      </c>
    </row>
    <row r="484" ht="22.5" customHeight="1">
      <c r="A484" s="140"/>
      <c r="B484" s="135" t="str">
        <f t="array" ref="B484">IF(A484="","",VLOOKUP(A484,INDIRECT("CXC!A2:B"&amp;COUNTA(CXC!A:A)),2,FALSE))</f>
        <v/>
      </c>
      <c r="C484" s="136" t="str">
        <f t="array" ref="C484">IF(A484="","",VLOOKUP(A484,INDIRECT("CXC!A2:C"&amp;COUNTA(CXC!A:A)),3,FALSE))</f>
        <v/>
      </c>
      <c r="D484" s="137" t="str">
        <f t="array" ref="D484">IF(A484="","",VLOOKUP(A484,INDIRECT("CXC!A2:H"&amp;COUNTA(CXC!A:A)),8,FALSE))</f>
        <v/>
      </c>
      <c r="E484" s="137" t="str">
        <f t="array" ref="E484">IFERROR(IF(A484="","",VLOOKUP(A484,INDIRECT("HISTÓRICO COBROS!A3:E"&amp;COUNTA('HISTÓRICO COBROS'!A:A)),5,FALSE)),"")</f>
        <v/>
      </c>
      <c r="F484" s="137" t="str">
        <f t="array" ref="F484">IF(A484="","",VLOOKUP(A484,INDIRECT("CXC!A2:I"&amp;COUNTA(CXC!A:A)),9,FALSE))</f>
        <v/>
      </c>
      <c r="G484" s="137" t="str">
        <f t="array" ref="G484">IFERROR(IF(A484="","",VLOOKUP(A484,INDIRECT("HISTÓRICO COBROS!A3:F"&amp;COUNTA('HISTÓRICO COBROS'!A:A)),6,FALSE)),"")</f>
        <v/>
      </c>
      <c r="H484" s="138" t="str">
        <f t="shared" ref="H484:I484" si="485">IF(D484="","",D484+F484)</f>
        <v/>
      </c>
      <c r="I484" s="135" t="str">
        <f t="shared" si="485"/>
        <v/>
      </c>
      <c r="J484" s="140" t="str">
        <f t="shared" si="3"/>
        <v/>
      </c>
      <c r="K484" s="140" t="str">
        <f t="shared" si="4"/>
        <v/>
      </c>
    </row>
    <row r="485" ht="22.5" customHeight="1">
      <c r="A485" s="140"/>
      <c r="B485" s="135" t="str">
        <f t="array" ref="B485">IF(A485="","",VLOOKUP(A485,INDIRECT("CXC!A2:B"&amp;COUNTA(CXC!A:A)),2,FALSE))</f>
        <v/>
      </c>
      <c r="C485" s="136" t="str">
        <f t="array" ref="C485">IF(A485="","",VLOOKUP(A485,INDIRECT("CXC!A2:C"&amp;COUNTA(CXC!A:A)),3,FALSE))</f>
        <v/>
      </c>
      <c r="D485" s="137" t="str">
        <f t="array" ref="D485">IF(A485="","",VLOOKUP(A485,INDIRECT("CXC!A2:H"&amp;COUNTA(CXC!A:A)),8,FALSE))</f>
        <v/>
      </c>
      <c r="E485" s="137" t="str">
        <f t="array" ref="E485">IFERROR(IF(A485="","",VLOOKUP(A485,INDIRECT("HISTÓRICO COBROS!A3:E"&amp;COUNTA('HISTÓRICO COBROS'!A:A)),5,FALSE)),"")</f>
        <v/>
      </c>
      <c r="F485" s="137" t="str">
        <f t="array" ref="F485">IF(A485="","",VLOOKUP(A485,INDIRECT("CXC!A2:I"&amp;COUNTA(CXC!A:A)),9,FALSE))</f>
        <v/>
      </c>
      <c r="G485" s="137" t="str">
        <f t="array" ref="G485">IFERROR(IF(A485="","",VLOOKUP(A485,INDIRECT("HISTÓRICO COBROS!A3:F"&amp;COUNTA('HISTÓRICO COBROS'!A:A)),6,FALSE)),"")</f>
        <v/>
      </c>
      <c r="H485" s="138" t="str">
        <f t="shared" ref="H485:I485" si="486">IF(D485="","",D485+F485)</f>
        <v/>
      </c>
      <c r="I485" s="135" t="str">
        <f t="shared" si="486"/>
        <v/>
      </c>
      <c r="J485" s="140" t="str">
        <f t="shared" si="3"/>
        <v/>
      </c>
      <c r="K485" s="140" t="str">
        <f t="shared" si="4"/>
        <v/>
      </c>
    </row>
    <row r="486" ht="22.5" customHeight="1">
      <c r="A486" s="140"/>
      <c r="B486" s="135" t="str">
        <f t="array" ref="B486">IF(A486="","",VLOOKUP(A486,INDIRECT("CXC!A2:B"&amp;COUNTA(CXC!A:A)),2,FALSE))</f>
        <v/>
      </c>
      <c r="C486" s="136" t="str">
        <f t="array" ref="C486">IF(A486="","",VLOOKUP(A486,INDIRECT("CXC!A2:C"&amp;COUNTA(CXC!A:A)),3,FALSE))</f>
        <v/>
      </c>
      <c r="D486" s="137" t="str">
        <f t="array" ref="D486">IF(A486="","",VLOOKUP(A486,INDIRECT("CXC!A2:H"&amp;COUNTA(CXC!A:A)),8,FALSE))</f>
        <v/>
      </c>
      <c r="E486" s="137" t="str">
        <f t="array" ref="E486">IFERROR(IF(A486="","",VLOOKUP(A486,INDIRECT("HISTÓRICO COBROS!A3:E"&amp;COUNTA('HISTÓRICO COBROS'!A:A)),5,FALSE)),"")</f>
        <v/>
      </c>
      <c r="F486" s="137" t="str">
        <f t="array" ref="F486">IF(A486="","",VLOOKUP(A486,INDIRECT("CXC!A2:I"&amp;COUNTA(CXC!A:A)),9,FALSE))</f>
        <v/>
      </c>
      <c r="G486" s="137" t="str">
        <f t="array" ref="G486">IFERROR(IF(A486="","",VLOOKUP(A486,INDIRECT("HISTÓRICO COBROS!A3:F"&amp;COUNTA('HISTÓRICO COBROS'!A:A)),6,FALSE)),"")</f>
        <v/>
      </c>
      <c r="H486" s="138" t="str">
        <f t="shared" ref="H486:I486" si="487">IF(D486="","",D486+F486)</f>
        <v/>
      </c>
      <c r="I486" s="135" t="str">
        <f t="shared" si="487"/>
        <v/>
      </c>
      <c r="J486" s="140" t="str">
        <f t="shared" si="3"/>
        <v/>
      </c>
      <c r="K486" s="140" t="str">
        <f t="shared" si="4"/>
        <v/>
      </c>
    </row>
    <row r="487" ht="22.5" customHeight="1">
      <c r="A487" s="140"/>
      <c r="B487" s="135" t="str">
        <f t="array" ref="B487">IF(A487="","",VLOOKUP(A487,INDIRECT("CXC!A2:B"&amp;COUNTA(CXC!A:A)),2,FALSE))</f>
        <v/>
      </c>
      <c r="C487" s="136" t="str">
        <f t="array" ref="C487">IF(A487="","",VLOOKUP(A487,INDIRECT("CXC!A2:C"&amp;COUNTA(CXC!A:A)),3,FALSE))</f>
        <v/>
      </c>
      <c r="D487" s="137" t="str">
        <f t="array" ref="D487">IF(A487="","",VLOOKUP(A487,INDIRECT("CXC!A2:H"&amp;COUNTA(CXC!A:A)),8,FALSE))</f>
        <v/>
      </c>
      <c r="E487" s="137" t="str">
        <f t="array" ref="E487">IFERROR(IF(A487="","",VLOOKUP(A487,INDIRECT("HISTÓRICO COBROS!A3:E"&amp;COUNTA('HISTÓRICO COBROS'!A:A)),5,FALSE)),"")</f>
        <v/>
      </c>
      <c r="F487" s="137" t="str">
        <f t="array" ref="F487">IF(A487="","",VLOOKUP(A487,INDIRECT("CXC!A2:I"&amp;COUNTA(CXC!A:A)),9,FALSE))</f>
        <v/>
      </c>
      <c r="G487" s="137" t="str">
        <f t="array" ref="G487">IFERROR(IF(A487="","",VLOOKUP(A487,INDIRECT("HISTÓRICO COBROS!A3:F"&amp;COUNTA('HISTÓRICO COBROS'!A:A)),6,FALSE)),"")</f>
        <v/>
      </c>
      <c r="H487" s="138" t="str">
        <f t="shared" ref="H487:I487" si="488">IF(D487="","",D487+F487)</f>
        <v/>
      </c>
      <c r="I487" s="135" t="str">
        <f t="shared" si="488"/>
        <v/>
      </c>
      <c r="J487" s="140" t="str">
        <f t="shared" si="3"/>
        <v/>
      </c>
      <c r="K487" s="140" t="str">
        <f t="shared" si="4"/>
        <v/>
      </c>
    </row>
    <row r="488" ht="22.5" customHeight="1">
      <c r="A488" s="140"/>
      <c r="B488" s="135" t="str">
        <f t="array" ref="B488">IF(A488="","",VLOOKUP(A488,INDIRECT("CXC!A2:B"&amp;COUNTA(CXC!A:A)),2,FALSE))</f>
        <v/>
      </c>
      <c r="C488" s="136" t="str">
        <f t="array" ref="C488">IF(A488="","",VLOOKUP(A488,INDIRECT("CXC!A2:C"&amp;COUNTA(CXC!A:A)),3,FALSE))</f>
        <v/>
      </c>
      <c r="D488" s="137" t="str">
        <f t="array" ref="D488">IF(A488="","",VLOOKUP(A488,INDIRECT("CXC!A2:H"&amp;COUNTA(CXC!A:A)),8,FALSE))</f>
        <v/>
      </c>
      <c r="E488" s="137" t="str">
        <f t="array" ref="E488">IFERROR(IF(A488="","",VLOOKUP(A488,INDIRECT("HISTÓRICO COBROS!A3:E"&amp;COUNTA('HISTÓRICO COBROS'!A:A)),5,FALSE)),"")</f>
        <v/>
      </c>
      <c r="F488" s="137" t="str">
        <f t="array" ref="F488">IF(A488="","",VLOOKUP(A488,INDIRECT("CXC!A2:I"&amp;COUNTA(CXC!A:A)),9,FALSE))</f>
        <v/>
      </c>
      <c r="G488" s="137" t="str">
        <f t="array" ref="G488">IFERROR(IF(A488="","",VLOOKUP(A488,INDIRECT("HISTÓRICO COBROS!A3:F"&amp;COUNTA('HISTÓRICO COBROS'!A:A)),6,FALSE)),"")</f>
        <v/>
      </c>
      <c r="H488" s="138" t="str">
        <f t="shared" ref="H488:I488" si="489">IF(D488="","",D488+F488)</f>
        <v/>
      </c>
      <c r="I488" s="135" t="str">
        <f t="shared" si="489"/>
        <v/>
      </c>
      <c r="J488" s="140" t="str">
        <f t="shared" si="3"/>
        <v/>
      </c>
      <c r="K488" s="140" t="str">
        <f t="shared" si="4"/>
        <v/>
      </c>
    </row>
    <row r="489" ht="22.5" customHeight="1">
      <c r="A489" s="140"/>
      <c r="B489" s="135" t="str">
        <f t="array" ref="B489">IF(A489="","",VLOOKUP(A489,INDIRECT("CXC!A2:B"&amp;COUNTA(CXC!A:A)),2,FALSE))</f>
        <v/>
      </c>
      <c r="C489" s="136" t="str">
        <f t="array" ref="C489">IF(A489="","",VLOOKUP(A489,INDIRECT("CXC!A2:C"&amp;COUNTA(CXC!A:A)),3,FALSE))</f>
        <v/>
      </c>
      <c r="D489" s="137" t="str">
        <f t="array" ref="D489">IF(A489="","",VLOOKUP(A489,INDIRECT("CXC!A2:H"&amp;COUNTA(CXC!A:A)),8,FALSE))</f>
        <v/>
      </c>
      <c r="E489" s="137" t="str">
        <f t="array" ref="E489">IFERROR(IF(A489="","",VLOOKUP(A489,INDIRECT("HISTÓRICO COBROS!A3:E"&amp;COUNTA('HISTÓRICO COBROS'!A:A)),5,FALSE)),"")</f>
        <v/>
      </c>
      <c r="F489" s="137" t="str">
        <f t="array" ref="F489">IF(A489="","",VLOOKUP(A489,INDIRECT("CXC!A2:I"&amp;COUNTA(CXC!A:A)),9,FALSE))</f>
        <v/>
      </c>
      <c r="G489" s="137" t="str">
        <f t="array" ref="G489">IFERROR(IF(A489="","",VLOOKUP(A489,INDIRECT("HISTÓRICO COBROS!A3:F"&amp;COUNTA('HISTÓRICO COBROS'!A:A)),6,FALSE)),"")</f>
        <v/>
      </c>
      <c r="H489" s="138" t="str">
        <f t="shared" ref="H489:I489" si="490">IF(D489="","",D489+F489)</f>
        <v/>
      </c>
      <c r="I489" s="135" t="str">
        <f t="shared" si="490"/>
        <v/>
      </c>
      <c r="J489" s="140" t="str">
        <f t="shared" si="3"/>
        <v/>
      </c>
      <c r="K489" s="140" t="str">
        <f t="shared" si="4"/>
        <v/>
      </c>
    </row>
    <row r="490" ht="22.5" customHeight="1">
      <c r="A490" s="140"/>
      <c r="B490" s="135" t="str">
        <f t="array" ref="B490">IF(A490="","",VLOOKUP(A490,INDIRECT("CXC!A2:B"&amp;COUNTA(CXC!A:A)),2,FALSE))</f>
        <v/>
      </c>
      <c r="C490" s="136" t="str">
        <f t="array" ref="C490">IF(A490="","",VLOOKUP(A490,INDIRECT("CXC!A2:C"&amp;COUNTA(CXC!A:A)),3,FALSE))</f>
        <v/>
      </c>
      <c r="D490" s="137" t="str">
        <f t="array" ref="D490">IF(A490="","",VLOOKUP(A490,INDIRECT("CXC!A2:H"&amp;COUNTA(CXC!A:A)),8,FALSE))</f>
        <v/>
      </c>
      <c r="E490" s="137" t="str">
        <f t="array" ref="E490">IFERROR(IF(A490="","",VLOOKUP(A490,INDIRECT("HISTÓRICO COBROS!A3:E"&amp;COUNTA('HISTÓRICO COBROS'!A:A)),5,FALSE)),"")</f>
        <v/>
      </c>
      <c r="F490" s="137" t="str">
        <f t="array" ref="F490">IF(A490="","",VLOOKUP(A490,INDIRECT("CXC!A2:I"&amp;COUNTA(CXC!A:A)),9,FALSE))</f>
        <v/>
      </c>
      <c r="G490" s="137" t="str">
        <f t="array" ref="G490">IFERROR(IF(A490="","",VLOOKUP(A490,INDIRECT("HISTÓRICO COBROS!A3:F"&amp;COUNTA('HISTÓRICO COBROS'!A:A)),6,FALSE)),"")</f>
        <v/>
      </c>
      <c r="H490" s="138" t="str">
        <f t="shared" ref="H490:I490" si="491">IF(D490="","",D490+F490)</f>
        <v/>
      </c>
      <c r="I490" s="135" t="str">
        <f t="shared" si="491"/>
        <v/>
      </c>
      <c r="J490" s="140" t="str">
        <f t="shared" si="3"/>
        <v/>
      </c>
      <c r="K490" s="140" t="str">
        <f t="shared" si="4"/>
        <v/>
      </c>
    </row>
    <row r="491" ht="22.5" customHeight="1">
      <c r="A491" s="140"/>
      <c r="B491" s="135" t="str">
        <f t="array" ref="B491">IF(A491="","",VLOOKUP(A491,INDIRECT("CXC!A2:B"&amp;COUNTA(CXC!A:A)),2,FALSE))</f>
        <v/>
      </c>
      <c r="C491" s="136" t="str">
        <f t="array" ref="C491">IF(A491="","",VLOOKUP(A491,INDIRECT("CXC!A2:C"&amp;COUNTA(CXC!A:A)),3,FALSE))</f>
        <v/>
      </c>
      <c r="D491" s="137" t="str">
        <f t="array" ref="D491">IF(A491="","",VLOOKUP(A491,INDIRECT("CXC!A2:H"&amp;COUNTA(CXC!A:A)),8,FALSE))</f>
        <v/>
      </c>
      <c r="E491" s="137" t="str">
        <f t="array" ref="E491">IFERROR(IF(A491="","",VLOOKUP(A491,INDIRECT("HISTÓRICO COBROS!A3:E"&amp;COUNTA('HISTÓRICO COBROS'!A:A)),5,FALSE)),"")</f>
        <v/>
      </c>
      <c r="F491" s="137" t="str">
        <f t="array" ref="F491">IF(A491="","",VLOOKUP(A491,INDIRECT("CXC!A2:I"&amp;COUNTA(CXC!A:A)),9,FALSE))</f>
        <v/>
      </c>
      <c r="G491" s="137" t="str">
        <f t="array" ref="G491">IFERROR(IF(A491="","",VLOOKUP(A491,INDIRECT("HISTÓRICO COBROS!A3:F"&amp;COUNTA('HISTÓRICO COBROS'!A:A)),6,FALSE)),"")</f>
        <v/>
      </c>
      <c r="H491" s="138" t="str">
        <f t="shared" ref="H491:I491" si="492">IF(D491="","",D491+F491)</f>
        <v/>
      </c>
      <c r="I491" s="135" t="str">
        <f t="shared" si="492"/>
        <v/>
      </c>
      <c r="J491" s="140" t="str">
        <f t="shared" si="3"/>
        <v/>
      </c>
      <c r="K491" s="140" t="str">
        <f t="shared" si="4"/>
        <v/>
      </c>
    </row>
    <row r="492" ht="22.5" customHeight="1">
      <c r="A492" s="140"/>
      <c r="B492" s="135" t="str">
        <f t="array" ref="B492">IF(A492="","",VLOOKUP(A492,INDIRECT("CXC!A2:B"&amp;COUNTA(CXC!A:A)),2,FALSE))</f>
        <v/>
      </c>
      <c r="C492" s="136" t="str">
        <f t="array" ref="C492">IF(A492="","",VLOOKUP(A492,INDIRECT("CXC!A2:C"&amp;COUNTA(CXC!A:A)),3,FALSE))</f>
        <v/>
      </c>
      <c r="D492" s="137" t="str">
        <f t="array" ref="D492">IF(A492="","",VLOOKUP(A492,INDIRECT("CXC!A2:H"&amp;COUNTA(CXC!A:A)),8,FALSE))</f>
        <v/>
      </c>
      <c r="E492" s="137" t="str">
        <f t="array" ref="E492">IFERROR(IF(A492="","",VLOOKUP(A492,INDIRECT("HISTÓRICO COBROS!A3:E"&amp;COUNTA('HISTÓRICO COBROS'!A:A)),5,FALSE)),"")</f>
        <v/>
      </c>
      <c r="F492" s="137" t="str">
        <f t="array" ref="F492">IF(A492="","",VLOOKUP(A492,INDIRECT("CXC!A2:I"&amp;COUNTA(CXC!A:A)),9,FALSE))</f>
        <v/>
      </c>
      <c r="G492" s="137" t="str">
        <f t="array" ref="G492">IFERROR(IF(A492="","",VLOOKUP(A492,INDIRECT("HISTÓRICO COBROS!A3:F"&amp;COUNTA('HISTÓRICO COBROS'!A:A)),6,FALSE)),"")</f>
        <v/>
      </c>
      <c r="H492" s="138" t="str">
        <f t="shared" ref="H492:I492" si="493">IF(D492="","",D492+F492)</f>
        <v/>
      </c>
      <c r="I492" s="135" t="str">
        <f t="shared" si="493"/>
        <v/>
      </c>
      <c r="J492" s="140" t="str">
        <f t="shared" si="3"/>
        <v/>
      </c>
      <c r="K492" s="140" t="str">
        <f t="shared" si="4"/>
        <v/>
      </c>
    </row>
    <row r="493" ht="22.5" customHeight="1">
      <c r="A493" s="140"/>
      <c r="B493" s="135" t="str">
        <f t="array" ref="B493">IF(A493="","",VLOOKUP(A493,INDIRECT("CXC!A2:B"&amp;COUNTA(CXC!A:A)),2,FALSE))</f>
        <v/>
      </c>
      <c r="C493" s="136" t="str">
        <f t="array" ref="C493">IF(A493="","",VLOOKUP(A493,INDIRECT("CXC!A2:C"&amp;COUNTA(CXC!A:A)),3,FALSE))</f>
        <v/>
      </c>
      <c r="D493" s="137" t="str">
        <f t="array" ref="D493">IF(A493="","",VLOOKUP(A493,INDIRECT("CXC!A2:H"&amp;COUNTA(CXC!A:A)),8,FALSE))</f>
        <v/>
      </c>
      <c r="E493" s="137" t="str">
        <f t="array" ref="E493">IFERROR(IF(A493="","",VLOOKUP(A493,INDIRECT("HISTÓRICO COBROS!A3:E"&amp;COUNTA('HISTÓRICO COBROS'!A:A)),5,FALSE)),"")</f>
        <v/>
      </c>
      <c r="F493" s="137" t="str">
        <f t="array" ref="F493">IF(A493="","",VLOOKUP(A493,INDIRECT("CXC!A2:I"&amp;COUNTA(CXC!A:A)),9,FALSE))</f>
        <v/>
      </c>
      <c r="G493" s="137" t="str">
        <f t="array" ref="G493">IFERROR(IF(A493="","",VLOOKUP(A493,INDIRECT("HISTÓRICO COBROS!A3:F"&amp;COUNTA('HISTÓRICO COBROS'!A:A)),6,FALSE)),"")</f>
        <v/>
      </c>
      <c r="H493" s="138" t="str">
        <f t="shared" ref="H493:I493" si="494">IF(D493="","",D493+F493)</f>
        <v/>
      </c>
      <c r="I493" s="135" t="str">
        <f t="shared" si="494"/>
        <v/>
      </c>
      <c r="J493" s="140" t="str">
        <f t="shared" si="3"/>
        <v/>
      </c>
      <c r="K493" s="140" t="str">
        <f t="shared" si="4"/>
        <v/>
      </c>
    </row>
    <row r="494" ht="22.5" customHeight="1">
      <c r="A494" s="140"/>
      <c r="B494" s="135" t="str">
        <f t="array" ref="B494">IF(A494="","",VLOOKUP(A494,INDIRECT("CXC!A2:B"&amp;COUNTA(CXC!A:A)),2,FALSE))</f>
        <v/>
      </c>
      <c r="C494" s="136" t="str">
        <f t="array" ref="C494">IF(A494="","",VLOOKUP(A494,INDIRECT("CXC!A2:C"&amp;COUNTA(CXC!A:A)),3,FALSE))</f>
        <v/>
      </c>
      <c r="D494" s="137" t="str">
        <f t="array" ref="D494">IF(A494="","",VLOOKUP(A494,INDIRECT("CXC!A2:H"&amp;COUNTA(CXC!A:A)),8,FALSE))</f>
        <v/>
      </c>
      <c r="E494" s="137" t="str">
        <f t="array" ref="E494">IFERROR(IF(A494="","",VLOOKUP(A494,INDIRECT("HISTÓRICO COBROS!A3:E"&amp;COUNTA('HISTÓRICO COBROS'!A:A)),5,FALSE)),"")</f>
        <v/>
      </c>
      <c r="F494" s="137" t="str">
        <f t="array" ref="F494">IF(A494="","",VLOOKUP(A494,INDIRECT("CXC!A2:I"&amp;COUNTA(CXC!A:A)),9,FALSE))</f>
        <v/>
      </c>
      <c r="G494" s="137" t="str">
        <f t="array" ref="G494">IFERROR(IF(A494="","",VLOOKUP(A494,INDIRECT("HISTÓRICO COBROS!A3:F"&amp;COUNTA('HISTÓRICO COBROS'!A:A)),6,FALSE)),"")</f>
        <v/>
      </c>
      <c r="H494" s="138" t="str">
        <f t="shared" ref="H494:I494" si="495">IF(D494="","",D494+F494)</f>
        <v/>
      </c>
      <c r="I494" s="135" t="str">
        <f t="shared" si="495"/>
        <v/>
      </c>
      <c r="J494" s="140" t="str">
        <f t="shared" si="3"/>
        <v/>
      </c>
      <c r="K494" s="140" t="str">
        <f t="shared" si="4"/>
        <v/>
      </c>
    </row>
    <row r="495" ht="22.5" customHeight="1">
      <c r="A495" s="140"/>
      <c r="B495" s="135" t="str">
        <f t="array" ref="B495">IF(A495="","",VLOOKUP(A495,INDIRECT("CXC!A2:B"&amp;COUNTA(CXC!A:A)),2,FALSE))</f>
        <v/>
      </c>
      <c r="C495" s="136" t="str">
        <f t="array" ref="C495">IF(A495="","",VLOOKUP(A495,INDIRECT("CXC!A2:C"&amp;COUNTA(CXC!A:A)),3,FALSE))</f>
        <v/>
      </c>
      <c r="D495" s="137" t="str">
        <f t="array" ref="D495">IF(A495="","",VLOOKUP(A495,INDIRECT("CXC!A2:H"&amp;COUNTA(CXC!A:A)),8,FALSE))</f>
        <v/>
      </c>
      <c r="E495" s="137" t="str">
        <f t="array" ref="E495">IFERROR(IF(A495="","",VLOOKUP(A495,INDIRECT("HISTÓRICO COBROS!A3:E"&amp;COUNTA('HISTÓRICO COBROS'!A:A)),5,FALSE)),"")</f>
        <v/>
      </c>
      <c r="F495" s="137" t="str">
        <f t="array" ref="F495">IF(A495="","",VLOOKUP(A495,INDIRECT("CXC!A2:I"&amp;COUNTA(CXC!A:A)),9,FALSE))</f>
        <v/>
      </c>
      <c r="G495" s="137" t="str">
        <f t="array" ref="G495">IFERROR(IF(A495="","",VLOOKUP(A495,INDIRECT("HISTÓRICO COBROS!A3:F"&amp;COUNTA('HISTÓRICO COBROS'!A:A)),6,FALSE)),"")</f>
        <v/>
      </c>
      <c r="H495" s="138" t="str">
        <f t="shared" ref="H495:I495" si="496">IF(D495="","",D495+F495)</f>
        <v/>
      </c>
      <c r="I495" s="135" t="str">
        <f t="shared" si="496"/>
        <v/>
      </c>
      <c r="J495" s="140" t="str">
        <f t="shared" si="3"/>
        <v/>
      </c>
      <c r="K495" s="140" t="str">
        <f t="shared" si="4"/>
        <v/>
      </c>
    </row>
    <row r="496" ht="22.5" customHeight="1">
      <c r="A496" s="140"/>
      <c r="B496" s="135" t="str">
        <f t="array" ref="B496">IF(A496="","",VLOOKUP(A496,INDIRECT("CXC!A2:B"&amp;COUNTA(CXC!A:A)),2,FALSE))</f>
        <v/>
      </c>
      <c r="C496" s="136" t="str">
        <f t="array" ref="C496">IF(A496="","",VLOOKUP(A496,INDIRECT("CXC!A2:C"&amp;COUNTA(CXC!A:A)),3,FALSE))</f>
        <v/>
      </c>
      <c r="D496" s="137" t="str">
        <f t="array" ref="D496">IF(A496="","",VLOOKUP(A496,INDIRECT("CXC!A2:H"&amp;COUNTA(CXC!A:A)),8,FALSE))</f>
        <v/>
      </c>
      <c r="E496" s="137" t="str">
        <f t="array" ref="E496">IFERROR(IF(A496="","",VLOOKUP(A496,INDIRECT("HISTÓRICO COBROS!A3:E"&amp;COUNTA('HISTÓRICO COBROS'!A:A)),5,FALSE)),"")</f>
        <v/>
      </c>
      <c r="F496" s="137" t="str">
        <f t="array" ref="F496">IF(A496="","",VLOOKUP(A496,INDIRECT("CXC!A2:I"&amp;COUNTA(CXC!A:A)),9,FALSE))</f>
        <v/>
      </c>
      <c r="G496" s="137" t="str">
        <f t="array" ref="G496">IFERROR(IF(A496="","",VLOOKUP(A496,INDIRECT("HISTÓRICO COBROS!A3:F"&amp;COUNTA('HISTÓRICO COBROS'!A:A)),6,FALSE)),"")</f>
        <v/>
      </c>
      <c r="H496" s="138" t="str">
        <f t="shared" ref="H496:I496" si="497">IF(D496="","",D496+F496)</f>
        <v/>
      </c>
      <c r="I496" s="135" t="str">
        <f t="shared" si="497"/>
        <v/>
      </c>
      <c r="J496" s="140" t="str">
        <f t="shared" si="3"/>
        <v/>
      </c>
      <c r="K496" s="140" t="str">
        <f t="shared" si="4"/>
        <v/>
      </c>
    </row>
    <row r="497" ht="22.5" customHeight="1">
      <c r="A497" s="140"/>
      <c r="B497" s="135" t="str">
        <f t="array" ref="B497">IF(A497="","",VLOOKUP(A497,INDIRECT("CXC!A2:B"&amp;COUNTA(CXC!A:A)),2,FALSE))</f>
        <v/>
      </c>
      <c r="C497" s="136" t="str">
        <f t="array" ref="C497">IF(A497="","",VLOOKUP(A497,INDIRECT("CXC!A2:C"&amp;COUNTA(CXC!A:A)),3,FALSE))</f>
        <v/>
      </c>
      <c r="D497" s="137" t="str">
        <f t="array" ref="D497">IF(A497="","",VLOOKUP(A497,INDIRECT("CXC!A2:H"&amp;COUNTA(CXC!A:A)),8,FALSE))</f>
        <v/>
      </c>
      <c r="E497" s="137" t="str">
        <f t="array" ref="E497">IFERROR(IF(A497="","",VLOOKUP(A497,INDIRECT("HISTÓRICO COBROS!A3:E"&amp;COUNTA('HISTÓRICO COBROS'!A:A)),5,FALSE)),"")</f>
        <v/>
      </c>
      <c r="F497" s="137" t="str">
        <f t="array" ref="F497">IF(A497="","",VLOOKUP(A497,INDIRECT("CXC!A2:I"&amp;COUNTA(CXC!A:A)),9,FALSE))</f>
        <v/>
      </c>
      <c r="G497" s="137" t="str">
        <f t="array" ref="G497">IFERROR(IF(A497="","",VLOOKUP(A497,INDIRECT("HISTÓRICO COBROS!A3:F"&amp;COUNTA('HISTÓRICO COBROS'!A:A)),6,FALSE)),"")</f>
        <v/>
      </c>
      <c r="H497" s="138" t="str">
        <f t="shared" ref="H497:I497" si="498">IF(D497="","",D497+F497)</f>
        <v/>
      </c>
      <c r="I497" s="135" t="str">
        <f t="shared" si="498"/>
        <v/>
      </c>
      <c r="J497" s="140" t="str">
        <f t="shared" si="3"/>
        <v/>
      </c>
      <c r="K497" s="140" t="str">
        <f t="shared" si="4"/>
        <v/>
      </c>
    </row>
    <row r="498" ht="22.5" customHeight="1">
      <c r="A498" s="140"/>
      <c r="B498" s="135" t="str">
        <f t="array" ref="B498">IF(A498="","",VLOOKUP(A498,INDIRECT("CXC!A2:B"&amp;COUNTA(CXC!A:A)),2,FALSE))</f>
        <v/>
      </c>
      <c r="C498" s="136" t="str">
        <f t="array" ref="C498">IF(A498="","",VLOOKUP(A498,INDIRECT("CXC!A2:C"&amp;COUNTA(CXC!A:A)),3,FALSE))</f>
        <v/>
      </c>
      <c r="D498" s="137" t="str">
        <f t="array" ref="D498">IF(A498="","",VLOOKUP(A498,INDIRECT("CXC!A2:H"&amp;COUNTA(CXC!A:A)),8,FALSE))</f>
        <v/>
      </c>
      <c r="E498" s="137" t="str">
        <f t="array" ref="E498">IFERROR(IF(A498="","",VLOOKUP(A498,INDIRECT("HISTÓRICO COBROS!A3:E"&amp;COUNTA('HISTÓRICO COBROS'!A:A)),5,FALSE)),"")</f>
        <v/>
      </c>
      <c r="F498" s="137" t="str">
        <f t="array" ref="F498">IF(A498="","",VLOOKUP(A498,INDIRECT("CXC!A2:I"&amp;COUNTA(CXC!A:A)),9,FALSE))</f>
        <v/>
      </c>
      <c r="G498" s="137" t="str">
        <f t="array" ref="G498">IFERROR(IF(A498="","",VLOOKUP(A498,INDIRECT("HISTÓRICO COBROS!A3:F"&amp;COUNTA('HISTÓRICO COBROS'!A:A)),6,FALSE)),"")</f>
        <v/>
      </c>
      <c r="H498" s="138" t="str">
        <f t="shared" ref="H498:I498" si="499">IF(D498="","",D498+F498)</f>
        <v/>
      </c>
      <c r="I498" s="135" t="str">
        <f t="shared" si="499"/>
        <v/>
      </c>
      <c r="J498" s="140" t="str">
        <f t="shared" si="3"/>
        <v/>
      </c>
      <c r="K498" s="140" t="str">
        <f t="shared" si="4"/>
        <v/>
      </c>
    </row>
    <row r="499" ht="22.5" customHeight="1">
      <c r="A499" s="140"/>
      <c r="B499" s="135" t="str">
        <f t="array" ref="B499">IF(A499="","",VLOOKUP(A499,INDIRECT("CXC!A2:B"&amp;COUNTA(CXC!A:A)),2,FALSE))</f>
        <v/>
      </c>
      <c r="C499" s="136" t="str">
        <f t="array" ref="C499">IF(A499="","",VLOOKUP(A499,INDIRECT("CXC!A2:C"&amp;COUNTA(CXC!A:A)),3,FALSE))</f>
        <v/>
      </c>
      <c r="D499" s="137" t="str">
        <f t="array" ref="D499">IF(A499="","",VLOOKUP(A499,INDIRECT("CXC!A2:H"&amp;COUNTA(CXC!A:A)),8,FALSE))</f>
        <v/>
      </c>
      <c r="E499" s="137" t="str">
        <f t="array" ref="E499">IFERROR(IF(A499="","",VLOOKUP(A499,INDIRECT("HISTÓRICO COBROS!A3:E"&amp;COUNTA('HISTÓRICO COBROS'!A:A)),5,FALSE)),"")</f>
        <v/>
      </c>
      <c r="F499" s="137" t="str">
        <f t="array" ref="F499">IF(A499="","",VLOOKUP(A499,INDIRECT("CXC!A2:I"&amp;COUNTA(CXC!A:A)),9,FALSE))</f>
        <v/>
      </c>
      <c r="G499" s="137" t="str">
        <f t="array" ref="G499">IFERROR(IF(A499="","",VLOOKUP(A499,INDIRECT("HISTÓRICO COBROS!A3:F"&amp;COUNTA('HISTÓRICO COBROS'!A:A)),6,FALSE)),"")</f>
        <v/>
      </c>
      <c r="H499" s="138" t="str">
        <f t="shared" ref="H499:I499" si="500">IF(D499="","",D499+F499)</f>
        <v/>
      </c>
      <c r="I499" s="135" t="str">
        <f t="shared" si="500"/>
        <v/>
      </c>
      <c r="J499" s="140" t="str">
        <f t="shared" si="3"/>
        <v/>
      </c>
      <c r="K499" s="140" t="str">
        <f t="shared" si="4"/>
        <v/>
      </c>
    </row>
    <row r="500" ht="22.5" customHeight="1">
      <c r="A500" s="140"/>
      <c r="B500" s="135" t="str">
        <f t="array" ref="B500">IF(A500="","",VLOOKUP(A500,INDIRECT("CXC!A2:B"&amp;COUNTA(CXC!A:A)),2,FALSE))</f>
        <v/>
      </c>
      <c r="C500" s="136" t="str">
        <f t="array" ref="C500">IF(A500="","",VLOOKUP(A500,INDIRECT("CXC!A2:C"&amp;COUNTA(CXC!A:A)),3,FALSE))</f>
        <v/>
      </c>
      <c r="D500" s="137" t="str">
        <f t="array" ref="D500">IF(A500="","",VLOOKUP(A500,INDIRECT("CXC!A2:H"&amp;COUNTA(CXC!A:A)),8,FALSE))</f>
        <v/>
      </c>
      <c r="E500" s="137" t="str">
        <f t="array" ref="E500">IFERROR(IF(A500="","",VLOOKUP(A500,INDIRECT("HISTÓRICO COBROS!A3:E"&amp;COUNTA('HISTÓRICO COBROS'!A:A)),5,FALSE)),"")</f>
        <v/>
      </c>
      <c r="F500" s="137" t="str">
        <f t="array" ref="F500">IF(A500="","",VLOOKUP(A500,INDIRECT("CXC!A2:I"&amp;COUNTA(CXC!A:A)),9,FALSE))</f>
        <v/>
      </c>
      <c r="G500" s="137" t="str">
        <f t="array" ref="G500">IFERROR(IF(A500="","",VLOOKUP(A500,INDIRECT("HISTÓRICO COBROS!A3:F"&amp;COUNTA('HISTÓRICO COBROS'!A:A)),6,FALSE)),"")</f>
        <v/>
      </c>
      <c r="H500" s="138" t="str">
        <f t="shared" ref="H500:I500" si="501">IF(D500="","",D500+F500)</f>
        <v/>
      </c>
      <c r="I500" s="135" t="str">
        <f t="shared" si="501"/>
        <v/>
      </c>
      <c r="J500" s="140" t="str">
        <f t="shared" si="3"/>
        <v/>
      </c>
      <c r="K500" s="140" t="str">
        <f t="shared" si="4"/>
        <v/>
      </c>
    </row>
    <row r="501" ht="22.5" customHeight="1">
      <c r="A501" s="140"/>
      <c r="B501" s="135" t="str">
        <f t="array" ref="B501">IF(A501="","",VLOOKUP(A501,INDIRECT("CXC!A2:B"&amp;COUNTA(CXC!A:A)),2,FALSE))</f>
        <v/>
      </c>
      <c r="C501" s="136" t="str">
        <f t="array" ref="C501">IF(A501="","",VLOOKUP(A501,INDIRECT("CXC!A2:C"&amp;COUNTA(CXC!A:A)),3,FALSE))</f>
        <v/>
      </c>
      <c r="D501" s="137" t="str">
        <f t="array" ref="D501">IF(A501="","",VLOOKUP(A501,INDIRECT("CXC!A2:H"&amp;COUNTA(CXC!A:A)),8,FALSE))</f>
        <v/>
      </c>
      <c r="E501" s="137" t="str">
        <f t="array" ref="E501">IFERROR(IF(A501="","",VLOOKUP(A501,INDIRECT("HISTÓRICO COBROS!A3:E"&amp;COUNTA('HISTÓRICO COBROS'!A:A)),5,FALSE)),"")</f>
        <v/>
      </c>
      <c r="F501" s="137" t="str">
        <f t="array" ref="F501">IF(A501="","",VLOOKUP(A501,INDIRECT("CXC!A2:I"&amp;COUNTA(CXC!A:A)),9,FALSE))</f>
        <v/>
      </c>
      <c r="G501" s="137" t="str">
        <f t="array" ref="G501">IFERROR(IF(A501="","",VLOOKUP(A501,INDIRECT("HISTÓRICO COBROS!A3:F"&amp;COUNTA('HISTÓRICO COBROS'!A:A)),6,FALSE)),"")</f>
        <v/>
      </c>
      <c r="H501" s="138" t="str">
        <f t="shared" ref="H501:I501" si="502">IF(D501="","",D501+F501)</f>
        <v/>
      </c>
      <c r="I501" s="135" t="str">
        <f t="shared" si="502"/>
        <v/>
      </c>
      <c r="J501" s="140" t="str">
        <f t="shared" si="3"/>
        <v/>
      </c>
      <c r="K501" s="140" t="str">
        <f t="shared" si="4"/>
        <v/>
      </c>
    </row>
    <row r="502" ht="22.5" customHeight="1">
      <c r="A502" s="140"/>
      <c r="B502" s="135" t="str">
        <f t="array" ref="B502">IF(A502="","",VLOOKUP(A502,INDIRECT("CXC!A2:B"&amp;COUNTA(CXC!A:A)),2,FALSE))</f>
        <v/>
      </c>
      <c r="C502" s="136" t="str">
        <f t="array" ref="C502">IF(A502="","",VLOOKUP(A502,INDIRECT("CXC!A2:C"&amp;COUNTA(CXC!A:A)),3,FALSE))</f>
        <v/>
      </c>
      <c r="D502" s="137" t="str">
        <f t="array" ref="D502">IF(A502="","",VLOOKUP(A502,INDIRECT("CXC!A2:H"&amp;COUNTA(CXC!A:A)),8,FALSE))</f>
        <v/>
      </c>
      <c r="E502" s="137" t="str">
        <f t="array" ref="E502">IFERROR(IF(A502="","",VLOOKUP(A502,INDIRECT("HISTÓRICO COBROS!A3:E"&amp;COUNTA('HISTÓRICO COBROS'!A:A)),5,FALSE)),"")</f>
        <v/>
      </c>
      <c r="F502" s="137" t="str">
        <f t="array" ref="F502">IF(A502="","",VLOOKUP(A502,INDIRECT("CXC!A2:I"&amp;COUNTA(CXC!A:A)),9,FALSE))</f>
        <v/>
      </c>
      <c r="G502" s="137" t="str">
        <f t="array" ref="G502">IFERROR(IF(A502="","",VLOOKUP(A502,INDIRECT("HISTÓRICO COBROS!A3:F"&amp;COUNTA('HISTÓRICO COBROS'!A:A)),6,FALSE)),"")</f>
        <v/>
      </c>
      <c r="H502" s="138" t="str">
        <f t="shared" ref="H502:I502" si="503">IF(D502="","",D502+F502)</f>
        <v/>
      </c>
      <c r="I502" s="135" t="str">
        <f t="shared" si="503"/>
        <v/>
      </c>
      <c r="J502" s="140" t="str">
        <f t="shared" si="3"/>
        <v/>
      </c>
      <c r="K502" s="140" t="str">
        <f t="shared" si="4"/>
        <v/>
      </c>
    </row>
    <row r="503" ht="22.5" customHeight="1">
      <c r="A503" s="140"/>
      <c r="B503" s="135" t="str">
        <f t="array" ref="B503">IF(A503="","",VLOOKUP(A503,INDIRECT("CXC!A2:B"&amp;COUNTA(CXC!A:A)),2,FALSE))</f>
        <v/>
      </c>
      <c r="C503" s="136" t="str">
        <f t="array" ref="C503">IF(A503="","",VLOOKUP(A503,INDIRECT("CXC!A2:C"&amp;COUNTA(CXC!A:A)),3,FALSE))</f>
        <v/>
      </c>
      <c r="D503" s="137" t="str">
        <f t="array" ref="D503">IF(A503="","",VLOOKUP(A503,INDIRECT("CXC!A2:H"&amp;COUNTA(CXC!A:A)),8,FALSE))</f>
        <v/>
      </c>
      <c r="E503" s="137" t="str">
        <f t="array" ref="E503">IFERROR(IF(A503="","",VLOOKUP(A503,INDIRECT("HISTÓRICO COBROS!A3:E"&amp;COUNTA('HISTÓRICO COBROS'!A:A)),5,FALSE)),"")</f>
        <v/>
      </c>
      <c r="F503" s="137" t="str">
        <f t="array" ref="F503">IF(A503="","",VLOOKUP(A503,INDIRECT("CXC!A2:I"&amp;COUNTA(CXC!A:A)),9,FALSE))</f>
        <v/>
      </c>
      <c r="G503" s="137" t="str">
        <f t="array" ref="G503">IFERROR(IF(A503="","",VLOOKUP(A503,INDIRECT("HISTÓRICO COBROS!A3:F"&amp;COUNTA('HISTÓRICO COBROS'!A:A)),6,FALSE)),"")</f>
        <v/>
      </c>
      <c r="H503" s="138" t="str">
        <f t="shared" ref="H503:I503" si="504">IF(D503="","",D503+F503)</f>
        <v/>
      </c>
      <c r="I503" s="135" t="str">
        <f t="shared" si="504"/>
        <v/>
      </c>
      <c r="J503" s="140" t="str">
        <f t="shared" si="3"/>
        <v/>
      </c>
      <c r="K503" s="140" t="str">
        <f t="shared" si="4"/>
        <v/>
      </c>
    </row>
    <row r="504" ht="22.5" customHeight="1">
      <c r="A504" s="140"/>
      <c r="B504" s="135" t="str">
        <f t="array" ref="B504">IF(A504="","",VLOOKUP(A504,INDIRECT("CXC!A2:B"&amp;COUNTA(CXC!A:A)),2,FALSE))</f>
        <v/>
      </c>
      <c r="C504" s="136" t="str">
        <f t="array" ref="C504">IF(A504="","",VLOOKUP(A504,INDIRECT("CXC!A2:C"&amp;COUNTA(CXC!A:A)),3,FALSE))</f>
        <v/>
      </c>
      <c r="D504" s="137" t="str">
        <f t="array" ref="D504">IF(A504="","",VLOOKUP(A504,INDIRECT("CXC!A2:H"&amp;COUNTA(CXC!A:A)),8,FALSE))</f>
        <v/>
      </c>
      <c r="E504" s="137" t="str">
        <f t="array" ref="E504">IFERROR(IF(A504="","",VLOOKUP(A504,INDIRECT("HISTÓRICO COBROS!A3:E"&amp;COUNTA('HISTÓRICO COBROS'!A:A)),5,FALSE)),"")</f>
        <v/>
      </c>
      <c r="F504" s="137" t="str">
        <f t="array" ref="F504">IF(A504="","",VLOOKUP(A504,INDIRECT("CXC!A2:I"&amp;COUNTA(CXC!A:A)),9,FALSE))</f>
        <v/>
      </c>
      <c r="G504" s="137" t="str">
        <f t="array" ref="G504">IFERROR(IF(A504="","",VLOOKUP(A504,INDIRECT("HISTÓRICO COBROS!A3:F"&amp;COUNTA('HISTÓRICO COBROS'!A:A)),6,FALSE)),"")</f>
        <v/>
      </c>
      <c r="H504" s="138" t="str">
        <f t="shared" ref="H504:I504" si="505">IF(D504="","",D504+F504)</f>
        <v/>
      </c>
      <c r="I504" s="135" t="str">
        <f t="shared" si="505"/>
        <v/>
      </c>
      <c r="J504" s="140" t="str">
        <f t="shared" si="3"/>
        <v/>
      </c>
      <c r="K504" s="140" t="str">
        <f t="shared" si="4"/>
        <v/>
      </c>
    </row>
    <row r="505" ht="22.5" customHeight="1">
      <c r="A505" s="140"/>
      <c r="B505" s="135" t="str">
        <f t="array" ref="B505">IF(A505="","",VLOOKUP(A505,INDIRECT("CXC!A2:B"&amp;COUNTA(CXC!A:A)),2,FALSE))</f>
        <v/>
      </c>
      <c r="C505" s="136" t="str">
        <f t="array" ref="C505">IF(A505="","",VLOOKUP(A505,INDIRECT("CXC!A2:C"&amp;COUNTA(CXC!A:A)),3,FALSE))</f>
        <v/>
      </c>
      <c r="D505" s="137" t="str">
        <f t="array" ref="D505">IF(A505="","",VLOOKUP(A505,INDIRECT("CXC!A2:H"&amp;COUNTA(CXC!A:A)),8,FALSE))</f>
        <v/>
      </c>
      <c r="E505" s="137" t="str">
        <f t="array" ref="E505">IFERROR(IF(A505="","",VLOOKUP(A505,INDIRECT("HISTÓRICO COBROS!A3:E"&amp;COUNTA('HISTÓRICO COBROS'!A:A)),5,FALSE)),"")</f>
        <v/>
      </c>
      <c r="F505" s="137" t="str">
        <f t="array" ref="F505">IF(A505="","",VLOOKUP(A505,INDIRECT("CXC!A2:I"&amp;COUNTA(CXC!A:A)),9,FALSE))</f>
        <v/>
      </c>
      <c r="G505" s="137" t="str">
        <f t="array" ref="G505">IFERROR(IF(A505="","",VLOOKUP(A505,INDIRECT("HISTÓRICO COBROS!A3:F"&amp;COUNTA('HISTÓRICO COBROS'!A:A)),6,FALSE)),"")</f>
        <v/>
      </c>
      <c r="H505" s="138" t="str">
        <f t="shared" ref="H505:I505" si="506">IF(D505="","",D505+F505)</f>
        <v/>
      </c>
      <c r="I505" s="135" t="str">
        <f t="shared" si="506"/>
        <v/>
      </c>
      <c r="J505" s="140" t="str">
        <f t="shared" si="3"/>
        <v/>
      </c>
      <c r="K505" s="140" t="str">
        <f t="shared" si="4"/>
        <v/>
      </c>
    </row>
    <row r="506" ht="22.5" customHeight="1">
      <c r="A506" s="140"/>
      <c r="B506" s="135" t="str">
        <f t="array" ref="B506">IF(A506="","",VLOOKUP(A506,INDIRECT("CXC!A2:B"&amp;COUNTA(CXC!A:A)),2,FALSE))</f>
        <v/>
      </c>
      <c r="C506" s="136" t="str">
        <f t="array" ref="C506">IF(A506="","",VLOOKUP(A506,INDIRECT("CXC!A2:C"&amp;COUNTA(CXC!A:A)),3,FALSE))</f>
        <v/>
      </c>
      <c r="D506" s="137" t="str">
        <f t="array" ref="D506">IF(A506="","",VLOOKUP(A506,INDIRECT("CXC!A2:H"&amp;COUNTA(CXC!A:A)),8,FALSE))</f>
        <v/>
      </c>
      <c r="E506" s="137" t="str">
        <f t="array" ref="E506">IFERROR(IF(A506="","",VLOOKUP(A506,INDIRECT("HISTÓRICO COBROS!A3:E"&amp;COUNTA('HISTÓRICO COBROS'!A:A)),5,FALSE)),"")</f>
        <v/>
      </c>
      <c r="F506" s="137" t="str">
        <f t="array" ref="F506">IF(A506="","",VLOOKUP(A506,INDIRECT("CXC!A2:I"&amp;COUNTA(CXC!A:A)),9,FALSE))</f>
        <v/>
      </c>
      <c r="G506" s="137" t="str">
        <f t="array" ref="G506">IFERROR(IF(A506="","",VLOOKUP(A506,INDIRECT("HISTÓRICO COBROS!A3:F"&amp;COUNTA('HISTÓRICO COBROS'!A:A)),6,FALSE)),"")</f>
        <v/>
      </c>
      <c r="H506" s="138" t="str">
        <f t="shared" ref="H506:I506" si="507">IF(D506="","",D506+F506)</f>
        <v/>
      </c>
      <c r="I506" s="135" t="str">
        <f t="shared" si="507"/>
        <v/>
      </c>
      <c r="J506" s="140" t="str">
        <f t="shared" si="3"/>
        <v/>
      </c>
      <c r="K506" s="140" t="str">
        <f t="shared" si="4"/>
        <v/>
      </c>
    </row>
    <row r="507" ht="22.5" customHeight="1">
      <c r="A507" s="140"/>
      <c r="B507" s="135" t="str">
        <f t="array" ref="B507">IF(A507="","",VLOOKUP(A507,INDIRECT("CXC!A2:B"&amp;COUNTA(CXC!A:A)),2,FALSE))</f>
        <v/>
      </c>
      <c r="C507" s="136" t="str">
        <f t="array" ref="C507">IF(A507="","",VLOOKUP(A507,INDIRECT("CXC!A2:C"&amp;COUNTA(CXC!A:A)),3,FALSE))</f>
        <v/>
      </c>
      <c r="D507" s="137" t="str">
        <f t="array" ref="D507">IF(A507="","",VLOOKUP(A507,INDIRECT("CXC!A2:H"&amp;COUNTA(CXC!A:A)),8,FALSE))</f>
        <v/>
      </c>
      <c r="E507" s="137" t="str">
        <f t="array" ref="E507">IFERROR(IF(A507="","",VLOOKUP(A507,INDIRECT("HISTÓRICO COBROS!A3:E"&amp;COUNTA('HISTÓRICO COBROS'!A:A)),5,FALSE)),"")</f>
        <v/>
      </c>
      <c r="F507" s="137" t="str">
        <f t="array" ref="F507">IF(A507="","",VLOOKUP(A507,INDIRECT("CXC!A2:I"&amp;COUNTA(CXC!A:A)),9,FALSE))</f>
        <v/>
      </c>
      <c r="G507" s="137" t="str">
        <f t="array" ref="G507">IFERROR(IF(A507="","",VLOOKUP(A507,INDIRECT("HISTÓRICO COBROS!A3:F"&amp;COUNTA('HISTÓRICO COBROS'!A:A)),6,FALSE)),"")</f>
        <v/>
      </c>
      <c r="H507" s="138" t="str">
        <f t="shared" ref="H507:I507" si="508">IF(D507="","",D507+F507)</f>
        <v/>
      </c>
      <c r="I507" s="135" t="str">
        <f t="shared" si="508"/>
        <v/>
      </c>
      <c r="J507" s="140" t="str">
        <f t="shared" si="3"/>
        <v/>
      </c>
      <c r="K507" s="140" t="str">
        <f t="shared" si="4"/>
        <v/>
      </c>
    </row>
    <row r="508" ht="22.5" customHeight="1">
      <c r="A508" s="140"/>
      <c r="B508" s="135" t="str">
        <f t="array" ref="B508">IF(A508="","",VLOOKUP(A508,INDIRECT("CXC!A2:B"&amp;COUNTA(CXC!A:A)),2,FALSE))</f>
        <v/>
      </c>
      <c r="C508" s="136" t="str">
        <f t="array" ref="C508">IF(A508="","",VLOOKUP(A508,INDIRECT("CXC!A2:C"&amp;COUNTA(CXC!A:A)),3,FALSE))</f>
        <v/>
      </c>
      <c r="D508" s="137" t="str">
        <f t="array" ref="D508">IF(A508="","",VLOOKUP(A508,INDIRECT("CXC!A2:H"&amp;COUNTA(CXC!A:A)),8,FALSE))</f>
        <v/>
      </c>
      <c r="E508" s="137" t="str">
        <f t="array" ref="E508">IFERROR(IF(A508="","",VLOOKUP(A508,INDIRECT("HISTÓRICO COBROS!A3:E"&amp;COUNTA('HISTÓRICO COBROS'!A:A)),5,FALSE)),"")</f>
        <v/>
      </c>
      <c r="F508" s="137" t="str">
        <f t="array" ref="F508">IF(A508="","",VLOOKUP(A508,INDIRECT("CXC!A2:I"&amp;COUNTA(CXC!A:A)),9,FALSE))</f>
        <v/>
      </c>
      <c r="G508" s="137" t="str">
        <f t="array" ref="G508">IFERROR(IF(A508="","",VLOOKUP(A508,INDIRECT("HISTÓRICO COBROS!A3:F"&amp;COUNTA('HISTÓRICO COBROS'!A:A)),6,FALSE)),"")</f>
        <v/>
      </c>
      <c r="H508" s="138" t="str">
        <f t="shared" ref="H508:I508" si="509">IF(D508="","",D508+F508)</f>
        <v/>
      </c>
      <c r="I508" s="135" t="str">
        <f t="shared" si="509"/>
        <v/>
      </c>
      <c r="J508" s="140" t="str">
        <f t="shared" si="3"/>
        <v/>
      </c>
      <c r="K508" s="140" t="str">
        <f t="shared" si="4"/>
        <v/>
      </c>
    </row>
    <row r="509" ht="22.5" customHeight="1">
      <c r="A509" s="140"/>
      <c r="B509" s="135" t="str">
        <f t="array" ref="B509">IF(A509="","",VLOOKUP(A509,INDIRECT("CXC!A2:B"&amp;COUNTA(CXC!A:A)),2,FALSE))</f>
        <v/>
      </c>
      <c r="C509" s="136" t="str">
        <f t="array" ref="C509">IF(A509="","",VLOOKUP(A509,INDIRECT("CXC!A2:C"&amp;COUNTA(CXC!A:A)),3,FALSE))</f>
        <v/>
      </c>
      <c r="D509" s="137" t="str">
        <f t="array" ref="D509">IF(A509="","",VLOOKUP(A509,INDIRECT("CXC!A2:H"&amp;COUNTA(CXC!A:A)),8,FALSE))</f>
        <v/>
      </c>
      <c r="E509" s="137" t="str">
        <f t="array" ref="E509">IFERROR(IF(A509="","",VLOOKUP(A509,INDIRECT("HISTÓRICO COBROS!A3:E"&amp;COUNTA('HISTÓRICO COBROS'!A:A)),5,FALSE)),"")</f>
        <v/>
      </c>
      <c r="F509" s="137" t="str">
        <f t="array" ref="F509">IF(A509="","",VLOOKUP(A509,INDIRECT("CXC!A2:I"&amp;COUNTA(CXC!A:A)),9,FALSE))</f>
        <v/>
      </c>
      <c r="G509" s="137" t="str">
        <f t="array" ref="G509">IFERROR(IF(A509="","",VLOOKUP(A509,INDIRECT("HISTÓRICO COBROS!A3:F"&amp;COUNTA('HISTÓRICO COBROS'!A:A)),6,FALSE)),"")</f>
        <v/>
      </c>
      <c r="H509" s="138" t="str">
        <f t="shared" ref="H509:I509" si="510">IF(D509="","",D509+F509)</f>
        <v/>
      </c>
      <c r="I509" s="135" t="str">
        <f t="shared" si="510"/>
        <v/>
      </c>
      <c r="J509" s="140" t="str">
        <f t="shared" si="3"/>
        <v/>
      </c>
      <c r="K509" s="140" t="str">
        <f t="shared" si="4"/>
        <v/>
      </c>
    </row>
    <row r="510" ht="22.5" customHeight="1">
      <c r="A510" s="140"/>
      <c r="B510" s="135" t="str">
        <f t="array" ref="B510">IF(A510="","",VLOOKUP(A510,INDIRECT("CXC!A2:B"&amp;COUNTA(CXC!A:A)),2,FALSE))</f>
        <v/>
      </c>
      <c r="C510" s="136" t="str">
        <f t="array" ref="C510">IF(A510="","",VLOOKUP(A510,INDIRECT("CXC!A2:C"&amp;COUNTA(CXC!A:A)),3,FALSE))</f>
        <v/>
      </c>
      <c r="D510" s="137" t="str">
        <f t="array" ref="D510">IF(A510="","",VLOOKUP(A510,INDIRECT("CXC!A2:H"&amp;COUNTA(CXC!A:A)),8,FALSE))</f>
        <v/>
      </c>
      <c r="E510" s="137" t="str">
        <f t="array" ref="E510">IFERROR(IF(A510="","",VLOOKUP(A510,INDIRECT("HISTÓRICO COBROS!A3:E"&amp;COUNTA('HISTÓRICO COBROS'!A:A)),5,FALSE)),"")</f>
        <v/>
      </c>
      <c r="F510" s="137" t="str">
        <f t="array" ref="F510">IF(A510="","",VLOOKUP(A510,INDIRECT("CXC!A2:I"&amp;COUNTA(CXC!A:A)),9,FALSE))</f>
        <v/>
      </c>
      <c r="G510" s="137" t="str">
        <f t="array" ref="G510">IFERROR(IF(A510="","",VLOOKUP(A510,INDIRECT("HISTÓRICO COBROS!A3:F"&amp;COUNTA('HISTÓRICO COBROS'!A:A)),6,FALSE)),"")</f>
        <v/>
      </c>
      <c r="H510" s="138" t="str">
        <f t="shared" ref="H510:I510" si="511">IF(D510="","",D510+F510)</f>
        <v/>
      </c>
      <c r="I510" s="135" t="str">
        <f t="shared" si="511"/>
        <v/>
      </c>
      <c r="J510" s="140" t="str">
        <f t="shared" si="3"/>
        <v/>
      </c>
      <c r="K510" s="140" t="str">
        <f t="shared" si="4"/>
        <v/>
      </c>
    </row>
    <row r="511" ht="22.5" customHeight="1">
      <c r="A511" s="140"/>
      <c r="B511" s="135" t="str">
        <f t="array" ref="B511">IF(A511="","",VLOOKUP(A511,INDIRECT("CXC!A2:B"&amp;COUNTA(CXC!A:A)),2,FALSE))</f>
        <v/>
      </c>
      <c r="C511" s="136" t="str">
        <f t="array" ref="C511">IF(A511="","",VLOOKUP(A511,INDIRECT("CXC!A2:C"&amp;COUNTA(CXC!A:A)),3,FALSE))</f>
        <v/>
      </c>
      <c r="D511" s="137" t="str">
        <f t="array" ref="D511">IF(A511="","",VLOOKUP(A511,INDIRECT("CXC!A2:H"&amp;COUNTA(CXC!A:A)),8,FALSE))</f>
        <v/>
      </c>
      <c r="E511" s="137" t="str">
        <f t="array" ref="E511">IFERROR(IF(A511="","",VLOOKUP(A511,INDIRECT("HISTÓRICO COBROS!A3:E"&amp;COUNTA('HISTÓRICO COBROS'!A:A)),5,FALSE)),"")</f>
        <v/>
      </c>
      <c r="F511" s="137" t="str">
        <f t="array" ref="F511">IF(A511="","",VLOOKUP(A511,INDIRECT("CXC!A2:I"&amp;COUNTA(CXC!A:A)),9,FALSE))</f>
        <v/>
      </c>
      <c r="G511" s="137" t="str">
        <f t="array" ref="G511">IFERROR(IF(A511="","",VLOOKUP(A511,INDIRECT("HISTÓRICO COBROS!A3:F"&amp;COUNTA('HISTÓRICO COBROS'!A:A)),6,FALSE)),"")</f>
        <v/>
      </c>
      <c r="H511" s="138" t="str">
        <f t="shared" ref="H511:I511" si="512">IF(D511="","",D511+F511)</f>
        <v/>
      </c>
      <c r="I511" s="135" t="str">
        <f t="shared" si="512"/>
        <v/>
      </c>
      <c r="J511" s="140" t="str">
        <f t="shared" si="3"/>
        <v/>
      </c>
      <c r="K511" s="140" t="str">
        <f t="shared" si="4"/>
        <v/>
      </c>
    </row>
    <row r="512" ht="22.5" customHeight="1">
      <c r="A512" s="140"/>
      <c r="B512" s="135" t="str">
        <f t="array" ref="B512">IF(A512="","",VLOOKUP(A512,INDIRECT("CXC!A2:B"&amp;COUNTA(CXC!A:A)),2,FALSE))</f>
        <v/>
      </c>
      <c r="C512" s="136" t="str">
        <f t="array" ref="C512">IF(A512="","",VLOOKUP(A512,INDIRECT("CXC!A2:C"&amp;COUNTA(CXC!A:A)),3,FALSE))</f>
        <v/>
      </c>
      <c r="D512" s="137" t="str">
        <f t="array" ref="D512">IF(A512="","",VLOOKUP(A512,INDIRECT("CXC!A2:H"&amp;COUNTA(CXC!A:A)),8,FALSE))</f>
        <v/>
      </c>
      <c r="E512" s="137" t="str">
        <f t="array" ref="E512">IFERROR(IF(A512="","",VLOOKUP(A512,INDIRECT("HISTÓRICO COBROS!A3:E"&amp;COUNTA('HISTÓRICO COBROS'!A:A)),5,FALSE)),"")</f>
        <v/>
      </c>
      <c r="F512" s="137" t="str">
        <f t="array" ref="F512">IF(A512="","",VLOOKUP(A512,INDIRECT("CXC!A2:I"&amp;COUNTA(CXC!A:A)),9,FALSE))</f>
        <v/>
      </c>
      <c r="G512" s="137" t="str">
        <f t="array" ref="G512">IFERROR(IF(A512="","",VLOOKUP(A512,INDIRECT("HISTÓRICO COBROS!A3:F"&amp;COUNTA('HISTÓRICO COBROS'!A:A)),6,FALSE)),"")</f>
        <v/>
      </c>
      <c r="H512" s="138" t="str">
        <f t="shared" ref="H512:I512" si="513">IF(D512="","",D512+F512)</f>
        <v/>
      </c>
      <c r="I512" s="135" t="str">
        <f t="shared" si="513"/>
        <v/>
      </c>
      <c r="J512" s="140" t="str">
        <f t="shared" si="3"/>
        <v/>
      </c>
      <c r="K512" s="140" t="str">
        <f t="shared" si="4"/>
        <v/>
      </c>
    </row>
    <row r="513" ht="22.5" customHeight="1">
      <c r="A513" s="140"/>
      <c r="B513" s="135" t="str">
        <f t="array" ref="B513">IF(A513="","",VLOOKUP(A513,INDIRECT("CXC!A2:B"&amp;COUNTA(CXC!A:A)),2,FALSE))</f>
        <v/>
      </c>
      <c r="C513" s="136" t="str">
        <f t="array" ref="C513">IF(A513="","",VLOOKUP(A513,INDIRECT("CXC!A2:C"&amp;COUNTA(CXC!A:A)),3,FALSE))</f>
        <v/>
      </c>
      <c r="D513" s="137" t="str">
        <f t="array" ref="D513">IF(A513="","",VLOOKUP(A513,INDIRECT("CXC!A2:H"&amp;COUNTA(CXC!A:A)),8,FALSE))</f>
        <v/>
      </c>
      <c r="E513" s="137" t="str">
        <f t="array" ref="E513">IFERROR(IF(A513="","",VLOOKUP(A513,INDIRECT("HISTÓRICO COBROS!A3:E"&amp;COUNTA('HISTÓRICO COBROS'!A:A)),5,FALSE)),"")</f>
        <v/>
      </c>
      <c r="F513" s="137" t="str">
        <f t="array" ref="F513">IF(A513="","",VLOOKUP(A513,INDIRECT("CXC!A2:I"&amp;COUNTA(CXC!A:A)),9,FALSE))</f>
        <v/>
      </c>
      <c r="G513" s="137" t="str">
        <f t="array" ref="G513">IFERROR(IF(A513="","",VLOOKUP(A513,INDIRECT("HISTÓRICO COBROS!A3:F"&amp;COUNTA('HISTÓRICO COBROS'!A:A)),6,FALSE)),"")</f>
        <v/>
      </c>
      <c r="H513" s="138" t="str">
        <f t="shared" ref="H513:I513" si="514">IF(D513="","",D513+F513)</f>
        <v/>
      </c>
      <c r="I513" s="135" t="str">
        <f t="shared" si="514"/>
        <v/>
      </c>
      <c r="J513" s="140" t="str">
        <f t="shared" si="3"/>
        <v/>
      </c>
      <c r="K513" s="140" t="str">
        <f t="shared" si="4"/>
        <v/>
      </c>
    </row>
    <row r="514" ht="22.5" customHeight="1">
      <c r="A514" s="140"/>
      <c r="B514" s="135" t="str">
        <f t="array" ref="B514">IF(A514="","",VLOOKUP(A514,INDIRECT("CXC!A2:B"&amp;COUNTA(CXC!A:A)),2,FALSE))</f>
        <v/>
      </c>
      <c r="C514" s="136" t="str">
        <f t="array" ref="C514">IF(A514="","",VLOOKUP(A514,INDIRECT("CXC!A2:C"&amp;COUNTA(CXC!A:A)),3,FALSE))</f>
        <v/>
      </c>
      <c r="D514" s="137" t="str">
        <f t="array" ref="D514">IF(A514="","",VLOOKUP(A514,INDIRECT("CXC!A2:H"&amp;COUNTA(CXC!A:A)),8,FALSE))</f>
        <v/>
      </c>
      <c r="E514" s="137" t="str">
        <f t="array" ref="E514">IFERROR(IF(A514="","",VLOOKUP(A514,INDIRECT("HISTÓRICO COBROS!A3:E"&amp;COUNTA('HISTÓRICO COBROS'!A:A)),5,FALSE)),"")</f>
        <v/>
      </c>
      <c r="F514" s="137" t="str">
        <f t="array" ref="F514">IF(A514="","",VLOOKUP(A514,INDIRECT("CXC!A2:I"&amp;COUNTA(CXC!A:A)),9,FALSE))</f>
        <v/>
      </c>
      <c r="G514" s="137" t="str">
        <f t="array" ref="G514">IFERROR(IF(A514="","",VLOOKUP(A514,INDIRECT("HISTÓRICO COBROS!A3:F"&amp;COUNTA('HISTÓRICO COBROS'!A:A)),6,FALSE)),"")</f>
        <v/>
      </c>
      <c r="H514" s="138" t="str">
        <f t="shared" ref="H514:I514" si="515">IF(D514="","",D514+F514)</f>
        <v/>
      </c>
      <c r="I514" s="135" t="str">
        <f t="shared" si="515"/>
        <v/>
      </c>
      <c r="J514" s="140" t="str">
        <f t="shared" si="3"/>
        <v/>
      </c>
      <c r="K514" s="140" t="str">
        <f t="shared" si="4"/>
        <v/>
      </c>
    </row>
    <row r="515" ht="22.5" customHeight="1">
      <c r="A515" s="140"/>
      <c r="B515" s="135" t="str">
        <f t="array" ref="B515">IF(A515="","",VLOOKUP(A515,INDIRECT("CXC!A2:B"&amp;COUNTA(CXC!A:A)),2,FALSE))</f>
        <v/>
      </c>
      <c r="C515" s="136" t="str">
        <f t="array" ref="C515">IF(A515="","",VLOOKUP(A515,INDIRECT("CXC!A2:C"&amp;COUNTA(CXC!A:A)),3,FALSE))</f>
        <v/>
      </c>
      <c r="D515" s="137" t="str">
        <f t="array" ref="D515">IF(A515="","",VLOOKUP(A515,INDIRECT("CXC!A2:H"&amp;COUNTA(CXC!A:A)),8,FALSE))</f>
        <v/>
      </c>
      <c r="E515" s="137" t="str">
        <f t="array" ref="E515">IFERROR(IF(A515="","",VLOOKUP(A515,INDIRECT("HISTÓRICO COBROS!A3:E"&amp;COUNTA('HISTÓRICO COBROS'!A:A)),5,FALSE)),"")</f>
        <v/>
      </c>
      <c r="F515" s="137" t="str">
        <f t="array" ref="F515">IF(A515="","",VLOOKUP(A515,INDIRECT("CXC!A2:I"&amp;COUNTA(CXC!A:A)),9,FALSE))</f>
        <v/>
      </c>
      <c r="G515" s="137" t="str">
        <f t="array" ref="G515">IFERROR(IF(A515="","",VLOOKUP(A515,INDIRECT("HISTÓRICO COBROS!A3:F"&amp;COUNTA('HISTÓRICO COBROS'!A:A)),6,FALSE)),"")</f>
        <v/>
      </c>
      <c r="H515" s="138" t="str">
        <f t="shared" ref="H515:I515" si="516">IF(D515="","",D515+F515)</f>
        <v/>
      </c>
      <c r="I515" s="135" t="str">
        <f t="shared" si="516"/>
        <v/>
      </c>
      <c r="J515" s="140" t="str">
        <f t="shared" si="3"/>
        <v/>
      </c>
      <c r="K515" s="140" t="str">
        <f t="shared" si="4"/>
        <v/>
      </c>
    </row>
    <row r="516" ht="22.5" customHeight="1">
      <c r="A516" s="140"/>
      <c r="B516" s="135" t="str">
        <f t="array" ref="B516">IF(A516="","",VLOOKUP(A516,INDIRECT("CXC!A2:B"&amp;COUNTA(CXC!A:A)),2,FALSE))</f>
        <v/>
      </c>
      <c r="C516" s="136" t="str">
        <f t="array" ref="C516">IF(A516="","",VLOOKUP(A516,INDIRECT("CXC!A2:C"&amp;COUNTA(CXC!A:A)),3,FALSE))</f>
        <v/>
      </c>
      <c r="D516" s="137" t="str">
        <f t="array" ref="D516">IF(A516="","",VLOOKUP(A516,INDIRECT("CXC!A2:H"&amp;COUNTA(CXC!A:A)),8,FALSE))</f>
        <v/>
      </c>
      <c r="E516" s="137" t="str">
        <f t="array" ref="E516">IFERROR(IF(A516="","",VLOOKUP(A516,INDIRECT("HISTÓRICO COBROS!A3:E"&amp;COUNTA('HISTÓRICO COBROS'!A:A)),5,FALSE)),"")</f>
        <v/>
      </c>
      <c r="F516" s="137" t="str">
        <f t="array" ref="F516">IF(A516="","",VLOOKUP(A516,INDIRECT("CXC!A2:I"&amp;COUNTA(CXC!A:A)),9,FALSE))</f>
        <v/>
      </c>
      <c r="G516" s="137" t="str">
        <f t="array" ref="G516">IFERROR(IF(A516="","",VLOOKUP(A516,INDIRECT("HISTÓRICO COBROS!A3:F"&amp;COUNTA('HISTÓRICO COBROS'!A:A)),6,FALSE)),"")</f>
        <v/>
      </c>
      <c r="H516" s="138" t="str">
        <f t="shared" ref="H516:I516" si="517">IF(D516="","",D516+F516)</f>
        <v/>
      </c>
      <c r="I516" s="135" t="str">
        <f t="shared" si="517"/>
        <v/>
      </c>
      <c r="J516" s="140" t="str">
        <f t="shared" si="3"/>
        <v/>
      </c>
      <c r="K516" s="140" t="str">
        <f t="shared" si="4"/>
        <v/>
      </c>
    </row>
    <row r="517" ht="22.5" customHeight="1">
      <c r="A517" s="140"/>
      <c r="B517" s="135" t="str">
        <f t="array" ref="B517">IF(A517="","",VLOOKUP(A517,INDIRECT("CXC!A2:B"&amp;COUNTA(CXC!A:A)),2,FALSE))</f>
        <v/>
      </c>
      <c r="C517" s="136" t="str">
        <f t="array" ref="C517">IF(A517="","",VLOOKUP(A517,INDIRECT("CXC!A2:C"&amp;COUNTA(CXC!A:A)),3,FALSE))</f>
        <v/>
      </c>
      <c r="D517" s="137" t="str">
        <f t="array" ref="D517">IF(A517="","",VLOOKUP(A517,INDIRECT("CXC!A2:H"&amp;COUNTA(CXC!A:A)),8,FALSE))</f>
        <v/>
      </c>
      <c r="E517" s="137" t="str">
        <f t="array" ref="E517">IFERROR(IF(A517="","",VLOOKUP(A517,INDIRECT("HISTÓRICO COBROS!A3:E"&amp;COUNTA('HISTÓRICO COBROS'!A:A)),5,FALSE)),"")</f>
        <v/>
      </c>
      <c r="F517" s="137" t="str">
        <f t="array" ref="F517">IF(A517="","",VLOOKUP(A517,INDIRECT("CXC!A2:I"&amp;COUNTA(CXC!A:A)),9,FALSE))</f>
        <v/>
      </c>
      <c r="G517" s="137" t="str">
        <f t="array" ref="G517">IFERROR(IF(A517="","",VLOOKUP(A517,INDIRECT("HISTÓRICO COBROS!A3:F"&amp;COUNTA('HISTÓRICO COBROS'!A:A)),6,FALSE)),"")</f>
        <v/>
      </c>
      <c r="H517" s="138" t="str">
        <f t="shared" ref="H517:I517" si="518">IF(D517="","",D517+F517)</f>
        <v/>
      </c>
      <c r="I517" s="135" t="str">
        <f t="shared" si="518"/>
        <v/>
      </c>
      <c r="J517" s="140" t="str">
        <f t="shared" si="3"/>
        <v/>
      </c>
      <c r="K517" s="140" t="str">
        <f t="shared" si="4"/>
        <v/>
      </c>
    </row>
    <row r="518" ht="22.5" customHeight="1">
      <c r="A518" s="140"/>
      <c r="B518" s="135" t="str">
        <f t="array" ref="B518">IF(A518="","",VLOOKUP(A518,INDIRECT("CXC!A2:B"&amp;COUNTA(CXC!A:A)),2,FALSE))</f>
        <v/>
      </c>
      <c r="C518" s="136" t="str">
        <f t="array" ref="C518">IF(A518="","",VLOOKUP(A518,INDIRECT("CXC!A2:C"&amp;COUNTA(CXC!A:A)),3,FALSE))</f>
        <v/>
      </c>
      <c r="D518" s="137" t="str">
        <f t="array" ref="D518">IF(A518="","",VLOOKUP(A518,INDIRECT("CXC!A2:H"&amp;COUNTA(CXC!A:A)),8,FALSE))</f>
        <v/>
      </c>
      <c r="E518" s="137" t="str">
        <f t="array" ref="E518">IFERROR(IF(A518="","",VLOOKUP(A518,INDIRECT("HISTÓRICO COBROS!A3:E"&amp;COUNTA('HISTÓRICO COBROS'!A:A)),5,FALSE)),"")</f>
        <v/>
      </c>
      <c r="F518" s="137" t="str">
        <f t="array" ref="F518">IF(A518="","",VLOOKUP(A518,INDIRECT("CXC!A2:I"&amp;COUNTA(CXC!A:A)),9,FALSE))</f>
        <v/>
      </c>
      <c r="G518" s="137" t="str">
        <f t="array" ref="G518">IFERROR(IF(A518="","",VLOOKUP(A518,INDIRECT("HISTÓRICO COBROS!A3:F"&amp;COUNTA('HISTÓRICO COBROS'!A:A)),6,FALSE)),"")</f>
        <v/>
      </c>
      <c r="H518" s="138" t="str">
        <f t="shared" ref="H518:I518" si="519">IF(D518="","",D518+F518)</f>
        <v/>
      </c>
      <c r="I518" s="135" t="str">
        <f t="shared" si="519"/>
        <v/>
      </c>
      <c r="J518" s="140" t="str">
        <f t="shared" si="3"/>
        <v/>
      </c>
      <c r="K518" s="140" t="str">
        <f t="shared" si="4"/>
        <v/>
      </c>
    </row>
    <row r="519" ht="22.5" customHeight="1">
      <c r="A519" s="140"/>
      <c r="B519" s="135" t="str">
        <f t="array" ref="B519">IF(A519="","",VLOOKUP(A519,INDIRECT("CXC!A2:B"&amp;COUNTA(CXC!A:A)),2,FALSE))</f>
        <v/>
      </c>
      <c r="C519" s="136" t="str">
        <f t="array" ref="C519">IF(A519="","",VLOOKUP(A519,INDIRECT("CXC!A2:C"&amp;COUNTA(CXC!A:A)),3,FALSE))</f>
        <v/>
      </c>
      <c r="D519" s="137" t="str">
        <f t="array" ref="D519">IF(A519="","",VLOOKUP(A519,INDIRECT("CXC!A2:H"&amp;COUNTA(CXC!A:A)),8,FALSE))</f>
        <v/>
      </c>
      <c r="E519" s="137" t="str">
        <f t="array" ref="E519">IFERROR(IF(A519="","",VLOOKUP(A519,INDIRECT("HISTÓRICO COBROS!A3:E"&amp;COUNTA('HISTÓRICO COBROS'!A:A)),5,FALSE)),"")</f>
        <v/>
      </c>
      <c r="F519" s="137" t="str">
        <f t="array" ref="F519">IF(A519="","",VLOOKUP(A519,INDIRECT("CXC!A2:I"&amp;COUNTA(CXC!A:A)),9,FALSE))</f>
        <v/>
      </c>
      <c r="G519" s="137" t="str">
        <f t="array" ref="G519">IFERROR(IF(A519="","",VLOOKUP(A519,INDIRECT("HISTÓRICO COBROS!A3:F"&amp;COUNTA('HISTÓRICO COBROS'!A:A)),6,FALSE)),"")</f>
        <v/>
      </c>
      <c r="H519" s="138" t="str">
        <f t="shared" ref="H519:I519" si="520">IF(D519="","",D519+F519)</f>
        <v/>
      </c>
      <c r="I519" s="135" t="str">
        <f t="shared" si="520"/>
        <v/>
      </c>
      <c r="J519" s="140" t="str">
        <f t="shared" si="3"/>
        <v/>
      </c>
      <c r="K519" s="140" t="str">
        <f t="shared" si="4"/>
        <v/>
      </c>
    </row>
    <row r="520" ht="22.5" customHeight="1">
      <c r="A520" s="140"/>
      <c r="B520" s="135" t="str">
        <f t="array" ref="B520">IF(A520="","",VLOOKUP(A520,INDIRECT("CXC!A2:B"&amp;COUNTA(CXC!A:A)),2,FALSE))</f>
        <v/>
      </c>
      <c r="C520" s="136" t="str">
        <f t="array" ref="C520">IF(A520="","",VLOOKUP(A520,INDIRECT("CXC!A2:C"&amp;COUNTA(CXC!A:A)),3,FALSE))</f>
        <v/>
      </c>
      <c r="D520" s="137" t="str">
        <f t="array" ref="D520">IF(A520="","",VLOOKUP(A520,INDIRECT("CXC!A2:H"&amp;COUNTA(CXC!A:A)),8,FALSE))</f>
        <v/>
      </c>
      <c r="E520" s="137" t="str">
        <f t="array" ref="E520">IFERROR(IF(A520="","",VLOOKUP(A520,INDIRECT("HISTÓRICO COBROS!A3:E"&amp;COUNTA('HISTÓRICO COBROS'!A:A)),5,FALSE)),"")</f>
        <v/>
      </c>
      <c r="F520" s="137" t="str">
        <f t="array" ref="F520">IF(A520="","",VLOOKUP(A520,INDIRECT("CXC!A2:I"&amp;COUNTA(CXC!A:A)),9,FALSE))</f>
        <v/>
      </c>
      <c r="G520" s="137" t="str">
        <f t="array" ref="G520">IFERROR(IF(A520="","",VLOOKUP(A520,INDIRECT("HISTÓRICO COBROS!A3:F"&amp;COUNTA('HISTÓRICO COBROS'!A:A)),6,FALSE)),"")</f>
        <v/>
      </c>
      <c r="H520" s="138" t="str">
        <f t="shared" ref="H520:I520" si="521">IF(D520="","",D520+F520)</f>
        <v/>
      </c>
      <c r="I520" s="135" t="str">
        <f t="shared" si="521"/>
        <v/>
      </c>
      <c r="J520" s="140" t="str">
        <f t="shared" si="3"/>
        <v/>
      </c>
      <c r="K520" s="140" t="str">
        <f t="shared" si="4"/>
        <v/>
      </c>
    </row>
    <row r="521" ht="22.5" customHeight="1">
      <c r="A521" s="140"/>
      <c r="B521" s="135" t="str">
        <f t="array" ref="B521">IF(A521="","",VLOOKUP(A521,INDIRECT("CXC!A2:B"&amp;COUNTA(CXC!A:A)),2,FALSE))</f>
        <v/>
      </c>
      <c r="C521" s="136" t="str">
        <f t="array" ref="C521">IF(A521="","",VLOOKUP(A521,INDIRECT("CXC!A2:C"&amp;COUNTA(CXC!A:A)),3,FALSE))</f>
        <v/>
      </c>
      <c r="D521" s="137" t="str">
        <f t="array" ref="D521">IF(A521="","",VLOOKUP(A521,INDIRECT("CXC!A2:H"&amp;COUNTA(CXC!A:A)),8,FALSE))</f>
        <v/>
      </c>
      <c r="E521" s="137" t="str">
        <f t="array" ref="E521">IFERROR(IF(A521="","",VLOOKUP(A521,INDIRECT("HISTÓRICO COBROS!A3:E"&amp;COUNTA('HISTÓRICO COBROS'!A:A)),5,FALSE)),"")</f>
        <v/>
      </c>
      <c r="F521" s="137" t="str">
        <f t="array" ref="F521">IF(A521="","",VLOOKUP(A521,INDIRECT("CXC!A2:I"&amp;COUNTA(CXC!A:A)),9,FALSE))</f>
        <v/>
      </c>
      <c r="G521" s="137" t="str">
        <f t="array" ref="G521">IFERROR(IF(A521="","",VLOOKUP(A521,INDIRECT("HISTÓRICO COBROS!A3:F"&amp;COUNTA('HISTÓRICO COBROS'!A:A)),6,FALSE)),"")</f>
        <v/>
      </c>
      <c r="H521" s="138" t="str">
        <f t="shared" ref="H521:I521" si="522">IF(D521="","",D521+F521)</f>
        <v/>
      </c>
      <c r="I521" s="135" t="str">
        <f t="shared" si="522"/>
        <v/>
      </c>
      <c r="J521" s="140" t="str">
        <f t="shared" si="3"/>
        <v/>
      </c>
      <c r="K521" s="140" t="str">
        <f t="shared" si="4"/>
        <v/>
      </c>
    </row>
    <row r="522" ht="22.5" customHeight="1">
      <c r="A522" s="140"/>
      <c r="B522" s="135" t="str">
        <f t="array" ref="B522">IF(A522="","",VLOOKUP(A522,INDIRECT("CXC!A2:B"&amp;COUNTA(CXC!A:A)),2,FALSE))</f>
        <v/>
      </c>
      <c r="C522" s="136" t="str">
        <f t="array" ref="C522">IF(A522="","",VLOOKUP(A522,INDIRECT("CXC!A2:C"&amp;COUNTA(CXC!A:A)),3,FALSE))</f>
        <v/>
      </c>
      <c r="D522" s="137" t="str">
        <f t="array" ref="D522">IF(A522="","",VLOOKUP(A522,INDIRECT("CXC!A2:H"&amp;COUNTA(CXC!A:A)),8,FALSE))</f>
        <v/>
      </c>
      <c r="E522" s="137" t="str">
        <f t="array" ref="E522">IFERROR(IF(A522="","",VLOOKUP(A522,INDIRECT("HISTÓRICO COBROS!A3:E"&amp;COUNTA('HISTÓRICO COBROS'!A:A)),5,FALSE)),"")</f>
        <v/>
      </c>
      <c r="F522" s="137" t="str">
        <f t="array" ref="F522">IF(A522="","",VLOOKUP(A522,INDIRECT("CXC!A2:I"&amp;COUNTA(CXC!A:A)),9,FALSE))</f>
        <v/>
      </c>
      <c r="G522" s="137" t="str">
        <f t="array" ref="G522">IFERROR(IF(A522="","",VLOOKUP(A522,INDIRECT("HISTÓRICO COBROS!A3:F"&amp;COUNTA('HISTÓRICO COBROS'!A:A)),6,FALSE)),"")</f>
        <v/>
      </c>
      <c r="H522" s="138" t="str">
        <f t="shared" ref="H522:I522" si="523">IF(D522="","",D522+F522)</f>
        <v/>
      </c>
      <c r="I522" s="135" t="str">
        <f t="shared" si="523"/>
        <v/>
      </c>
      <c r="J522" s="140" t="str">
        <f t="shared" si="3"/>
        <v/>
      </c>
      <c r="K522" s="140" t="str">
        <f t="shared" si="4"/>
        <v/>
      </c>
    </row>
    <row r="523" ht="22.5" customHeight="1">
      <c r="A523" s="140"/>
      <c r="B523" s="135" t="str">
        <f t="array" ref="B523">IF(A523="","",VLOOKUP(A523,INDIRECT("CXC!A2:B"&amp;COUNTA(CXC!A:A)),2,FALSE))</f>
        <v/>
      </c>
      <c r="C523" s="136" t="str">
        <f t="array" ref="C523">IF(A523="","",VLOOKUP(A523,INDIRECT("CXC!A2:C"&amp;COUNTA(CXC!A:A)),3,FALSE))</f>
        <v/>
      </c>
      <c r="D523" s="137" t="str">
        <f t="array" ref="D523">IF(A523="","",VLOOKUP(A523,INDIRECT("CXC!A2:H"&amp;COUNTA(CXC!A:A)),8,FALSE))</f>
        <v/>
      </c>
      <c r="E523" s="137" t="str">
        <f t="array" ref="E523">IFERROR(IF(A523="","",VLOOKUP(A523,INDIRECT("HISTÓRICO COBROS!A3:E"&amp;COUNTA('HISTÓRICO COBROS'!A:A)),5,FALSE)),"")</f>
        <v/>
      </c>
      <c r="F523" s="137" t="str">
        <f t="array" ref="F523">IF(A523="","",VLOOKUP(A523,INDIRECT("CXC!A2:I"&amp;COUNTA(CXC!A:A)),9,FALSE))</f>
        <v/>
      </c>
      <c r="G523" s="137" t="str">
        <f t="array" ref="G523">IFERROR(IF(A523="","",VLOOKUP(A523,INDIRECT("HISTÓRICO COBROS!A3:F"&amp;COUNTA('HISTÓRICO COBROS'!A:A)),6,FALSE)),"")</f>
        <v/>
      </c>
      <c r="H523" s="138" t="str">
        <f t="shared" ref="H523:I523" si="524">IF(D523="","",D523+F523)</f>
        <v/>
      </c>
      <c r="I523" s="135" t="str">
        <f t="shared" si="524"/>
        <v/>
      </c>
      <c r="J523" s="140" t="str">
        <f t="shared" si="3"/>
        <v/>
      </c>
      <c r="K523" s="140" t="str">
        <f t="shared" si="4"/>
        <v/>
      </c>
    </row>
    <row r="524" ht="22.5" customHeight="1">
      <c r="A524" s="140"/>
      <c r="B524" s="135" t="str">
        <f t="array" ref="B524">IF(A524="","",VLOOKUP(A524,INDIRECT("CXC!A2:B"&amp;COUNTA(CXC!A:A)),2,FALSE))</f>
        <v/>
      </c>
      <c r="C524" s="136" t="str">
        <f t="array" ref="C524">IF(A524="","",VLOOKUP(A524,INDIRECT("CXC!A2:C"&amp;COUNTA(CXC!A:A)),3,FALSE))</f>
        <v/>
      </c>
      <c r="D524" s="137" t="str">
        <f t="array" ref="D524">IF(A524="","",VLOOKUP(A524,INDIRECT("CXC!A2:H"&amp;COUNTA(CXC!A:A)),8,FALSE))</f>
        <v/>
      </c>
      <c r="E524" s="137" t="str">
        <f t="array" ref="E524">IFERROR(IF(A524="","",VLOOKUP(A524,INDIRECT("HISTÓRICO COBROS!A3:E"&amp;COUNTA('HISTÓRICO COBROS'!A:A)),5,FALSE)),"")</f>
        <v/>
      </c>
      <c r="F524" s="137" t="str">
        <f t="array" ref="F524">IF(A524="","",VLOOKUP(A524,INDIRECT("CXC!A2:I"&amp;COUNTA(CXC!A:A)),9,FALSE))</f>
        <v/>
      </c>
      <c r="G524" s="137" t="str">
        <f t="array" ref="G524">IFERROR(IF(A524="","",VLOOKUP(A524,INDIRECT("HISTÓRICO COBROS!A3:F"&amp;COUNTA('HISTÓRICO COBROS'!A:A)),6,FALSE)),"")</f>
        <v/>
      </c>
      <c r="H524" s="138" t="str">
        <f t="shared" ref="H524:I524" si="525">IF(D524="","",D524+F524)</f>
        <v/>
      </c>
      <c r="I524" s="135" t="str">
        <f t="shared" si="525"/>
        <v/>
      </c>
      <c r="J524" s="140" t="str">
        <f t="shared" si="3"/>
        <v/>
      </c>
      <c r="K524" s="140" t="str">
        <f t="shared" si="4"/>
        <v/>
      </c>
    </row>
    <row r="525" ht="22.5" customHeight="1">
      <c r="A525" s="140"/>
      <c r="B525" s="135" t="str">
        <f t="array" ref="B525">IF(A525="","",VLOOKUP(A525,INDIRECT("CXC!A2:B"&amp;COUNTA(CXC!A:A)),2,FALSE))</f>
        <v/>
      </c>
      <c r="C525" s="136" t="str">
        <f t="array" ref="C525">IF(A525="","",VLOOKUP(A525,INDIRECT("CXC!A2:C"&amp;COUNTA(CXC!A:A)),3,FALSE))</f>
        <v/>
      </c>
      <c r="D525" s="137" t="str">
        <f t="array" ref="D525">IF(A525="","",VLOOKUP(A525,INDIRECT("CXC!A2:H"&amp;COUNTA(CXC!A:A)),8,FALSE))</f>
        <v/>
      </c>
      <c r="E525" s="137" t="str">
        <f t="array" ref="E525">IFERROR(IF(A525="","",VLOOKUP(A525,INDIRECT("HISTÓRICO COBROS!A3:E"&amp;COUNTA('HISTÓRICO COBROS'!A:A)),5,FALSE)),"")</f>
        <v/>
      </c>
      <c r="F525" s="137" t="str">
        <f t="array" ref="F525">IF(A525="","",VLOOKUP(A525,INDIRECT("CXC!A2:I"&amp;COUNTA(CXC!A:A)),9,FALSE))</f>
        <v/>
      </c>
      <c r="G525" s="137" t="str">
        <f t="array" ref="G525">IFERROR(IF(A525="","",VLOOKUP(A525,INDIRECT("HISTÓRICO COBROS!A3:F"&amp;COUNTA('HISTÓRICO COBROS'!A:A)),6,FALSE)),"")</f>
        <v/>
      </c>
      <c r="H525" s="138" t="str">
        <f t="shared" ref="H525:I525" si="526">IF(D525="","",D525+F525)</f>
        <v/>
      </c>
      <c r="I525" s="135" t="str">
        <f t="shared" si="526"/>
        <v/>
      </c>
      <c r="J525" s="140" t="str">
        <f t="shared" si="3"/>
        <v/>
      </c>
      <c r="K525" s="140" t="str">
        <f t="shared" si="4"/>
        <v/>
      </c>
    </row>
    <row r="526" ht="22.5" customHeight="1">
      <c r="A526" s="140"/>
      <c r="B526" s="135" t="str">
        <f t="array" ref="B526">IF(A526="","",VLOOKUP(A526,INDIRECT("CXC!A2:B"&amp;COUNTA(CXC!A:A)),2,FALSE))</f>
        <v/>
      </c>
      <c r="C526" s="136" t="str">
        <f t="array" ref="C526">IF(A526="","",VLOOKUP(A526,INDIRECT("CXC!A2:C"&amp;COUNTA(CXC!A:A)),3,FALSE))</f>
        <v/>
      </c>
      <c r="D526" s="137" t="str">
        <f t="array" ref="D526">IF(A526="","",VLOOKUP(A526,INDIRECT("CXC!A2:H"&amp;COUNTA(CXC!A:A)),8,FALSE))</f>
        <v/>
      </c>
      <c r="E526" s="137" t="str">
        <f t="array" ref="E526">IFERROR(IF(A526="","",VLOOKUP(A526,INDIRECT("HISTÓRICO COBROS!A3:E"&amp;COUNTA('HISTÓRICO COBROS'!A:A)),5,FALSE)),"")</f>
        <v/>
      </c>
      <c r="F526" s="137" t="str">
        <f t="array" ref="F526">IF(A526="","",VLOOKUP(A526,INDIRECT("CXC!A2:I"&amp;COUNTA(CXC!A:A)),9,FALSE))</f>
        <v/>
      </c>
      <c r="G526" s="137" t="str">
        <f t="array" ref="G526">IFERROR(IF(A526="","",VLOOKUP(A526,INDIRECT("HISTÓRICO COBROS!A3:F"&amp;COUNTA('HISTÓRICO COBROS'!A:A)),6,FALSE)),"")</f>
        <v/>
      </c>
      <c r="H526" s="138" t="str">
        <f t="shared" ref="H526:I526" si="527">IF(D526="","",D526+F526)</f>
        <v/>
      </c>
      <c r="I526" s="135" t="str">
        <f t="shared" si="527"/>
        <v/>
      </c>
      <c r="J526" s="140" t="str">
        <f t="shared" si="3"/>
        <v/>
      </c>
      <c r="K526" s="140" t="str">
        <f t="shared" si="4"/>
        <v/>
      </c>
    </row>
    <row r="527" ht="22.5" customHeight="1">
      <c r="A527" s="140"/>
      <c r="B527" s="135" t="str">
        <f t="array" ref="B527">IF(A527="","",VLOOKUP(A527,INDIRECT("CXC!A2:B"&amp;COUNTA(CXC!A:A)),2,FALSE))</f>
        <v/>
      </c>
      <c r="C527" s="136" t="str">
        <f t="array" ref="C527">IF(A527="","",VLOOKUP(A527,INDIRECT("CXC!A2:C"&amp;COUNTA(CXC!A:A)),3,FALSE))</f>
        <v/>
      </c>
      <c r="D527" s="137" t="str">
        <f t="array" ref="D527">IF(A527="","",VLOOKUP(A527,INDIRECT("CXC!A2:H"&amp;COUNTA(CXC!A:A)),8,FALSE))</f>
        <v/>
      </c>
      <c r="E527" s="137" t="str">
        <f t="array" ref="E527">IFERROR(IF(A527="","",VLOOKUP(A527,INDIRECT("HISTÓRICO COBROS!A3:E"&amp;COUNTA('HISTÓRICO COBROS'!A:A)),5,FALSE)),"")</f>
        <v/>
      </c>
      <c r="F527" s="137" t="str">
        <f t="array" ref="F527">IF(A527="","",VLOOKUP(A527,INDIRECT("CXC!A2:I"&amp;COUNTA(CXC!A:A)),9,FALSE))</f>
        <v/>
      </c>
      <c r="G527" s="137" t="str">
        <f t="array" ref="G527">IFERROR(IF(A527="","",VLOOKUP(A527,INDIRECT("HISTÓRICO COBROS!A3:F"&amp;COUNTA('HISTÓRICO COBROS'!A:A)),6,FALSE)),"")</f>
        <v/>
      </c>
      <c r="H527" s="138" t="str">
        <f t="shared" ref="H527:I527" si="528">IF(D527="","",D527+F527)</f>
        <v/>
      </c>
      <c r="I527" s="135" t="str">
        <f t="shared" si="528"/>
        <v/>
      </c>
      <c r="J527" s="140" t="str">
        <f t="shared" si="3"/>
        <v/>
      </c>
      <c r="K527" s="140" t="str">
        <f t="shared" si="4"/>
        <v/>
      </c>
    </row>
    <row r="528" ht="22.5" customHeight="1">
      <c r="A528" s="140"/>
      <c r="B528" s="135" t="str">
        <f t="array" ref="B528">IF(A528="","",VLOOKUP(A528,INDIRECT("CXC!A2:B"&amp;COUNTA(CXC!A:A)),2,FALSE))</f>
        <v/>
      </c>
      <c r="C528" s="136" t="str">
        <f t="array" ref="C528">IF(A528="","",VLOOKUP(A528,INDIRECT("CXC!A2:C"&amp;COUNTA(CXC!A:A)),3,FALSE))</f>
        <v/>
      </c>
      <c r="D528" s="137" t="str">
        <f t="array" ref="D528">IF(A528="","",VLOOKUP(A528,INDIRECT("CXC!A2:H"&amp;COUNTA(CXC!A:A)),8,FALSE))</f>
        <v/>
      </c>
      <c r="E528" s="137" t="str">
        <f t="array" ref="E528">IFERROR(IF(A528="","",VLOOKUP(A528,INDIRECT("HISTÓRICO COBROS!A3:E"&amp;COUNTA('HISTÓRICO COBROS'!A:A)),5,FALSE)),"")</f>
        <v/>
      </c>
      <c r="F528" s="137" t="str">
        <f t="array" ref="F528">IF(A528="","",VLOOKUP(A528,INDIRECT("CXC!A2:I"&amp;COUNTA(CXC!A:A)),9,FALSE))</f>
        <v/>
      </c>
      <c r="G528" s="137" t="str">
        <f t="array" ref="G528">IFERROR(IF(A528="","",VLOOKUP(A528,INDIRECT("HISTÓRICO COBROS!A3:F"&amp;COUNTA('HISTÓRICO COBROS'!A:A)),6,FALSE)),"")</f>
        <v/>
      </c>
      <c r="H528" s="138" t="str">
        <f t="shared" ref="H528:I528" si="529">IF(D528="","",D528+F528)</f>
        <v/>
      </c>
      <c r="I528" s="135" t="str">
        <f t="shared" si="529"/>
        <v/>
      </c>
      <c r="J528" s="140" t="str">
        <f t="shared" si="3"/>
        <v/>
      </c>
      <c r="K528" s="140" t="str">
        <f t="shared" si="4"/>
        <v/>
      </c>
    </row>
    <row r="529" ht="22.5" customHeight="1">
      <c r="A529" s="140"/>
      <c r="B529" s="135" t="str">
        <f t="array" ref="B529">IF(A529="","",VLOOKUP(A529,INDIRECT("CXC!A2:B"&amp;COUNTA(CXC!A:A)),2,FALSE))</f>
        <v/>
      </c>
      <c r="C529" s="136" t="str">
        <f t="array" ref="C529">IF(A529="","",VLOOKUP(A529,INDIRECT("CXC!A2:C"&amp;COUNTA(CXC!A:A)),3,FALSE))</f>
        <v/>
      </c>
      <c r="D529" s="137" t="str">
        <f t="array" ref="D529">IF(A529="","",VLOOKUP(A529,INDIRECT("CXC!A2:H"&amp;COUNTA(CXC!A:A)),8,FALSE))</f>
        <v/>
      </c>
      <c r="E529" s="137" t="str">
        <f t="array" ref="E529">IFERROR(IF(A529="","",VLOOKUP(A529,INDIRECT("HISTÓRICO COBROS!A3:E"&amp;COUNTA('HISTÓRICO COBROS'!A:A)),5,FALSE)),"")</f>
        <v/>
      </c>
      <c r="F529" s="137" t="str">
        <f t="array" ref="F529">IF(A529="","",VLOOKUP(A529,INDIRECT("CXC!A2:I"&amp;COUNTA(CXC!A:A)),9,FALSE))</f>
        <v/>
      </c>
      <c r="G529" s="137" t="str">
        <f t="array" ref="G529">IFERROR(IF(A529="","",VLOOKUP(A529,INDIRECT("HISTÓRICO COBROS!A3:F"&amp;COUNTA('HISTÓRICO COBROS'!A:A)),6,FALSE)),"")</f>
        <v/>
      </c>
      <c r="H529" s="138" t="str">
        <f t="shared" ref="H529:I529" si="530">IF(D529="","",D529+F529)</f>
        <v/>
      </c>
      <c r="I529" s="135" t="str">
        <f t="shared" si="530"/>
        <v/>
      </c>
      <c r="J529" s="140" t="str">
        <f t="shared" si="3"/>
        <v/>
      </c>
      <c r="K529" s="140" t="str">
        <f t="shared" si="4"/>
        <v/>
      </c>
    </row>
    <row r="530" ht="22.5" customHeight="1">
      <c r="A530" s="140"/>
      <c r="B530" s="135" t="str">
        <f t="array" ref="B530">IF(A530="","",VLOOKUP(A530,INDIRECT("CXC!A2:B"&amp;COUNTA(CXC!A:A)),2,FALSE))</f>
        <v/>
      </c>
      <c r="C530" s="136" t="str">
        <f t="array" ref="C530">IF(A530="","",VLOOKUP(A530,INDIRECT("CXC!A2:C"&amp;COUNTA(CXC!A:A)),3,FALSE))</f>
        <v/>
      </c>
      <c r="D530" s="137" t="str">
        <f t="array" ref="D530">IF(A530="","",VLOOKUP(A530,INDIRECT("CXC!A2:H"&amp;COUNTA(CXC!A:A)),8,FALSE))</f>
        <v/>
      </c>
      <c r="E530" s="137" t="str">
        <f t="array" ref="E530">IFERROR(IF(A530="","",VLOOKUP(A530,INDIRECT("HISTÓRICO COBROS!A3:E"&amp;COUNTA('HISTÓRICO COBROS'!A:A)),5,FALSE)),"")</f>
        <v/>
      </c>
      <c r="F530" s="137" t="str">
        <f t="array" ref="F530">IF(A530="","",VLOOKUP(A530,INDIRECT("CXC!A2:I"&amp;COUNTA(CXC!A:A)),9,FALSE))</f>
        <v/>
      </c>
      <c r="G530" s="137" t="str">
        <f t="array" ref="G530">IFERROR(IF(A530="","",VLOOKUP(A530,INDIRECT("HISTÓRICO COBROS!A3:F"&amp;COUNTA('HISTÓRICO COBROS'!A:A)),6,FALSE)),"")</f>
        <v/>
      </c>
      <c r="H530" s="138" t="str">
        <f t="shared" ref="H530:I530" si="531">IF(D530="","",D530+F530)</f>
        <v/>
      </c>
      <c r="I530" s="135" t="str">
        <f t="shared" si="531"/>
        <v/>
      </c>
      <c r="J530" s="140" t="str">
        <f t="shared" si="3"/>
        <v/>
      </c>
      <c r="K530" s="140" t="str">
        <f t="shared" si="4"/>
        <v/>
      </c>
    </row>
    <row r="531" ht="22.5" customHeight="1">
      <c r="A531" s="140"/>
      <c r="B531" s="135" t="str">
        <f t="array" ref="B531">IF(A531="","",VLOOKUP(A531,INDIRECT("CXC!A2:B"&amp;COUNTA(CXC!A:A)),2,FALSE))</f>
        <v/>
      </c>
      <c r="C531" s="136" t="str">
        <f t="array" ref="C531">IF(A531="","",VLOOKUP(A531,INDIRECT("CXC!A2:C"&amp;COUNTA(CXC!A:A)),3,FALSE))</f>
        <v/>
      </c>
      <c r="D531" s="137" t="str">
        <f t="array" ref="D531">IF(A531="","",VLOOKUP(A531,INDIRECT("CXC!A2:H"&amp;COUNTA(CXC!A:A)),8,FALSE))</f>
        <v/>
      </c>
      <c r="E531" s="137" t="str">
        <f t="array" ref="E531">IFERROR(IF(A531="","",VLOOKUP(A531,INDIRECT("HISTÓRICO COBROS!A3:E"&amp;COUNTA('HISTÓRICO COBROS'!A:A)),5,FALSE)),"")</f>
        <v/>
      </c>
      <c r="F531" s="137" t="str">
        <f t="array" ref="F531">IF(A531="","",VLOOKUP(A531,INDIRECT("CXC!A2:I"&amp;COUNTA(CXC!A:A)),9,FALSE))</f>
        <v/>
      </c>
      <c r="G531" s="137" t="str">
        <f t="array" ref="G531">IFERROR(IF(A531="","",VLOOKUP(A531,INDIRECT("HISTÓRICO COBROS!A3:F"&amp;COUNTA('HISTÓRICO COBROS'!A:A)),6,FALSE)),"")</f>
        <v/>
      </c>
      <c r="H531" s="138" t="str">
        <f t="shared" ref="H531:I531" si="532">IF(D531="","",D531+F531)</f>
        <v/>
      </c>
      <c r="I531" s="135" t="str">
        <f t="shared" si="532"/>
        <v/>
      </c>
      <c r="J531" s="140" t="str">
        <f t="shared" si="3"/>
        <v/>
      </c>
      <c r="K531" s="140" t="str">
        <f t="shared" si="4"/>
        <v/>
      </c>
    </row>
    <row r="532" ht="22.5" customHeight="1">
      <c r="A532" s="140"/>
      <c r="B532" s="135" t="str">
        <f t="array" ref="B532">IF(A532="","",VLOOKUP(A532,INDIRECT("CXC!A2:B"&amp;COUNTA(CXC!A:A)),2,FALSE))</f>
        <v/>
      </c>
      <c r="C532" s="136" t="str">
        <f t="array" ref="C532">IF(A532="","",VLOOKUP(A532,INDIRECT("CXC!A2:C"&amp;COUNTA(CXC!A:A)),3,FALSE))</f>
        <v/>
      </c>
      <c r="D532" s="137" t="str">
        <f t="array" ref="D532">IF(A532="","",VLOOKUP(A532,INDIRECT("CXC!A2:H"&amp;COUNTA(CXC!A:A)),8,FALSE))</f>
        <v/>
      </c>
      <c r="E532" s="137" t="str">
        <f t="array" ref="E532">IFERROR(IF(A532="","",VLOOKUP(A532,INDIRECT("HISTÓRICO COBROS!A3:E"&amp;COUNTA('HISTÓRICO COBROS'!A:A)),5,FALSE)),"")</f>
        <v/>
      </c>
      <c r="F532" s="137" t="str">
        <f t="array" ref="F532">IF(A532="","",VLOOKUP(A532,INDIRECT("CXC!A2:I"&amp;COUNTA(CXC!A:A)),9,FALSE))</f>
        <v/>
      </c>
      <c r="G532" s="137" t="str">
        <f t="array" ref="G532">IFERROR(IF(A532="","",VLOOKUP(A532,INDIRECT("HISTÓRICO COBROS!A3:F"&amp;COUNTA('HISTÓRICO COBROS'!A:A)),6,FALSE)),"")</f>
        <v/>
      </c>
      <c r="H532" s="138" t="str">
        <f t="shared" ref="H532:I532" si="533">IF(D532="","",D532+F532)</f>
        <v/>
      </c>
      <c r="I532" s="135" t="str">
        <f t="shared" si="533"/>
        <v/>
      </c>
      <c r="J532" s="140" t="str">
        <f t="shared" si="3"/>
        <v/>
      </c>
      <c r="K532" s="140" t="str">
        <f t="shared" si="4"/>
        <v/>
      </c>
    </row>
    <row r="533" ht="22.5" customHeight="1">
      <c r="A533" s="140"/>
      <c r="B533" s="135" t="str">
        <f t="array" ref="B533">IF(A533="","",VLOOKUP(A533,INDIRECT("CXC!A2:B"&amp;COUNTA(CXC!A:A)),2,FALSE))</f>
        <v/>
      </c>
      <c r="C533" s="136" t="str">
        <f t="array" ref="C533">IF(A533="","",VLOOKUP(A533,INDIRECT("CXC!A2:C"&amp;COUNTA(CXC!A:A)),3,FALSE))</f>
        <v/>
      </c>
      <c r="D533" s="137" t="str">
        <f t="array" ref="D533">IF(A533="","",VLOOKUP(A533,INDIRECT("CXC!A2:H"&amp;COUNTA(CXC!A:A)),8,FALSE))</f>
        <v/>
      </c>
      <c r="E533" s="137" t="str">
        <f t="array" ref="E533">IFERROR(IF(A533="","",VLOOKUP(A533,INDIRECT("HISTÓRICO COBROS!A3:E"&amp;COUNTA('HISTÓRICO COBROS'!A:A)),5,FALSE)),"")</f>
        <v/>
      </c>
      <c r="F533" s="137" t="str">
        <f t="array" ref="F533">IF(A533="","",VLOOKUP(A533,INDIRECT("CXC!A2:I"&amp;COUNTA(CXC!A:A)),9,FALSE))</f>
        <v/>
      </c>
      <c r="G533" s="137" t="str">
        <f t="array" ref="G533">IFERROR(IF(A533="","",VLOOKUP(A533,INDIRECT("HISTÓRICO COBROS!A3:F"&amp;COUNTA('HISTÓRICO COBROS'!A:A)),6,FALSE)),"")</f>
        <v/>
      </c>
      <c r="H533" s="138" t="str">
        <f t="shared" ref="H533:I533" si="534">IF(D533="","",D533+F533)</f>
        <v/>
      </c>
      <c r="I533" s="135" t="str">
        <f t="shared" si="534"/>
        <v/>
      </c>
      <c r="J533" s="140" t="str">
        <f t="shared" si="3"/>
        <v/>
      </c>
      <c r="K533" s="140" t="str">
        <f t="shared" si="4"/>
        <v/>
      </c>
    </row>
    <row r="534" ht="22.5" customHeight="1">
      <c r="A534" s="140"/>
      <c r="B534" s="135" t="str">
        <f t="array" ref="B534">IF(A534="","",VLOOKUP(A534,INDIRECT("CXC!A2:B"&amp;COUNTA(CXC!A:A)),2,FALSE))</f>
        <v/>
      </c>
      <c r="C534" s="136" t="str">
        <f t="array" ref="C534">IF(A534="","",VLOOKUP(A534,INDIRECT("CXC!A2:C"&amp;COUNTA(CXC!A:A)),3,FALSE))</f>
        <v/>
      </c>
      <c r="D534" s="137" t="str">
        <f t="array" ref="D534">IF(A534="","",VLOOKUP(A534,INDIRECT("CXC!A2:H"&amp;COUNTA(CXC!A:A)),8,FALSE))</f>
        <v/>
      </c>
      <c r="E534" s="137" t="str">
        <f t="array" ref="E534">IFERROR(IF(A534="","",VLOOKUP(A534,INDIRECT("HISTÓRICO COBROS!A3:E"&amp;COUNTA('HISTÓRICO COBROS'!A:A)),5,FALSE)),"")</f>
        <v/>
      </c>
      <c r="F534" s="137" t="str">
        <f t="array" ref="F534">IF(A534="","",VLOOKUP(A534,INDIRECT("CXC!A2:I"&amp;COUNTA(CXC!A:A)),9,FALSE))</f>
        <v/>
      </c>
      <c r="G534" s="137" t="str">
        <f t="array" ref="G534">IFERROR(IF(A534="","",VLOOKUP(A534,INDIRECT("HISTÓRICO COBROS!A3:F"&amp;COUNTA('HISTÓRICO COBROS'!A:A)),6,FALSE)),"")</f>
        <v/>
      </c>
      <c r="H534" s="138" t="str">
        <f t="shared" ref="H534:I534" si="535">IF(D534="","",D534+F534)</f>
        <v/>
      </c>
      <c r="I534" s="135" t="str">
        <f t="shared" si="535"/>
        <v/>
      </c>
      <c r="J534" s="140" t="str">
        <f t="shared" si="3"/>
        <v/>
      </c>
      <c r="K534" s="140" t="str">
        <f t="shared" si="4"/>
        <v/>
      </c>
    </row>
    <row r="535" ht="22.5" customHeight="1">
      <c r="A535" s="140"/>
      <c r="B535" s="135" t="str">
        <f t="array" ref="B535">IF(A535="","",VLOOKUP(A535,INDIRECT("CXC!A2:B"&amp;COUNTA(CXC!A:A)),2,FALSE))</f>
        <v/>
      </c>
      <c r="C535" s="136" t="str">
        <f t="array" ref="C535">IF(A535="","",VLOOKUP(A535,INDIRECT("CXC!A2:C"&amp;COUNTA(CXC!A:A)),3,FALSE))</f>
        <v/>
      </c>
      <c r="D535" s="137" t="str">
        <f t="array" ref="D535">IF(A535="","",VLOOKUP(A535,INDIRECT("CXC!A2:H"&amp;COUNTA(CXC!A:A)),8,FALSE))</f>
        <v/>
      </c>
      <c r="E535" s="137" t="str">
        <f t="array" ref="E535">IFERROR(IF(A535="","",VLOOKUP(A535,INDIRECT("HISTÓRICO COBROS!A3:E"&amp;COUNTA('HISTÓRICO COBROS'!A:A)),5,FALSE)),"")</f>
        <v/>
      </c>
      <c r="F535" s="137" t="str">
        <f t="array" ref="F535">IF(A535="","",VLOOKUP(A535,INDIRECT("CXC!A2:I"&amp;COUNTA(CXC!A:A)),9,FALSE))</f>
        <v/>
      </c>
      <c r="G535" s="137" t="str">
        <f t="array" ref="G535">IFERROR(IF(A535="","",VLOOKUP(A535,INDIRECT("HISTÓRICO COBROS!A3:F"&amp;COUNTA('HISTÓRICO COBROS'!A:A)),6,FALSE)),"")</f>
        <v/>
      </c>
      <c r="H535" s="138" t="str">
        <f t="shared" ref="H535:I535" si="536">IF(D535="","",D535+F535)</f>
        <v/>
      </c>
      <c r="I535" s="135" t="str">
        <f t="shared" si="536"/>
        <v/>
      </c>
      <c r="J535" s="140" t="str">
        <f t="shared" si="3"/>
        <v/>
      </c>
      <c r="K535" s="140" t="str">
        <f t="shared" si="4"/>
        <v/>
      </c>
    </row>
    <row r="536" ht="22.5" customHeight="1">
      <c r="A536" s="140"/>
      <c r="B536" s="135" t="str">
        <f t="array" ref="B536">IF(A536="","",VLOOKUP(A536,INDIRECT("CXC!A2:B"&amp;COUNTA(CXC!A:A)),2,FALSE))</f>
        <v/>
      </c>
      <c r="C536" s="136" t="str">
        <f t="array" ref="C536">IF(A536="","",VLOOKUP(A536,INDIRECT("CXC!A2:C"&amp;COUNTA(CXC!A:A)),3,FALSE))</f>
        <v/>
      </c>
      <c r="D536" s="137" t="str">
        <f t="array" ref="D536">IF(A536="","",VLOOKUP(A536,INDIRECT("CXC!A2:H"&amp;COUNTA(CXC!A:A)),8,FALSE))</f>
        <v/>
      </c>
      <c r="E536" s="137" t="str">
        <f t="array" ref="E536">IFERROR(IF(A536="","",VLOOKUP(A536,INDIRECT("HISTÓRICO COBROS!A3:E"&amp;COUNTA('HISTÓRICO COBROS'!A:A)),5,FALSE)),"")</f>
        <v/>
      </c>
      <c r="F536" s="137" t="str">
        <f t="array" ref="F536">IF(A536="","",VLOOKUP(A536,INDIRECT("CXC!A2:I"&amp;COUNTA(CXC!A:A)),9,FALSE))</f>
        <v/>
      </c>
      <c r="G536" s="137" t="str">
        <f t="array" ref="G536">IFERROR(IF(A536="","",VLOOKUP(A536,INDIRECT("HISTÓRICO COBROS!A3:F"&amp;COUNTA('HISTÓRICO COBROS'!A:A)),6,FALSE)),"")</f>
        <v/>
      </c>
      <c r="H536" s="138" t="str">
        <f t="shared" ref="H536:I536" si="537">IF(D536="","",D536+F536)</f>
        <v/>
      </c>
      <c r="I536" s="135" t="str">
        <f t="shared" si="537"/>
        <v/>
      </c>
      <c r="J536" s="140" t="str">
        <f t="shared" si="3"/>
        <v/>
      </c>
      <c r="K536" s="140" t="str">
        <f t="shared" si="4"/>
        <v/>
      </c>
    </row>
    <row r="537" ht="22.5" customHeight="1">
      <c r="A537" s="140"/>
      <c r="B537" s="135" t="str">
        <f t="array" ref="B537">IF(A537="","",VLOOKUP(A537,INDIRECT("CXC!A2:B"&amp;COUNTA(CXC!A:A)),2,FALSE))</f>
        <v/>
      </c>
      <c r="C537" s="136" t="str">
        <f t="array" ref="C537">IF(A537="","",VLOOKUP(A537,INDIRECT("CXC!A2:C"&amp;COUNTA(CXC!A:A)),3,FALSE))</f>
        <v/>
      </c>
      <c r="D537" s="137" t="str">
        <f t="array" ref="D537">IF(A537="","",VLOOKUP(A537,INDIRECT("CXC!A2:H"&amp;COUNTA(CXC!A:A)),8,FALSE))</f>
        <v/>
      </c>
      <c r="E537" s="137" t="str">
        <f t="array" ref="E537">IFERROR(IF(A537="","",VLOOKUP(A537,INDIRECT("HISTÓRICO COBROS!A3:E"&amp;COUNTA('HISTÓRICO COBROS'!A:A)),5,FALSE)),"")</f>
        <v/>
      </c>
      <c r="F537" s="137" t="str">
        <f t="array" ref="F537">IF(A537="","",VLOOKUP(A537,INDIRECT("CXC!A2:I"&amp;COUNTA(CXC!A:A)),9,FALSE))</f>
        <v/>
      </c>
      <c r="G537" s="137" t="str">
        <f t="array" ref="G537">IFERROR(IF(A537="","",VLOOKUP(A537,INDIRECT("HISTÓRICO COBROS!A3:F"&amp;COUNTA('HISTÓRICO COBROS'!A:A)),6,FALSE)),"")</f>
        <v/>
      </c>
      <c r="H537" s="138" t="str">
        <f t="shared" ref="H537:I537" si="538">IF(D537="","",D537+F537)</f>
        <v/>
      </c>
      <c r="I537" s="135" t="str">
        <f t="shared" si="538"/>
        <v/>
      </c>
      <c r="J537" s="140" t="str">
        <f t="shared" si="3"/>
        <v/>
      </c>
      <c r="K537" s="140" t="str">
        <f t="shared" si="4"/>
        <v/>
      </c>
    </row>
    <row r="538" ht="22.5" customHeight="1">
      <c r="A538" s="140"/>
      <c r="B538" s="135" t="str">
        <f t="array" ref="B538">IF(A538="","",VLOOKUP(A538,INDIRECT("CXC!A2:B"&amp;COUNTA(CXC!A:A)),2,FALSE))</f>
        <v/>
      </c>
      <c r="C538" s="136" t="str">
        <f t="array" ref="C538">IF(A538="","",VLOOKUP(A538,INDIRECT("CXC!A2:C"&amp;COUNTA(CXC!A:A)),3,FALSE))</f>
        <v/>
      </c>
      <c r="D538" s="137" t="str">
        <f t="array" ref="D538">IF(A538="","",VLOOKUP(A538,INDIRECT("CXC!A2:H"&amp;COUNTA(CXC!A:A)),8,FALSE))</f>
        <v/>
      </c>
      <c r="E538" s="137" t="str">
        <f t="array" ref="E538">IFERROR(IF(A538="","",VLOOKUP(A538,INDIRECT("HISTÓRICO COBROS!A3:E"&amp;COUNTA('HISTÓRICO COBROS'!A:A)),5,FALSE)),"")</f>
        <v/>
      </c>
      <c r="F538" s="137" t="str">
        <f t="array" ref="F538">IF(A538="","",VLOOKUP(A538,INDIRECT("CXC!A2:I"&amp;COUNTA(CXC!A:A)),9,FALSE))</f>
        <v/>
      </c>
      <c r="G538" s="137" t="str">
        <f t="array" ref="G538">IFERROR(IF(A538="","",VLOOKUP(A538,INDIRECT("HISTÓRICO COBROS!A3:F"&amp;COUNTA('HISTÓRICO COBROS'!A:A)),6,FALSE)),"")</f>
        <v/>
      </c>
      <c r="H538" s="138" t="str">
        <f t="shared" ref="H538:I538" si="539">IF(D538="","",D538+F538)</f>
        <v/>
      </c>
      <c r="I538" s="135" t="str">
        <f t="shared" si="539"/>
        <v/>
      </c>
      <c r="J538" s="140" t="str">
        <f t="shared" si="3"/>
        <v/>
      </c>
      <c r="K538" s="140" t="str">
        <f t="shared" si="4"/>
        <v/>
      </c>
    </row>
    <row r="539" ht="22.5" customHeight="1">
      <c r="A539" s="140"/>
      <c r="B539" s="135" t="str">
        <f t="array" ref="B539">IF(A539="","",VLOOKUP(A539,INDIRECT("CXC!A2:B"&amp;COUNTA(CXC!A:A)),2,FALSE))</f>
        <v/>
      </c>
      <c r="C539" s="136" t="str">
        <f t="array" ref="C539">IF(A539="","",VLOOKUP(A539,INDIRECT("CXC!A2:C"&amp;COUNTA(CXC!A:A)),3,FALSE))</f>
        <v/>
      </c>
      <c r="D539" s="137" t="str">
        <f t="array" ref="D539">IF(A539="","",VLOOKUP(A539,INDIRECT("CXC!A2:H"&amp;COUNTA(CXC!A:A)),8,FALSE))</f>
        <v/>
      </c>
      <c r="E539" s="137" t="str">
        <f t="array" ref="E539">IFERROR(IF(A539="","",VLOOKUP(A539,INDIRECT("HISTÓRICO COBROS!A3:E"&amp;COUNTA('HISTÓRICO COBROS'!A:A)),5,FALSE)),"")</f>
        <v/>
      </c>
      <c r="F539" s="137" t="str">
        <f t="array" ref="F539">IF(A539="","",VLOOKUP(A539,INDIRECT("CXC!A2:I"&amp;COUNTA(CXC!A:A)),9,FALSE))</f>
        <v/>
      </c>
      <c r="G539" s="137" t="str">
        <f t="array" ref="G539">IFERROR(IF(A539="","",VLOOKUP(A539,INDIRECT("HISTÓRICO COBROS!A3:F"&amp;COUNTA('HISTÓRICO COBROS'!A:A)),6,FALSE)),"")</f>
        <v/>
      </c>
      <c r="H539" s="138" t="str">
        <f t="shared" ref="H539:I539" si="540">IF(D539="","",D539+F539)</f>
        <v/>
      </c>
      <c r="I539" s="135" t="str">
        <f t="shared" si="540"/>
        <v/>
      </c>
      <c r="J539" s="140" t="str">
        <f t="shared" si="3"/>
        <v/>
      </c>
      <c r="K539" s="140" t="str">
        <f t="shared" si="4"/>
        <v/>
      </c>
    </row>
    <row r="540" ht="22.5" customHeight="1">
      <c r="A540" s="140"/>
      <c r="B540" s="135" t="str">
        <f t="array" ref="B540">IF(A540="","",VLOOKUP(A540,INDIRECT("CXC!A2:B"&amp;COUNTA(CXC!A:A)),2,FALSE))</f>
        <v/>
      </c>
      <c r="C540" s="136" t="str">
        <f t="array" ref="C540">IF(A540="","",VLOOKUP(A540,INDIRECT("CXC!A2:C"&amp;COUNTA(CXC!A:A)),3,FALSE))</f>
        <v/>
      </c>
      <c r="D540" s="137" t="str">
        <f t="array" ref="D540">IF(A540="","",VLOOKUP(A540,INDIRECT("CXC!A2:H"&amp;COUNTA(CXC!A:A)),8,FALSE))</f>
        <v/>
      </c>
      <c r="E540" s="137" t="str">
        <f t="array" ref="E540">IFERROR(IF(A540="","",VLOOKUP(A540,INDIRECT("HISTÓRICO COBROS!A3:E"&amp;COUNTA('HISTÓRICO COBROS'!A:A)),5,FALSE)),"")</f>
        <v/>
      </c>
      <c r="F540" s="137" t="str">
        <f t="array" ref="F540">IF(A540="","",VLOOKUP(A540,INDIRECT("CXC!A2:I"&amp;COUNTA(CXC!A:A)),9,FALSE))</f>
        <v/>
      </c>
      <c r="G540" s="137" t="str">
        <f t="array" ref="G540">IFERROR(IF(A540="","",VLOOKUP(A540,INDIRECT("HISTÓRICO COBROS!A3:F"&amp;COUNTA('HISTÓRICO COBROS'!A:A)),6,FALSE)),"")</f>
        <v/>
      </c>
      <c r="H540" s="138" t="str">
        <f t="shared" ref="H540:I540" si="541">IF(D540="","",D540+F540)</f>
        <v/>
      </c>
      <c r="I540" s="135" t="str">
        <f t="shared" si="541"/>
        <v/>
      </c>
      <c r="J540" s="140" t="str">
        <f t="shared" si="3"/>
        <v/>
      </c>
      <c r="K540" s="140" t="str">
        <f t="shared" si="4"/>
        <v/>
      </c>
    </row>
    <row r="541" ht="22.5" customHeight="1">
      <c r="A541" s="140"/>
      <c r="B541" s="135" t="str">
        <f t="array" ref="B541">IF(A541="","",VLOOKUP(A541,INDIRECT("CXC!A2:B"&amp;COUNTA(CXC!A:A)),2,FALSE))</f>
        <v/>
      </c>
      <c r="C541" s="136" t="str">
        <f t="array" ref="C541">IF(A541="","",VLOOKUP(A541,INDIRECT("CXC!A2:C"&amp;COUNTA(CXC!A:A)),3,FALSE))</f>
        <v/>
      </c>
      <c r="D541" s="137" t="str">
        <f t="array" ref="D541">IF(A541="","",VLOOKUP(A541,INDIRECT("CXC!A2:H"&amp;COUNTA(CXC!A:A)),8,FALSE))</f>
        <v/>
      </c>
      <c r="E541" s="137" t="str">
        <f t="array" ref="E541">IFERROR(IF(A541="","",VLOOKUP(A541,INDIRECT("HISTÓRICO COBROS!A3:E"&amp;COUNTA('HISTÓRICO COBROS'!A:A)),5,FALSE)),"")</f>
        <v/>
      </c>
      <c r="F541" s="137" t="str">
        <f t="array" ref="F541">IF(A541="","",VLOOKUP(A541,INDIRECT("CXC!A2:I"&amp;COUNTA(CXC!A:A)),9,FALSE))</f>
        <v/>
      </c>
      <c r="G541" s="137" t="str">
        <f t="array" ref="G541">IFERROR(IF(A541="","",VLOOKUP(A541,INDIRECT("HISTÓRICO COBROS!A3:F"&amp;COUNTA('HISTÓRICO COBROS'!A:A)),6,FALSE)),"")</f>
        <v/>
      </c>
      <c r="H541" s="138" t="str">
        <f t="shared" ref="H541:I541" si="542">IF(D541="","",D541+F541)</f>
        <v/>
      </c>
      <c r="I541" s="135" t="str">
        <f t="shared" si="542"/>
        <v/>
      </c>
      <c r="J541" s="140" t="str">
        <f t="shared" si="3"/>
        <v/>
      </c>
      <c r="K541" s="140" t="str">
        <f t="shared" si="4"/>
        <v/>
      </c>
    </row>
    <row r="542" ht="22.5" customHeight="1">
      <c r="A542" s="140"/>
      <c r="B542" s="135" t="str">
        <f t="array" ref="B542">IF(A542="","",VLOOKUP(A542,INDIRECT("CXC!A2:B"&amp;COUNTA(CXC!A:A)),2,FALSE))</f>
        <v/>
      </c>
      <c r="C542" s="136" t="str">
        <f t="array" ref="C542">IF(A542="","",VLOOKUP(A542,INDIRECT("CXC!A2:C"&amp;COUNTA(CXC!A:A)),3,FALSE))</f>
        <v/>
      </c>
      <c r="D542" s="137" t="str">
        <f t="array" ref="D542">IF(A542="","",VLOOKUP(A542,INDIRECT("CXC!A2:H"&amp;COUNTA(CXC!A:A)),8,FALSE))</f>
        <v/>
      </c>
      <c r="E542" s="137" t="str">
        <f t="array" ref="E542">IFERROR(IF(A542="","",VLOOKUP(A542,INDIRECT("HISTÓRICO COBROS!A3:E"&amp;COUNTA('HISTÓRICO COBROS'!A:A)),5,FALSE)),"")</f>
        <v/>
      </c>
      <c r="F542" s="137" t="str">
        <f t="array" ref="F542">IF(A542="","",VLOOKUP(A542,INDIRECT("CXC!A2:I"&amp;COUNTA(CXC!A:A)),9,FALSE))</f>
        <v/>
      </c>
      <c r="G542" s="137" t="str">
        <f t="array" ref="G542">IFERROR(IF(A542="","",VLOOKUP(A542,INDIRECT("HISTÓRICO COBROS!A3:F"&amp;COUNTA('HISTÓRICO COBROS'!A:A)),6,FALSE)),"")</f>
        <v/>
      </c>
      <c r="H542" s="138" t="str">
        <f t="shared" ref="H542:I542" si="543">IF(D542="","",D542+F542)</f>
        <v/>
      </c>
      <c r="I542" s="135" t="str">
        <f t="shared" si="543"/>
        <v/>
      </c>
      <c r="J542" s="140" t="str">
        <f t="shared" si="3"/>
        <v/>
      </c>
      <c r="K542" s="140" t="str">
        <f t="shared" si="4"/>
        <v/>
      </c>
    </row>
    <row r="543" ht="22.5" customHeight="1">
      <c r="A543" s="140"/>
      <c r="B543" s="135" t="str">
        <f t="array" ref="B543">IF(A543="","",VLOOKUP(A543,INDIRECT("CXC!A2:B"&amp;COUNTA(CXC!A:A)),2,FALSE))</f>
        <v/>
      </c>
      <c r="C543" s="136" t="str">
        <f t="array" ref="C543">IF(A543="","",VLOOKUP(A543,INDIRECT("CXC!A2:C"&amp;COUNTA(CXC!A:A)),3,FALSE))</f>
        <v/>
      </c>
      <c r="D543" s="137" t="str">
        <f t="array" ref="D543">IF(A543="","",VLOOKUP(A543,INDIRECT("CXC!A2:H"&amp;COUNTA(CXC!A:A)),8,FALSE))</f>
        <v/>
      </c>
      <c r="E543" s="137" t="str">
        <f t="array" ref="E543">IFERROR(IF(A543="","",VLOOKUP(A543,INDIRECT("HISTÓRICO COBROS!A3:E"&amp;COUNTA('HISTÓRICO COBROS'!A:A)),5,FALSE)),"")</f>
        <v/>
      </c>
      <c r="F543" s="137" t="str">
        <f t="array" ref="F543">IF(A543="","",VLOOKUP(A543,INDIRECT("CXC!A2:I"&amp;COUNTA(CXC!A:A)),9,FALSE))</f>
        <v/>
      </c>
      <c r="G543" s="137" t="str">
        <f t="array" ref="G543">IFERROR(IF(A543="","",VLOOKUP(A543,INDIRECT("HISTÓRICO COBROS!A3:F"&amp;COUNTA('HISTÓRICO COBROS'!A:A)),6,FALSE)),"")</f>
        <v/>
      </c>
      <c r="H543" s="138" t="str">
        <f t="shared" ref="H543:I543" si="544">IF(D543="","",D543+F543)</f>
        <v/>
      </c>
      <c r="I543" s="135" t="str">
        <f t="shared" si="544"/>
        <v/>
      </c>
      <c r="J543" s="140" t="str">
        <f t="shared" si="3"/>
        <v/>
      </c>
      <c r="K543" s="140" t="str">
        <f t="shared" si="4"/>
        <v/>
      </c>
    </row>
    <row r="544" ht="22.5" customHeight="1">
      <c r="A544" s="140"/>
      <c r="B544" s="135" t="str">
        <f t="array" ref="B544">IF(A544="","",VLOOKUP(A544,INDIRECT("CXC!A2:B"&amp;COUNTA(CXC!A:A)),2,FALSE))</f>
        <v/>
      </c>
      <c r="C544" s="136" t="str">
        <f t="array" ref="C544">IF(A544="","",VLOOKUP(A544,INDIRECT("CXC!A2:C"&amp;COUNTA(CXC!A:A)),3,FALSE))</f>
        <v/>
      </c>
      <c r="D544" s="137" t="str">
        <f t="array" ref="D544">IF(A544="","",VLOOKUP(A544,INDIRECT("CXC!A2:H"&amp;COUNTA(CXC!A:A)),8,FALSE))</f>
        <v/>
      </c>
      <c r="E544" s="137" t="str">
        <f t="array" ref="E544">IFERROR(IF(A544="","",VLOOKUP(A544,INDIRECT("HISTÓRICO COBROS!A3:E"&amp;COUNTA('HISTÓRICO COBROS'!A:A)),5,FALSE)),"")</f>
        <v/>
      </c>
      <c r="F544" s="137" t="str">
        <f t="array" ref="F544">IF(A544="","",VLOOKUP(A544,INDIRECT("CXC!A2:I"&amp;COUNTA(CXC!A:A)),9,FALSE))</f>
        <v/>
      </c>
      <c r="G544" s="137" t="str">
        <f t="array" ref="G544">IFERROR(IF(A544="","",VLOOKUP(A544,INDIRECT("HISTÓRICO COBROS!A3:F"&amp;COUNTA('HISTÓRICO COBROS'!A:A)),6,FALSE)),"")</f>
        <v/>
      </c>
      <c r="H544" s="138" t="str">
        <f t="shared" ref="H544:I544" si="545">IF(D544="","",D544+F544)</f>
        <v/>
      </c>
      <c r="I544" s="135" t="str">
        <f t="shared" si="545"/>
        <v/>
      </c>
      <c r="J544" s="140" t="str">
        <f t="shared" si="3"/>
        <v/>
      </c>
      <c r="K544" s="140" t="str">
        <f t="shared" si="4"/>
        <v/>
      </c>
    </row>
    <row r="545" ht="22.5" customHeight="1">
      <c r="A545" s="140"/>
      <c r="B545" s="135" t="str">
        <f t="array" ref="B545">IF(A545="","",VLOOKUP(A545,INDIRECT("CXC!A2:B"&amp;COUNTA(CXC!A:A)),2,FALSE))</f>
        <v/>
      </c>
      <c r="C545" s="136" t="str">
        <f t="array" ref="C545">IF(A545="","",VLOOKUP(A545,INDIRECT("CXC!A2:C"&amp;COUNTA(CXC!A:A)),3,FALSE))</f>
        <v/>
      </c>
      <c r="D545" s="137" t="str">
        <f t="array" ref="D545">IF(A545="","",VLOOKUP(A545,INDIRECT("CXC!A2:H"&amp;COUNTA(CXC!A:A)),8,FALSE))</f>
        <v/>
      </c>
      <c r="E545" s="137" t="str">
        <f t="array" ref="E545">IFERROR(IF(A545="","",VLOOKUP(A545,INDIRECT("HISTÓRICO COBROS!A3:E"&amp;COUNTA('HISTÓRICO COBROS'!A:A)),5,FALSE)),"")</f>
        <v/>
      </c>
      <c r="F545" s="137" t="str">
        <f t="array" ref="F545">IF(A545="","",VLOOKUP(A545,INDIRECT("CXC!A2:I"&amp;COUNTA(CXC!A:A)),9,FALSE))</f>
        <v/>
      </c>
      <c r="G545" s="137" t="str">
        <f t="array" ref="G545">IFERROR(IF(A545="","",VLOOKUP(A545,INDIRECT("HISTÓRICO COBROS!A3:F"&amp;COUNTA('HISTÓRICO COBROS'!A:A)),6,FALSE)),"")</f>
        <v/>
      </c>
      <c r="H545" s="138" t="str">
        <f t="shared" ref="H545:I545" si="546">IF(D545="","",D545+F545)</f>
        <v/>
      </c>
      <c r="I545" s="135" t="str">
        <f t="shared" si="546"/>
        <v/>
      </c>
      <c r="J545" s="140" t="str">
        <f t="shared" si="3"/>
        <v/>
      </c>
      <c r="K545" s="140" t="str">
        <f t="shared" si="4"/>
        <v/>
      </c>
    </row>
    <row r="546" ht="22.5" customHeight="1">
      <c r="A546" s="140"/>
      <c r="B546" s="135" t="str">
        <f t="array" ref="B546">IF(A546="","",VLOOKUP(A546,INDIRECT("CXC!A2:B"&amp;COUNTA(CXC!A:A)),2,FALSE))</f>
        <v/>
      </c>
      <c r="C546" s="136" t="str">
        <f t="array" ref="C546">IF(A546="","",VLOOKUP(A546,INDIRECT("CXC!A2:C"&amp;COUNTA(CXC!A:A)),3,FALSE))</f>
        <v/>
      </c>
      <c r="D546" s="137" t="str">
        <f t="array" ref="D546">IF(A546="","",VLOOKUP(A546,INDIRECT("CXC!A2:H"&amp;COUNTA(CXC!A:A)),8,FALSE))</f>
        <v/>
      </c>
      <c r="E546" s="137" t="str">
        <f t="array" ref="E546">IFERROR(IF(A546="","",VLOOKUP(A546,INDIRECT("HISTÓRICO COBROS!A3:E"&amp;COUNTA('HISTÓRICO COBROS'!A:A)),5,FALSE)),"")</f>
        <v/>
      </c>
      <c r="F546" s="137" t="str">
        <f t="array" ref="F546">IF(A546="","",VLOOKUP(A546,INDIRECT("CXC!A2:I"&amp;COUNTA(CXC!A:A)),9,FALSE))</f>
        <v/>
      </c>
      <c r="G546" s="137" t="str">
        <f t="array" ref="G546">IFERROR(IF(A546="","",VLOOKUP(A546,INDIRECT("HISTÓRICO COBROS!A3:F"&amp;COUNTA('HISTÓRICO COBROS'!A:A)),6,FALSE)),"")</f>
        <v/>
      </c>
      <c r="H546" s="138" t="str">
        <f t="shared" ref="H546:I546" si="547">IF(D546="","",D546+F546)</f>
        <v/>
      </c>
      <c r="I546" s="135" t="str">
        <f t="shared" si="547"/>
        <v/>
      </c>
      <c r="J546" s="140" t="str">
        <f t="shared" si="3"/>
        <v/>
      </c>
      <c r="K546" s="140" t="str">
        <f t="shared" si="4"/>
        <v/>
      </c>
    </row>
    <row r="547" ht="22.5" customHeight="1">
      <c r="A547" s="140"/>
      <c r="B547" s="135" t="str">
        <f t="array" ref="B547">IF(A547="","",VLOOKUP(A547,INDIRECT("CXC!A2:B"&amp;COUNTA(CXC!A:A)),2,FALSE))</f>
        <v/>
      </c>
      <c r="C547" s="136" t="str">
        <f t="array" ref="C547">IF(A547="","",VLOOKUP(A547,INDIRECT("CXC!A2:C"&amp;COUNTA(CXC!A:A)),3,FALSE))</f>
        <v/>
      </c>
      <c r="D547" s="137" t="str">
        <f t="array" ref="D547">IF(A547="","",VLOOKUP(A547,INDIRECT("CXC!A2:H"&amp;COUNTA(CXC!A:A)),8,FALSE))</f>
        <v/>
      </c>
      <c r="E547" s="137" t="str">
        <f t="array" ref="E547">IFERROR(IF(A547="","",VLOOKUP(A547,INDIRECT("HISTÓRICO COBROS!A3:E"&amp;COUNTA('HISTÓRICO COBROS'!A:A)),5,FALSE)),"")</f>
        <v/>
      </c>
      <c r="F547" s="137" t="str">
        <f t="array" ref="F547">IF(A547="","",VLOOKUP(A547,INDIRECT("CXC!A2:I"&amp;COUNTA(CXC!A:A)),9,FALSE))</f>
        <v/>
      </c>
      <c r="G547" s="137" t="str">
        <f t="array" ref="G547">IFERROR(IF(A547="","",VLOOKUP(A547,INDIRECT("HISTÓRICO COBROS!A3:F"&amp;COUNTA('HISTÓRICO COBROS'!A:A)),6,FALSE)),"")</f>
        <v/>
      </c>
      <c r="H547" s="138" t="str">
        <f t="shared" ref="H547:I547" si="548">IF(D547="","",D547+F547)</f>
        <v/>
      </c>
      <c r="I547" s="135" t="str">
        <f t="shared" si="548"/>
        <v/>
      </c>
      <c r="J547" s="140" t="str">
        <f t="shared" si="3"/>
        <v/>
      </c>
      <c r="K547" s="140" t="str">
        <f t="shared" si="4"/>
        <v/>
      </c>
    </row>
    <row r="548" ht="22.5" customHeight="1">
      <c r="A548" s="140"/>
      <c r="B548" s="135" t="str">
        <f t="array" ref="B548">IF(A548="","",VLOOKUP(A548,INDIRECT("CXC!A2:B"&amp;COUNTA(CXC!A:A)),2,FALSE))</f>
        <v/>
      </c>
      <c r="C548" s="136" t="str">
        <f t="array" ref="C548">IF(A548="","",VLOOKUP(A548,INDIRECT("CXC!A2:C"&amp;COUNTA(CXC!A:A)),3,FALSE))</f>
        <v/>
      </c>
      <c r="D548" s="137" t="str">
        <f t="array" ref="D548">IF(A548="","",VLOOKUP(A548,INDIRECT("CXC!A2:H"&amp;COUNTA(CXC!A:A)),8,FALSE))</f>
        <v/>
      </c>
      <c r="E548" s="137" t="str">
        <f t="array" ref="E548">IFERROR(IF(A548="","",VLOOKUP(A548,INDIRECT("HISTÓRICO COBROS!A3:E"&amp;COUNTA('HISTÓRICO COBROS'!A:A)),5,FALSE)),"")</f>
        <v/>
      </c>
      <c r="F548" s="137" t="str">
        <f t="array" ref="F548">IF(A548="","",VLOOKUP(A548,INDIRECT("CXC!A2:I"&amp;COUNTA(CXC!A:A)),9,FALSE))</f>
        <v/>
      </c>
      <c r="G548" s="137" t="str">
        <f t="array" ref="G548">IFERROR(IF(A548="","",VLOOKUP(A548,INDIRECT("HISTÓRICO COBROS!A3:F"&amp;COUNTA('HISTÓRICO COBROS'!A:A)),6,FALSE)),"")</f>
        <v/>
      </c>
      <c r="H548" s="138" t="str">
        <f t="shared" ref="H548:I548" si="549">IF(D548="","",D548+F548)</f>
        <v/>
      </c>
      <c r="I548" s="135" t="str">
        <f t="shared" si="549"/>
        <v/>
      </c>
      <c r="J548" s="140" t="str">
        <f t="shared" si="3"/>
        <v/>
      </c>
      <c r="K548" s="140" t="str">
        <f t="shared" si="4"/>
        <v/>
      </c>
    </row>
    <row r="549" ht="22.5" customHeight="1">
      <c r="A549" s="140"/>
      <c r="B549" s="135" t="str">
        <f t="array" ref="B549">IF(A549="","",VLOOKUP(A549,INDIRECT("CXC!A2:B"&amp;COUNTA(CXC!A:A)),2,FALSE))</f>
        <v/>
      </c>
      <c r="C549" s="136" t="str">
        <f t="array" ref="C549">IF(A549="","",VLOOKUP(A549,INDIRECT("CXC!A2:C"&amp;COUNTA(CXC!A:A)),3,FALSE))</f>
        <v/>
      </c>
      <c r="D549" s="137" t="str">
        <f t="array" ref="D549">IF(A549="","",VLOOKUP(A549,INDIRECT("CXC!A2:H"&amp;COUNTA(CXC!A:A)),8,FALSE))</f>
        <v/>
      </c>
      <c r="E549" s="137" t="str">
        <f t="array" ref="E549">IFERROR(IF(A549="","",VLOOKUP(A549,INDIRECT("HISTÓRICO COBROS!A3:E"&amp;COUNTA('HISTÓRICO COBROS'!A:A)),5,FALSE)),"")</f>
        <v/>
      </c>
      <c r="F549" s="137" t="str">
        <f t="array" ref="F549">IF(A549="","",VLOOKUP(A549,INDIRECT("CXC!A2:I"&amp;COUNTA(CXC!A:A)),9,FALSE))</f>
        <v/>
      </c>
      <c r="G549" s="137" t="str">
        <f t="array" ref="G549">IFERROR(IF(A549="","",VLOOKUP(A549,INDIRECT("HISTÓRICO COBROS!A3:F"&amp;COUNTA('HISTÓRICO COBROS'!A:A)),6,FALSE)),"")</f>
        <v/>
      </c>
      <c r="H549" s="138" t="str">
        <f t="shared" ref="H549:I549" si="550">IF(D549="","",D549+F549)</f>
        <v/>
      </c>
      <c r="I549" s="135" t="str">
        <f t="shared" si="550"/>
        <v/>
      </c>
      <c r="J549" s="140" t="str">
        <f t="shared" si="3"/>
        <v/>
      </c>
      <c r="K549" s="140" t="str">
        <f t="shared" si="4"/>
        <v/>
      </c>
    </row>
    <row r="550" ht="22.5" customHeight="1">
      <c r="A550" s="140"/>
      <c r="B550" s="135" t="str">
        <f t="array" ref="B550">IF(A550="","",VLOOKUP(A550,INDIRECT("CXC!A2:B"&amp;COUNTA(CXC!A:A)),2,FALSE))</f>
        <v/>
      </c>
      <c r="C550" s="136" t="str">
        <f t="array" ref="C550">IF(A550="","",VLOOKUP(A550,INDIRECT("CXC!A2:C"&amp;COUNTA(CXC!A:A)),3,FALSE))</f>
        <v/>
      </c>
      <c r="D550" s="137" t="str">
        <f t="array" ref="D550">IF(A550="","",VLOOKUP(A550,INDIRECT("CXC!A2:H"&amp;COUNTA(CXC!A:A)),8,FALSE))</f>
        <v/>
      </c>
      <c r="E550" s="137" t="str">
        <f t="array" ref="E550">IFERROR(IF(A550="","",VLOOKUP(A550,INDIRECT("HISTÓRICO COBROS!A3:E"&amp;COUNTA('HISTÓRICO COBROS'!A:A)),5,FALSE)),"")</f>
        <v/>
      </c>
      <c r="F550" s="137" t="str">
        <f t="array" ref="F550">IF(A550="","",VLOOKUP(A550,INDIRECT("CXC!A2:I"&amp;COUNTA(CXC!A:A)),9,FALSE))</f>
        <v/>
      </c>
      <c r="G550" s="137" t="str">
        <f t="array" ref="G550">IFERROR(IF(A550="","",VLOOKUP(A550,INDIRECT("HISTÓRICO COBROS!A3:F"&amp;COUNTA('HISTÓRICO COBROS'!A:A)),6,FALSE)),"")</f>
        <v/>
      </c>
      <c r="H550" s="138" t="str">
        <f t="shared" ref="H550:I550" si="551">IF(D550="","",D550+F550)</f>
        <v/>
      </c>
      <c r="I550" s="135" t="str">
        <f t="shared" si="551"/>
        <v/>
      </c>
      <c r="J550" s="140" t="str">
        <f t="shared" si="3"/>
        <v/>
      </c>
      <c r="K550" s="140" t="str">
        <f t="shared" si="4"/>
        <v/>
      </c>
    </row>
    <row r="551" ht="22.5" customHeight="1">
      <c r="A551" s="140"/>
      <c r="B551" s="135" t="str">
        <f t="array" ref="B551">IF(A551="","",VLOOKUP(A551,INDIRECT("CXC!A2:B"&amp;COUNTA(CXC!A:A)),2,FALSE))</f>
        <v/>
      </c>
      <c r="C551" s="136" t="str">
        <f t="array" ref="C551">IF(A551="","",VLOOKUP(A551,INDIRECT("CXC!A2:C"&amp;COUNTA(CXC!A:A)),3,FALSE))</f>
        <v/>
      </c>
      <c r="D551" s="137" t="str">
        <f t="array" ref="D551">IF(A551="","",VLOOKUP(A551,INDIRECT("CXC!A2:H"&amp;COUNTA(CXC!A:A)),8,FALSE))</f>
        <v/>
      </c>
      <c r="E551" s="137" t="str">
        <f t="array" ref="E551">IFERROR(IF(A551="","",VLOOKUP(A551,INDIRECT("HISTÓRICO COBROS!A3:E"&amp;COUNTA('HISTÓRICO COBROS'!A:A)),5,FALSE)),"")</f>
        <v/>
      </c>
      <c r="F551" s="137" t="str">
        <f t="array" ref="F551">IF(A551="","",VLOOKUP(A551,INDIRECT("CXC!A2:I"&amp;COUNTA(CXC!A:A)),9,FALSE))</f>
        <v/>
      </c>
      <c r="G551" s="137" t="str">
        <f t="array" ref="G551">IFERROR(IF(A551="","",VLOOKUP(A551,INDIRECT("HISTÓRICO COBROS!A3:F"&amp;COUNTA('HISTÓRICO COBROS'!A:A)),6,FALSE)),"")</f>
        <v/>
      </c>
      <c r="H551" s="138" t="str">
        <f t="shared" ref="H551:I551" si="552">IF(D551="","",D551+F551)</f>
        <v/>
      </c>
      <c r="I551" s="135" t="str">
        <f t="shared" si="552"/>
        <v/>
      </c>
      <c r="J551" s="140" t="str">
        <f t="shared" si="3"/>
        <v/>
      </c>
      <c r="K551" s="140" t="str">
        <f t="shared" si="4"/>
        <v/>
      </c>
    </row>
    <row r="552" ht="22.5" customHeight="1">
      <c r="A552" s="140"/>
      <c r="B552" s="135" t="str">
        <f t="array" ref="B552">IF(A552="","",VLOOKUP(A552,INDIRECT("CXC!A2:B"&amp;COUNTA(CXC!A:A)),2,FALSE))</f>
        <v/>
      </c>
      <c r="C552" s="136" t="str">
        <f t="array" ref="C552">IF(A552="","",VLOOKUP(A552,INDIRECT("CXC!A2:C"&amp;COUNTA(CXC!A:A)),3,FALSE))</f>
        <v/>
      </c>
      <c r="D552" s="137" t="str">
        <f t="array" ref="D552">IF(A552="","",VLOOKUP(A552,INDIRECT("CXC!A2:H"&amp;COUNTA(CXC!A:A)),8,FALSE))</f>
        <v/>
      </c>
      <c r="E552" s="137" t="str">
        <f t="array" ref="E552">IFERROR(IF(A552="","",VLOOKUP(A552,INDIRECT("HISTÓRICO COBROS!A3:E"&amp;COUNTA('HISTÓRICO COBROS'!A:A)),5,FALSE)),"")</f>
        <v/>
      </c>
      <c r="F552" s="137" t="str">
        <f t="array" ref="F552">IF(A552="","",VLOOKUP(A552,INDIRECT("CXC!A2:I"&amp;COUNTA(CXC!A:A)),9,FALSE))</f>
        <v/>
      </c>
      <c r="G552" s="137" t="str">
        <f t="array" ref="G552">IFERROR(IF(A552="","",VLOOKUP(A552,INDIRECT("HISTÓRICO COBROS!A3:F"&amp;COUNTA('HISTÓRICO COBROS'!A:A)),6,FALSE)),"")</f>
        <v/>
      </c>
      <c r="H552" s="138" t="str">
        <f t="shared" ref="H552:I552" si="553">IF(D552="","",D552+F552)</f>
        <v/>
      </c>
      <c r="I552" s="135" t="str">
        <f t="shared" si="553"/>
        <v/>
      </c>
      <c r="J552" s="140" t="str">
        <f t="shared" si="3"/>
        <v/>
      </c>
      <c r="K552" s="140" t="str">
        <f t="shared" si="4"/>
        <v/>
      </c>
    </row>
    <row r="553" ht="22.5" customHeight="1">
      <c r="A553" s="140"/>
      <c r="B553" s="135" t="str">
        <f t="array" ref="B553">IF(A553="","",VLOOKUP(A553,INDIRECT("CXC!A2:B"&amp;COUNTA(CXC!A:A)),2,FALSE))</f>
        <v/>
      </c>
      <c r="C553" s="136" t="str">
        <f t="array" ref="C553">IF(A553="","",VLOOKUP(A553,INDIRECT("CXC!A2:C"&amp;COUNTA(CXC!A:A)),3,FALSE))</f>
        <v/>
      </c>
      <c r="D553" s="137" t="str">
        <f t="array" ref="D553">IF(A553="","",VLOOKUP(A553,INDIRECT("CXC!A2:H"&amp;COUNTA(CXC!A:A)),8,FALSE))</f>
        <v/>
      </c>
      <c r="E553" s="137" t="str">
        <f t="array" ref="E553">IFERROR(IF(A553="","",VLOOKUP(A553,INDIRECT("HISTÓRICO COBROS!A3:E"&amp;COUNTA('HISTÓRICO COBROS'!A:A)),5,FALSE)),"")</f>
        <v/>
      </c>
      <c r="F553" s="137" t="str">
        <f t="array" ref="F553">IF(A553="","",VLOOKUP(A553,INDIRECT("CXC!A2:I"&amp;COUNTA(CXC!A:A)),9,FALSE))</f>
        <v/>
      </c>
      <c r="G553" s="137" t="str">
        <f t="array" ref="G553">IFERROR(IF(A553="","",VLOOKUP(A553,INDIRECT("HISTÓRICO COBROS!A3:F"&amp;COUNTA('HISTÓRICO COBROS'!A:A)),6,FALSE)),"")</f>
        <v/>
      </c>
      <c r="H553" s="138" t="str">
        <f t="shared" ref="H553:I553" si="554">IF(D553="","",D553+F553)</f>
        <v/>
      </c>
      <c r="I553" s="135" t="str">
        <f t="shared" si="554"/>
        <v/>
      </c>
      <c r="J553" s="140" t="str">
        <f t="shared" si="3"/>
        <v/>
      </c>
      <c r="K553" s="140" t="str">
        <f t="shared" si="4"/>
        <v/>
      </c>
    </row>
    <row r="554" ht="22.5" customHeight="1">
      <c r="A554" s="140"/>
      <c r="B554" s="135" t="str">
        <f t="array" ref="B554">IF(A554="","",VLOOKUP(A554,INDIRECT("CXC!A2:B"&amp;COUNTA(CXC!A:A)),2,FALSE))</f>
        <v/>
      </c>
      <c r="C554" s="136" t="str">
        <f t="array" ref="C554">IF(A554="","",VLOOKUP(A554,INDIRECT("CXC!A2:C"&amp;COUNTA(CXC!A:A)),3,FALSE))</f>
        <v/>
      </c>
      <c r="D554" s="137" t="str">
        <f t="array" ref="D554">IF(A554="","",VLOOKUP(A554,INDIRECT("CXC!A2:H"&amp;COUNTA(CXC!A:A)),8,FALSE))</f>
        <v/>
      </c>
      <c r="E554" s="137" t="str">
        <f t="array" ref="E554">IFERROR(IF(A554="","",VLOOKUP(A554,INDIRECT("HISTÓRICO COBROS!A3:E"&amp;COUNTA('HISTÓRICO COBROS'!A:A)),5,FALSE)),"")</f>
        <v/>
      </c>
      <c r="F554" s="137" t="str">
        <f t="array" ref="F554">IF(A554="","",VLOOKUP(A554,INDIRECT("CXC!A2:I"&amp;COUNTA(CXC!A:A)),9,FALSE))</f>
        <v/>
      </c>
      <c r="G554" s="137" t="str">
        <f t="array" ref="G554">IFERROR(IF(A554="","",VLOOKUP(A554,INDIRECT("HISTÓRICO COBROS!A3:F"&amp;COUNTA('HISTÓRICO COBROS'!A:A)),6,FALSE)),"")</f>
        <v/>
      </c>
      <c r="H554" s="138" t="str">
        <f t="shared" ref="H554:I554" si="555">IF(D554="","",D554+F554)</f>
        <v/>
      </c>
      <c r="I554" s="135" t="str">
        <f t="shared" si="555"/>
        <v/>
      </c>
      <c r="J554" s="140" t="str">
        <f t="shared" si="3"/>
        <v/>
      </c>
      <c r="K554" s="140" t="str">
        <f t="shared" si="4"/>
        <v/>
      </c>
    </row>
    <row r="555" ht="22.5" customHeight="1">
      <c r="A555" s="140"/>
      <c r="B555" s="135" t="str">
        <f t="array" ref="B555">IF(A555="","",VLOOKUP(A555,INDIRECT("CXC!A2:B"&amp;COUNTA(CXC!A:A)),2,FALSE))</f>
        <v/>
      </c>
      <c r="C555" s="136" t="str">
        <f t="array" ref="C555">IF(A555="","",VLOOKUP(A555,INDIRECT("CXC!A2:C"&amp;COUNTA(CXC!A:A)),3,FALSE))</f>
        <v/>
      </c>
      <c r="D555" s="137" t="str">
        <f t="array" ref="D555">IF(A555="","",VLOOKUP(A555,INDIRECT("CXC!A2:H"&amp;COUNTA(CXC!A:A)),8,FALSE))</f>
        <v/>
      </c>
      <c r="E555" s="137" t="str">
        <f t="array" ref="E555">IFERROR(IF(A555="","",VLOOKUP(A555,INDIRECT("HISTÓRICO COBROS!A3:E"&amp;COUNTA('HISTÓRICO COBROS'!A:A)),5,FALSE)),"")</f>
        <v/>
      </c>
      <c r="F555" s="137" t="str">
        <f t="array" ref="F555">IF(A555="","",VLOOKUP(A555,INDIRECT("CXC!A2:I"&amp;COUNTA(CXC!A:A)),9,FALSE))</f>
        <v/>
      </c>
      <c r="G555" s="137" t="str">
        <f t="array" ref="G555">IFERROR(IF(A555="","",VLOOKUP(A555,INDIRECT("HISTÓRICO COBROS!A3:F"&amp;COUNTA('HISTÓRICO COBROS'!A:A)),6,FALSE)),"")</f>
        <v/>
      </c>
      <c r="H555" s="138" t="str">
        <f t="shared" ref="H555:I555" si="556">IF(D555="","",D555+F555)</f>
        <v/>
      </c>
      <c r="I555" s="135" t="str">
        <f t="shared" si="556"/>
        <v/>
      </c>
      <c r="J555" s="140" t="str">
        <f t="shared" si="3"/>
        <v/>
      </c>
      <c r="K555" s="140" t="str">
        <f t="shared" si="4"/>
        <v/>
      </c>
    </row>
    <row r="556" ht="22.5" customHeight="1">
      <c r="A556" s="140"/>
      <c r="B556" s="135" t="str">
        <f t="array" ref="B556">IF(A556="","",VLOOKUP(A556,INDIRECT("CXC!A2:B"&amp;COUNTA(CXC!A:A)),2,FALSE))</f>
        <v/>
      </c>
      <c r="C556" s="136" t="str">
        <f t="array" ref="C556">IF(A556="","",VLOOKUP(A556,INDIRECT("CXC!A2:C"&amp;COUNTA(CXC!A:A)),3,FALSE))</f>
        <v/>
      </c>
      <c r="D556" s="137" t="str">
        <f t="array" ref="D556">IF(A556="","",VLOOKUP(A556,INDIRECT("CXC!A2:H"&amp;COUNTA(CXC!A:A)),8,FALSE))</f>
        <v/>
      </c>
      <c r="E556" s="137" t="str">
        <f t="array" ref="E556">IFERROR(IF(A556="","",VLOOKUP(A556,INDIRECT("HISTÓRICO COBROS!A3:E"&amp;COUNTA('HISTÓRICO COBROS'!A:A)),5,FALSE)),"")</f>
        <v/>
      </c>
      <c r="F556" s="137" t="str">
        <f t="array" ref="F556">IF(A556="","",VLOOKUP(A556,INDIRECT("CXC!A2:I"&amp;COUNTA(CXC!A:A)),9,FALSE))</f>
        <v/>
      </c>
      <c r="G556" s="137" t="str">
        <f t="array" ref="G556">IFERROR(IF(A556="","",VLOOKUP(A556,INDIRECT("HISTÓRICO COBROS!A3:F"&amp;COUNTA('HISTÓRICO COBROS'!A:A)),6,FALSE)),"")</f>
        <v/>
      </c>
      <c r="H556" s="138" t="str">
        <f t="shared" ref="H556:I556" si="557">IF(D556="","",D556+F556)</f>
        <v/>
      </c>
      <c r="I556" s="135" t="str">
        <f t="shared" si="557"/>
        <v/>
      </c>
      <c r="J556" s="140" t="str">
        <f t="shared" si="3"/>
        <v/>
      </c>
      <c r="K556" s="140" t="str">
        <f t="shared" si="4"/>
        <v/>
      </c>
    </row>
    <row r="557" ht="22.5" customHeight="1">
      <c r="A557" s="140"/>
      <c r="B557" s="135" t="str">
        <f t="array" ref="B557">IF(A557="","",VLOOKUP(A557,INDIRECT("CXC!A2:B"&amp;COUNTA(CXC!A:A)),2,FALSE))</f>
        <v/>
      </c>
      <c r="C557" s="136" t="str">
        <f t="array" ref="C557">IF(A557="","",VLOOKUP(A557,INDIRECT("CXC!A2:C"&amp;COUNTA(CXC!A:A)),3,FALSE))</f>
        <v/>
      </c>
      <c r="D557" s="137" t="str">
        <f t="array" ref="D557">IF(A557="","",VLOOKUP(A557,INDIRECT("CXC!A2:H"&amp;COUNTA(CXC!A:A)),8,FALSE))</f>
        <v/>
      </c>
      <c r="E557" s="137" t="str">
        <f t="array" ref="E557">IFERROR(IF(A557="","",VLOOKUP(A557,INDIRECT("HISTÓRICO COBROS!A3:E"&amp;COUNTA('HISTÓRICO COBROS'!A:A)),5,FALSE)),"")</f>
        <v/>
      </c>
      <c r="F557" s="137" t="str">
        <f t="array" ref="F557">IF(A557="","",VLOOKUP(A557,INDIRECT("CXC!A2:I"&amp;COUNTA(CXC!A:A)),9,FALSE))</f>
        <v/>
      </c>
      <c r="G557" s="137" t="str">
        <f t="array" ref="G557">IFERROR(IF(A557="","",VLOOKUP(A557,INDIRECT("HISTÓRICO COBROS!A3:F"&amp;COUNTA('HISTÓRICO COBROS'!A:A)),6,FALSE)),"")</f>
        <v/>
      </c>
      <c r="H557" s="138" t="str">
        <f t="shared" ref="H557:I557" si="558">IF(D557="","",D557+F557)</f>
        <v/>
      </c>
      <c r="I557" s="135" t="str">
        <f t="shared" si="558"/>
        <v/>
      </c>
      <c r="J557" s="140" t="str">
        <f t="shared" si="3"/>
        <v/>
      </c>
      <c r="K557" s="140" t="str">
        <f t="shared" si="4"/>
        <v/>
      </c>
    </row>
    <row r="558" ht="22.5" customHeight="1">
      <c r="A558" s="140"/>
      <c r="B558" s="135" t="str">
        <f t="array" ref="B558">IF(A558="","",VLOOKUP(A558,INDIRECT("CXC!A2:B"&amp;COUNTA(CXC!A:A)),2,FALSE))</f>
        <v/>
      </c>
      <c r="C558" s="136" t="str">
        <f t="array" ref="C558">IF(A558="","",VLOOKUP(A558,INDIRECT("CXC!A2:C"&amp;COUNTA(CXC!A:A)),3,FALSE))</f>
        <v/>
      </c>
      <c r="D558" s="137" t="str">
        <f t="array" ref="D558">IF(A558="","",VLOOKUP(A558,INDIRECT("CXC!A2:H"&amp;COUNTA(CXC!A:A)),8,FALSE))</f>
        <v/>
      </c>
      <c r="E558" s="137" t="str">
        <f t="array" ref="E558">IFERROR(IF(A558="","",VLOOKUP(A558,INDIRECT("HISTÓRICO COBROS!A3:E"&amp;COUNTA('HISTÓRICO COBROS'!A:A)),5,FALSE)),"")</f>
        <v/>
      </c>
      <c r="F558" s="137" t="str">
        <f t="array" ref="F558">IF(A558="","",VLOOKUP(A558,INDIRECT("CXC!A2:I"&amp;COUNTA(CXC!A:A)),9,FALSE))</f>
        <v/>
      </c>
      <c r="G558" s="137" t="str">
        <f t="array" ref="G558">IFERROR(IF(A558="","",VLOOKUP(A558,INDIRECT("HISTÓRICO COBROS!A3:F"&amp;COUNTA('HISTÓRICO COBROS'!A:A)),6,FALSE)),"")</f>
        <v/>
      </c>
      <c r="H558" s="138" t="str">
        <f t="shared" ref="H558:I558" si="559">IF(D558="","",D558+F558)</f>
        <v/>
      </c>
      <c r="I558" s="135" t="str">
        <f t="shared" si="559"/>
        <v/>
      </c>
      <c r="J558" s="140" t="str">
        <f t="shared" si="3"/>
        <v/>
      </c>
      <c r="K558" s="140" t="str">
        <f t="shared" si="4"/>
        <v/>
      </c>
    </row>
    <row r="559" ht="22.5" customHeight="1">
      <c r="A559" s="140"/>
      <c r="B559" s="135" t="str">
        <f t="array" ref="B559">IF(A559="","",VLOOKUP(A559,INDIRECT("CXC!A2:B"&amp;COUNTA(CXC!A:A)),2,FALSE))</f>
        <v/>
      </c>
      <c r="C559" s="136" t="str">
        <f t="array" ref="C559">IF(A559="","",VLOOKUP(A559,INDIRECT("CXC!A2:C"&amp;COUNTA(CXC!A:A)),3,FALSE))</f>
        <v/>
      </c>
      <c r="D559" s="137" t="str">
        <f t="array" ref="D559">IF(A559="","",VLOOKUP(A559,INDIRECT("CXC!A2:H"&amp;COUNTA(CXC!A:A)),8,FALSE))</f>
        <v/>
      </c>
      <c r="E559" s="137" t="str">
        <f t="array" ref="E559">IFERROR(IF(A559="","",VLOOKUP(A559,INDIRECT("HISTÓRICO COBROS!A3:E"&amp;COUNTA('HISTÓRICO COBROS'!A:A)),5,FALSE)),"")</f>
        <v/>
      </c>
      <c r="F559" s="137" t="str">
        <f t="array" ref="F559">IF(A559="","",VLOOKUP(A559,INDIRECT("CXC!A2:I"&amp;COUNTA(CXC!A:A)),9,FALSE))</f>
        <v/>
      </c>
      <c r="G559" s="137" t="str">
        <f t="array" ref="G559">IFERROR(IF(A559="","",VLOOKUP(A559,INDIRECT("HISTÓRICO COBROS!A3:F"&amp;COUNTA('HISTÓRICO COBROS'!A:A)),6,FALSE)),"")</f>
        <v/>
      </c>
      <c r="H559" s="138" t="str">
        <f t="shared" ref="H559:I559" si="560">IF(D559="","",D559+F559)</f>
        <v/>
      </c>
      <c r="I559" s="135" t="str">
        <f t="shared" si="560"/>
        <v/>
      </c>
      <c r="J559" s="140" t="str">
        <f t="shared" si="3"/>
        <v/>
      </c>
      <c r="K559" s="140" t="str">
        <f t="shared" si="4"/>
        <v/>
      </c>
    </row>
    <row r="560" ht="22.5" customHeight="1">
      <c r="A560" s="140"/>
      <c r="B560" s="135" t="str">
        <f t="array" ref="B560">IF(A560="","",VLOOKUP(A560,INDIRECT("CXC!A2:B"&amp;COUNTA(CXC!A:A)),2,FALSE))</f>
        <v/>
      </c>
      <c r="C560" s="136" t="str">
        <f t="array" ref="C560">IF(A560="","",VLOOKUP(A560,INDIRECT("CXC!A2:C"&amp;COUNTA(CXC!A:A)),3,FALSE))</f>
        <v/>
      </c>
      <c r="D560" s="137" t="str">
        <f t="array" ref="D560">IF(A560="","",VLOOKUP(A560,INDIRECT("CXC!A2:H"&amp;COUNTA(CXC!A:A)),8,FALSE))</f>
        <v/>
      </c>
      <c r="E560" s="137" t="str">
        <f t="array" ref="E560">IFERROR(IF(A560="","",VLOOKUP(A560,INDIRECT("HISTÓRICO COBROS!A3:E"&amp;COUNTA('HISTÓRICO COBROS'!A:A)),5,FALSE)),"")</f>
        <v/>
      </c>
      <c r="F560" s="137" t="str">
        <f t="array" ref="F560">IF(A560="","",VLOOKUP(A560,INDIRECT("CXC!A2:I"&amp;COUNTA(CXC!A:A)),9,FALSE))</f>
        <v/>
      </c>
      <c r="G560" s="137" t="str">
        <f t="array" ref="G560">IFERROR(IF(A560="","",VLOOKUP(A560,INDIRECT("HISTÓRICO COBROS!A3:F"&amp;COUNTA('HISTÓRICO COBROS'!A:A)),6,FALSE)),"")</f>
        <v/>
      </c>
      <c r="H560" s="138" t="str">
        <f t="shared" ref="H560:I560" si="561">IF(D560="","",D560+F560)</f>
        <v/>
      </c>
      <c r="I560" s="135" t="str">
        <f t="shared" si="561"/>
        <v/>
      </c>
      <c r="J560" s="140" t="str">
        <f t="shared" si="3"/>
        <v/>
      </c>
      <c r="K560" s="140" t="str">
        <f t="shared" si="4"/>
        <v/>
      </c>
    </row>
    <row r="561" ht="22.5" customHeight="1">
      <c r="A561" s="140"/>
      <c r="B561" s="135" t="str">
        <f t="array" ref="B561">IF(A561="","",VLOOKUP(A561,INDIRECT("CXC!A2:B"&amp;COUNTA(CXC!A:A)),2,FALSE))</f>
        <v/>
      </c>
      <c r="C561" s="136" t="str">
        <f t="array" ref="C561">IF(A561="","",VLOOKUP(A561,INDIRECT("CXC!A2:C"&amp;COUNTA(CXC!A:A)),3,FALSE))</f>
        <v/>
      </c>
      <c r="D561" s="137" t="str">
        <f t="array" ref="D561">IF(A561="","",VLOOKUP(A561,INDIRECT("CXC!A2:H"&amp;COUNTA(CXC!A:A)),8,FALSE))</f>
        <v/>
      </c>
      <c r="E561" s="137" t="str">
        <f t="array" ref="E561">IFERROR(IF(A561="","",VLOOKUP(A561,INDIRECT("HISTÓRICO COBROS!A3:E"&amp;COUNTA('HISTÓRICO COBROS'!A:A)),5,FALSE)),"")</f>
        <v/>
      </c>
      <c r="F561" s="137" t="str">
        <f t="array" ref="F561">IF(A561="","",VLOOKUP(A561,INDIRECT("CXC!A2:I"&amp;COUNTA(CXC!A:A)),9,FALSE))</f>
        <v/>
      </c>
      <c r="G561" s="137" t="str">
        <f t="array" ref="G561">IFERROR(IF(A561="","",VLOOKUP(A561,INDIRECT("HISTÓRICO COBROS!A3:F"&amp;COUNTA('HISTÓRICO COBROS'!A:A)),6,FALSE)),"")</f>
        <v/>
      </c>
      <c r="H561" s="138" t="str">
        <f t="shared" ref="H561:I561" si="562">IF(D561="","",D561+F561)</f>
        <v/>
      </c>
      <c r="I561" s="135" t="str">
        <f t="shared" si="562"/>
        <v/>
      </c>
      <c r="J561" s="140" t="str">
        <f t="shared" si="3"/>
        <v/>
      </c>
      <c r="K561" s="140" t="str">
        <f t="shared" si="4"/>
        <v/>
      </c>
    </row>
    <row r="562" ht="22.5" customHeight="1">
      <c r="A562" s="140"/>
      <c r="B562" s="135" t="str">
        <f t="array" ref="B562">IF(A562="","",VLOOKUP(A562,INDIRECT("CXC!A2:B"&amp;COUNTA(CXC!A:A)),2,FALSE))</f>
        <v/>
      </c>
      <c r="C562" s="136" t="str">
        <f t="array" ref="C562">IF(A562="","",VLOOKUP(A562,INDIRECT("CXC!A2:C"&amp;COUNTA(CXC!A:A)),3,FALSE))</f>
        <v/>
      </c>
      <c r="D562" s="137" t="str">
        <f t="array" ref="D562">IF(A562="","",VLOOKUP(A562,INDIRECT("CXC!A2:H"&amp;COUNTA(CXC!A:A)),8,FALSE))</f>
        <v/>
      </c>
      <c r="E562" s="137" t="str">
        <f t="array" ref="E562">IFERROR(IF(A562="","",VLOOKUP(A562,INDIRECT("HISTÓRICO COBROS!A3:E"&amp;COUNTA('HISTÓRICO COBROS'!A:A)),5,FALSE)),"")</f>
        <v/>
      </c>
      <c r="F562" s="137" t="str">
        <f t="array" ref="F562">IF(A562="","",VLOOKUP(A562,INDIRECT("CXC!A2:I"&amp;COUNTA(CXC!A:A)),9,FALSE))</f>
        <v/>
      </c>
      <c r="G562" s="137" t="str">
        <f t="array" ref="G562">IFERROR(IF(A562="","",VLOOKUP(A562,INDIRECT("HISTÓRICO COBROS!A3:F"&amp;COUNTA('HISTÓRICO COBROS'!A:A)),6,FALSE)),"")</f>
        <v/>
      </c>
      <c r="H562" s="138" t="str">
        <f t="shared" ref="H562:I562" si="563">IF(D562="","",D562+F562)</f>
        <v/>
      </c>
      <c r="I562" s="135" t="str">
        <f t="shared" si="563"/>
        <v/>
      </c>
      <c r="J562" s="140" t="str">
        <f t="shared" si="3"/>
        <v/>
      </c>
      <c r="K562" s="140" t="str">
        <f t="shared" si="4"/>
        <v/>
      </c>
    </row>
    <row r="563" ht="22.5" customHeight="1">
      <c r="A563" s="140"/>
      <c r="B563" s="135" t="str">
        <f t="array" ref="B563">IF(A563="","",VLOOKUP(A563,INDIRECT("CXC!A2:B"&amp;COUNTA(CXC!A:A)),2,FALSE))</f>
        <v/>
      </c>
      <c r="C563" s="136" t="str">
        <f t="array" ref="C563">IF(A563="","",VLOOKUP(A563,INDIRECT("CXC!A2:C"&amp;COUNTA(CXC!A:A)),3,FALSE))</f>
        <v/>
      </c>
      <c r="D563" s="137" t="str">
        <f t="array" ref="D563">IF(A563="","",VLOOKUP(A563,INDIRECT("CXC!A2:H"&amp;COUNTA(CXC!A:A)),8,FALSE))</f>
        <v/>
      </c>
      <c r="E563" s="137" t="str">
        <f t="array" ref="E563">IFERROR(IF(A563="","",VLOOKUP(A563,INDIRECT("HISTÓRICO COBROS!A3:E"&amp;COUNTA('HISTÓRICO COBROS'!A:A)),5,FALSE)),"")</f>
        <v/>
      </c>
      <c r="F563" s="137" t="str">
        <f t="array" ref="F563">IF(A563="","",VLOOKUP(A563,INDIRECT("CXC!A2:I"&amp;COUNTA(CXC!A:A)),9,FALSE))</f>
        <v/>
      </c>
      <c r="G563" s="137" t="str">
        <f t="array" ref="G563">IFERROR(IF(A563="","",VLOOKUP(A563,INDIRECT("HISTÓRICO COBROS!A3:F"&amp;COUNTA('HISTÓRICO COBROS'!A:A)),6,FALSE)),"")</f>
        <v/>
      </c>
      <c r="H563" s="138" t="str">
        <f t="shared" ref="H563:I563" si="564">IF(D563="","",D563+F563)</f>
        <v/>
      </c>
      <c r="I563" s="135" t="str">
        <f t="shared" si="564"/>
        <v/>
      </c>
      <c r="J563" s="140" t="str">
        <f t="shared" si="3"/>
        <v/>
      </c>
      <c r="K563" s="140" t="str">
        <f t="shared" si="4"/>
        <v/>
      </c>
    </row>
    <row r="564" ht="22.5" customHeight="1">
      <c r="A564" s="140"/>
      <c r="B564" s="135" t="str">
        <f t="array" ref="B564">IF(A564="","",VLOOKUP(A564,INDIRECT("CXC!A2:B"&amp;COUNTA(CXC!A:A)),2,FALSE))</f>
        <v/>
      </c>
      <c r="C564" s="136" t="str">
        <f t="array" ref="C564">IF(A564="","",VLOOKUP(A564,INDIRECT("CXC!A2:C"&amp;COUNTA(CXC!A:A)),3,FALSE))</f>
        <v/>
      </c>
      <c r="D564" s="137" t="str">
        <f t="array" ref="D564">IF(A564="","",VLOOKUP(A564,INDIRECT("CXC!A2:H"&amp;COUNTA(CXC!A:A)),8,FALSE))</f>
        <v/>
      </c>
      <c r="E564" s="137" t="str">
        <f t="array" ref="E564">IFERROR(IF(A564="","",VLOOKUP(A564,INDIRECT("HISTÓRICO COBROS!A3:E"&amp;COUNTA('HISTÓRICO COBROS'!A:A)),5,FALSE)),"")</f>
        <v/>
      </c>
      <c r="F564" s="137" t="str">
        <f t="array" ref="F564">IF(A564="","",VLOOKUP(A564,INDIRECT("CXC!A2:I"&amp;COUNTA(CXC!A:A)),9,FALSE))</f>
        <v/>
      </c>
      <c r="G564" s="137" t="str">
        <f t="array" ref="G564">IFERROR(IF(A564="","",VLOOKUP(A564,INDIRECT("HISTÓRICO COBROS!A3:F"&amp;COUNTA('HISTÓRICO COBROS'!A:A)),6,FALSE)),"")</f>
        <v/>
      </c>
      <c r="H564" s="138" t="str">
        <f t="shared" ref="H564:I564" si="565">IF(D564="","",D564+F564)</f>
        <v/>
      </c>
      <c r="I564" s="135" t="str">
        <f t="shared" si="565"/>
        <v/>
      </c>
      <c r="J564" s="140" t="str">
        <f t="shared" si="3"/>
        <v/>
      </c>
      <c r="K564" s="140" t="str">
        <f t="shared" si="4"/>
        <v/>
      </c>
    </row>
    <row r="565" ht="22.5" customHeight="1">
      <c r="A565" s="140"/>
      <c r="B565" s="135" t="str">
        <f t="array" ref="B565">IF(A565="","",VLOOKUP(A565,INDIRECT("CXC!A2:B"&amp;COUNTA(CXC!A:A)),2,FALSE))</f>
        <v/>
      </c>
      <c r="C565" s="136" t="str">
        <f t="array" ref="C565">IF(A565="","",VLOOKUP(A565,INDIRECT("CXC!A2:C"&amp;COUNTA(CXC!A:A)),3,FALSE))</f>
        <v/>
      </c>
      <c r="D565" s="137" t="str">
        <f t="array" ref="D565">IF(A565="","",VLOOKUP(A565,INDIRECT("CXC!A2:H"&amp;COUNTA(CXC!A:A)),8,FALSE))</f>
        <v/>
      </c>
      <c r="E565" s="137" t="str">
        <f t="array" ref="E565">IFERROR(IF(A565="","",VLOOKUP(A565,INDIRECT("HISTÓRICO COBROS!A3:E"&amp;COUNTA('HISTÓRICO COBROS'!A:A)),5,FALSE)),"")</f>
        <v/>
      </c>
      <c r="F565" s="137" t="str">
        <f t="array" ref="F565">IF(A565="","",VLOOKUP(A565,INDIRECT("CXC!A2:I"&amp;COUNTA(CXC!A:A)),9,FALSE))</f>
        <v/>
      </c>
      <c r="G565" s="137" t="str">
        <f t="array" ref="G565">IFERROR(IF(A565="","",VLOOKUP(A565,INDIRECT("HISTÓRICO COBROS!A3:F"&amp;COUNTA('HISTÓRICO COBROS'!A:A)),6,FALSE)),"")</f>
        <v/>
      </c>
      <c r="H565" s="138" t="str">
        <f t="shared" ref="H565:I565" si="566">IF(D565="","",D565+F565)</f>
        <v/>
      </c>
      <c r="I565" s="135" t="str">
        <f t="shared" si="566"/>
        <v/>
      </c>
      <c r="J565" s="140" t="str">
        <f t="shared" si="3"/>
        <v/>
      </c>
      <c r="K565" s="140" t="str">
        <f t="shared" si="4"/>
        <v/>
      </c>
    </row>
    <row r="566" ht="22.5" customHeight="1">
      <c r="A566" s="140"/>
      <c r="B566" s="135" t="str">
        <f t="array" ref="B566">IF(A566="","",VLOOKUP(A566,INDIRECT("CXC!A2:B"&amp;COUNTA(CXC!A:A)),2,FALSE))</f>
        <v/>
      </c>
      <c r="C566" s="136" t="str">
        <f t="array" ref="C566">IF(A566="","",VLOOKUP(A566,INDIRECT("CXC!A2:C"&amp;COUNTA(CXC!A:A)),3,FALSE))</f>
        <v/>
      </c>
      <c r="D566" s="137" t="str">
        <f t="array" ref="D566">IF(A566="","",VLOOKUP(A566,INDIRECT("CXC!A2:H"&amp;COUNTA(CXC!A:A)),8,FALSE))</f>
        <v/>
      </c>
      <c r="E566" s="137" t="str">
        <f t="array" ref="E566">IFERROR(IF(A566="","",VLOOKUP(A566,INDIRECT("HISTÓRICO COBROS!A3:E"&amp;COUNTA('HISTÓRICO COBROS'!A:A)),5,FALSE)),"")</f>
        <v/>
      </c>
      <c r="F566" s="137" t="str">
        <f t="array" ref="F566">IF(A566="","",VLOOKUP(A566,INDIRECT("CXC!A2:I"&amp;COUNTA(CXC!A:A)),9,FALSE))</f>
        <v/>
      </c>
      <c r="G566" s="137" t="str">
        <f t="array" ref="G566">IFERROR(IF(A566="","",VLOOKUP(A566,INDIRECT("HISTÓRICO COBROS!A3:F"&amp;COUNTA('HISTÓRICO COBROS'!A:A)),6,FALSE)),"")</f>
        <v/>
      </c>
      <c r="H566" s="138" t="str">
        <f t="shared" ref="H566:I566" si="567">IF(D566="","",D566+F566)</f>
        <v/>
      </c>
      <c r="I566" s="135" t="str">
        <f t="shared" si="567"/>
        <v/>
      </c>
      <c r="J566" s="140" t="str">
        <f t="shared" si="3"/>
        <v/>
      </c>
      <c r="K566" s="140" t="str">
        <f t="shared" si="4"/>
        <v/>
      </c>
    </row>
    <row r="567" ht="22.5" customHeight="1">
      <c r="A567" s="140"/>
      <c r="B567" s="135" t="str">
        <f t="array" ref="B567">IF(A567="","",VLOOKUP(A567,INDIRECT("CXC!A2:B"&amp;COUNTA(CXC!A:A)),2,FALSE))</f>
        <v/>
      </c>
      <c r="C567" s="136" t="str">
        <f t="array" ref="C567">IF(A567="","",VLOOKUP(A567,INDIRECT("CXC!A2:C"&amp;COUNTA(CXC!A:A)),3,FALSE))</f>
        <v/>
      </c>
      <c r="D567" s="137" t="str">
        <f t="array" ref="D567">IF(A567="","",VLOOKUP(A567,INDIRECT("CXC!A2:H"&amp;COUNTA(CXC!A:A)),8,FALSE))</f>
        <v/>
      </c>
      <c r="E567" s="137" t="str">
        <f t="array" ref="E567">IFERROR(IF(A567="","",VLOOKUP(A567,INDIRECT("HISTÓRICO COBROS!A3:E"&amp;COUNTA('HISTÓRICO COBROS'!A:A)),5,FALSE)),"")</f>
        <v/>
      </c>
      <c r="F567" s="137" t="str">
        <f t="array" ref="F567">IF(A567="","",VLOOKUP(A567,INDIRECT("CXC!A2:I"&amp;COUNTA(CXC!A:A)),9,FALSE))</f>
        <v/>
      </c>
      <c r="G567" s="137" t="str">
        <f t="array" ref="G567">IFERROR(IF(A567="","",VLOOKUP(A567,INDIRECT("HISTÓRICO COBROS!A3:F"&amp;COUNTA('HISTÓRICO COBROS'!A:A)),6,FALSE)),"")</f>
        <v/>
      </c>
      <c r="H567" s="138" t="str">
        <f t="shared" ref="H567:I567" si="568">IF(D567="","",D567+F567)</f>
        <v/>
      </c>
      <c r="I567" s="135" t="str">
        <f t="shared" si="568"/>
        <v/>
      </c>
      <c r="J567" s="140" t="str">
        <f t="shared" si="3"/>
        <v/>
      </c>
      <c r="K567" s="140" t="str">
        <f t="shared" si="4"/>
        <v/>
      </c>
    </row>
    <row r="568" ht="22.5" customHeight="1">
      <c r="A568" s="140"/>
      <c r="B568" s="135" t="str">
        <f t="array" ref="B568">IF(A568="","",VLOOKUP(A568,INDIRECT("CXC!A2:B"&amp;COUNTA(CXC!A:A)),2,FALSE))</f>
        <v/>
      </c>
      <c r="C568" s="136" t="str">
        <f t="array" ref="C568">IF(A568="","",VLOOKUP(A568,INDIRECT("CXC!A2:C"&amp;COUNTA(CXC!A:A)),3,FALSE))</f>
        <v/>
      </c>
      <c r="D568" s="137" t="str">
        <f t="array" ref="D568">IF(A568="","",VLOOKUP(A568,INDIRECT("CXC!A2:H"&amp;COUNTA(CXC!A:A)),8,FALSE))</f>
        <v/>
      </c>
      <c r="E568" s="137" t="str">
        <f t="array" ref="E568">IFERROR(IF(A568="","",VLOOKUP(A568,INDIRECT("HISTÓRICO COBROS!A3:E"&amp;COUNTA('HISTÓRICO COBROS'!A:A)),5,FALSE)),"")</f>
        <v/>
      </c>
      <c r="F568" s="137" t="str">
        <f t="array" ref="F568">IF(A568="","",VLOOKUP(A568,INDIRECT("CXC!A2:I"&amp;COUNTA(CXC!A:A)),9,FALSE))</f>
        <v/>
      </c>
      <c r="G568" s="137" t="str">
        <f t="array" ref="G568">IFERROR(IF(A568="","",VLOOKUP(A568,INDIRECT("HISTÓRICO COBROS!A3:F"&amp;COUNTA('HISTÓRICO COBROS'!A:A)),6,FALSE)),"")</f>
        <v/>
      </c>
      <c r="H568" s="138" t="str">
        <f t="shared" ref="H568:I568" si="569">IF(D568="","",D568+F568)</f>
        <v/>
      </c>
      <c r="I568" s="135" t="str">
        <f t="shared" si="569"/>
        <v/>
      </c>
      <c r="J568" s="140" t="str">
        <f t="shared" si="3"/>
        <v/>
      </c>
      <c r="K568" s="140" t="str">
        <f t="shared" si="4"/>
        <v/>
      </c>
    </row>
    <row r="569" ht="22.5" customHeight="1">
      <c r="A569" s="140"/>
      <c r="B569" s="135" t="str">
        <f t="array" ref="B569">IF(A569="","",VLOOKUP(A569,INDIRECT("CXC!A2:B"&amp;COUNTA(CXC!A:A)),2,FALSE))</f>
        <v/>
      </c>
      <c r="C569" s="136" t="str">
        <f t="array" ref="C569">IF(A569="","",VLOOKUP(A569,INDIRECT("CXC!A2:C"&amp;COUNTA(CXC!A:A)),3,FALSE))</f>
        <v/>
      </c>
      <c r="D569" s="137" t="str">
        <f t="array" ref="D569">IF(A569="","",VLOOKUP(A569,INDIRECT("CXC!A2:H"&amp;COUNTA(CXC!A:A)),8,FALSE))</f>
        <v/>
      </c>
      <c r="E569" s="137" t="str">
        <f t="array" ref="E569">IFERROR(IF(A569="","",VLOOKUP(A569,INDIRECT("HISTÓRICO COBROS!A3:E"&amp;COUNTA('HISTÓRICO COBROS'!A:A)),5,FALSE)),"")</f>
        <v/>
      </c>
      <c r="F569" s="137" t="str">
        <f t="array" ref="F569">IF(A569="","",VLOOKUP(A569,INDIRECT("CXC!A2:I"&amp;COUNTA(CXC!A:A)),9,FALSE))</f>
        <v/>
      </c>
      <c r="G569" s="137" t="str">
        <f t="array" ref="G569">IFERROR(IF(A569="","",VLOOKUP(A569,INDIRECT("HISTÓRICO COBROS!A3:F"&amp;COUNTA('HISTÓRICO COBROS'!A:A)),6,FALSE)),"")</f>
        <v/>
      </c>
      <c r="H569" s="138" t="str">
        <f t="shared" ref="H569:I569" si="570">IF(D569="","",D569+F569)</f>
        <v/>
      </c>
      <c r="I569" s="135" t="str">
        <f t="shared" si="570"/>
        <v/>
      </c>
      <c r="J569" s="140" t="str">
        <f t="shared" si="3"/>
        <v/>
      </c>
      <c r="K569" s="140" t="str">
        <f t="shared" si="4"/>
        <v/>
      </c>
    </row>
    <row r="570" ht="22.5" customHeight="1">
      <c r="A570" s="140"/>
      <c r="B570" s="135" t="str">
        <f t="array" ref="B570">IF(A570="","",VLOOKUP(A570,INDIRECT("CXC!A2:B"&amp;COUNTA(CXC!A:A)),2,FALSE))</f>
        <v/>
      </c>
      <c r="C570" s="136" t="str">
        <f t="array" ref="C570">IF(A570="","",VLOOKUP(A570,INDIRECT("CXC!A2:C"&amp;COUNTA(CXC!A:A)),3,FALSE))</f>
        <v/>
      </c>
      <c r="D570" s="137" t="str">
        <f t="array" ref="D570">IF(A570="","",VLOOKUP(A570,INDIRECT("CXC!A2:H"&amp;COUNTA(CXC!A:A)),8,FALSE))</f>
        <v/>
      </c>
      <c r="E570" s="137" t="str">
        <f t="array" ref="E570">IFERROR(IF(A570="","",VLOOKUP(A570,INDIRECT("HISTÓRICO COBROS!A3:E"&amp;COUNTA('HISTÓRICO COBROS'!A:A)),5,FALSE)),"")</f>
        <v/>
      </c>
      <c r="F570" s="137" t="str">
        <f t="array" ref="F570">IF(A570="","",VLOOKUP(A570,INDIRECT("CXC!A2:I"&amp;COUNTA(CXC!A:A)),9,FALSE))</f>
        <v/>
      </c>
      <c r="G570" s="137" t="str">
        <f t="array" ref="G570">IFERROR(IF(A570="","",VLOOKUP(A570,INDIRECT("HISTÓRICO COBROS!A3:F"&amp;COUNTA('HISTÓRICO COBROS'!A:A)),6,FALSE)),"")</f>
        <v/>
      </c>
      <c r="H570" s="138" t="str">
        <f t="shared" ref="H570:I570" si="571">IF(D570="","",D570+F570)</f>
        <v/>
      </c>
      <c r="I570" s="135" t="str">
        <f t="shared" si="571"/>
        <v/>
      </c>
      <c r="J570" s="140" t="str">
        <f t="shared" si="3"/>
        <v/>
      </c>
      <c r="K570" s="140" t="str">
        <f t="shared" si="4"/>
        <v/>
      </c>
    </row>
    <row r="571" ht="22.5" customHeight="1">
      <c r="A571" s="140"/>
      <c r="B571" s="135" t="str">
        <f t="array" ref="B571">IF(A571="","",VLOOKUP(A571,INDIRECT("CXC!A2:B"&amp;COUNTA(CXC!A:A)),2,FALSE))</f>
        <v/>
      </c>
      <c r="C571" s="136" t="str">
        <f t="array" ref="C571">IF(A571="","",VLOOKUP(A571,INDIRECT("CXC!A2:C"&amp;COUNTA(CXC!A:A)),3,FALSE))</f>
        <v/>
      </c>
      <c r="D571" s="137" t="str">
        <f t="array" ref="D571">IF(A571="","",VLOOKUP(A571,INDIRECT("CXC!A2:H"&amp;COUNTA(CXC!A:A)),8,FALSE))</f>
        <v/>
      </c>
      <c r="E571" s="137" t="str">
        <f t="array" ref="E571">IFERROR(IF(A571="","",VLOOKUP(A571,INDIRECT("HISTÓRICO COBROS!A3:E"&amp;COUNTA('HISTÓRICO COBROS'!A:A)),5,FALSE)),"")</f>
        <v/>
      </c>
      <c r="F571" s="137" t="str">
        <f t="array" ref="F571">IF(A571="","",VLOOKUP(A571,INDIRECT("CXC!A2:I"&amp;COUNTA(CXC!A:A)),9,FALSE))</f>
        <v/>
      </c>
      <c r="G571" s="137" t="str">
        <f t="array" ref="G571">IFERROR(IF(A571="","",VLOOKUP(A571,INDIRECT("HISTÓRICO COBROS!A3:F"&amp;COUNTA('HISTÓRICO COBROS'!A:A)),6,FALSE)),"")</f>
        <v/>
      </c>
      <c r="H571" s="138" t="str">
        <f t="shared" ref="H571:I571" si="572">IF(D571="","",D571+F571)</f>
        <v/>
      </c>
      <c r="I571" s="135" t="str">
        <f t="shared" si="572"/>
        <v/>
      </c>
      <c r="J571" s="140" t="str">
        <f t="shared" si="3"/>
        <v/>
      </c>
      <c r="K571" s="140" t="str">
        <f t="shared" si="4"/>
        <v/>
      </c>
    </row>
    <row r="572" ht="22.5" customHeight="1">
      <c r="A572" s="140"/>
      <c r="B572" s="135" t="str">
        <f t="array" ref="B572">IF(A572="","",VLOOKUP(A572,INDIRECT("CXC!A2:B"&amp;COUNTA(CXC!A:A)),2,FALSE))</f>
        <v/>
      </c>
      <c r="C572" s="136" t="str">
        <f t="array" ref="C572">IF(A572="","",VLOOKUP(A572,INDIRECT("CXC!A2:C"&amp;COUNTA(CXC!A:A)),3,FALSE))</f>
        <v/>
      </c>
      <c r="D572" s="137" t="str">
        <f t="array" ref="D572">IF(A572="","",VLOOKUP(A572,INDIRECT("CXC!A2:H"&amp;COUNTA(CXC!A:A)),8,FALSE))</f>
        <v/>
      </c>
      <c r="E572" s="137" t="str">
        <f t="array" ref="E572">IFERROR(IF(A572="","",VLOOKUP(A572,INDIRECT("HISTÓRICO COBROS!A3:E"&amp;COUNTA('HISTÓRICO COBROS'!A:A)),5,FALSE)),"")</f>
        <v/>
      </c>
      <c r="F572" s="137" t="str">
        <f t="array" ref="F572">IF(A572="","",VLOOKUP(A572,INDIRECT("CXC!A2:I"&amp;COUNTA(CXC!A:A)),9,FALSE))</f>
        <v/>
      </c>
      <c r="G572" s="137" t="str">
        <f t="array" ref="G572">IFERROR(IF(A572="","",VLOOKUP(A572,INDIRECT("HISTÓRICO COBROS!A3:F"&amp;COUNTA('HISTÓRICO COBROS'!A:A)),6,FALSE)),"")</f>
        <v/>
      </c>
      <c r="H572" s="138" t="str">
        <f t="shared" ref="H572:I572" si="573">IF(D572="","",D572+F572)</f>
        <v/>
      </c>
      <c r="I572" s="135" t="str">
        <f t="shared" si="573"/>
        <v/>
      </c>
      <c r="J572" s="140" t="str">
        <f t="shared" si="3"/>
        <v/>
      </c>
      <c r="K572" s="140" t="str">
        <f t="shared" si="4"/>
        <v/>
      </c>
    </row>
    <row r="573" ht="22.5" customHeight="1">
      <c r="A573" s="140"/>
      <c r="B573" s="135" t="str">
        <f t="array" ref="B573">IF(A573="","",VLOOKUP(A573,INDIRECT("CXC!A2:B"&amp;COUNTA(CXC!A:A)),2,FALSE))</f>
        <v/>
      </c>
      <c r="C573" s="136" t="str">
        <f t="array" ref="C573">IF(A573="","",VLOOKUP(A573,INDIRECT("CXC!A2:C"&amp;COUNTA(CXC!A:A)),3,FALSE))</f>
        <v/>
      </c>
      <c r="D573" s="137" t="str">
        <f t="array" ref="D573">IF(A573="","",VLOOKUP(A573,INDIRECT("CXC!A2:H"&amp;COUNTA(CXC!A:A)),8,FALSE))</f>
        <v/>
      </c>
      <c r="E573" s="137" t="str">
        <f t="array" ref="E573">IFERROR(IF(A573="","",VLOOKUP(A573,INDIRECT("HISTÓRICO COBROS!A3:E"&amp;COUNTA('HISTÓRICO COBROS'!A:A)),5,FALSE)),"")</f>
        <v/>
      </c>
      <c r="F573" s="137" t="str">
        <f t="array" ref="F573">IF(A573="","",VLOOKUP(A573,INDIRECT("CXC!A2:I"&amp;COUNTA(CXC!A:A)),9,FALSE))</f>
        <v/>
      </c>
      <c r="G573" s="137" t="str">
        <f t="array" ref="G573">IFERROR(IF(A573="","",VLOOKUP(A573,INDIRECT("HISTÓRICO COBROS!A3:F"&amp;COUNTA('HISTÓRICO COBROS'!A:A)),6,FALSE)),"")</f>
        <v/>
      </c>
      <c r="H573" s="138" t="str">
        <f t="shared" ref="H573:I573" si="574">IF(D573="","",D573+F573)</f>
        <v/>
      </c>
      <c r="I573" s="135" t="str">
        <f t="shared" si="574"/>
        <v/>
      </c>
      <c r="J573" s="140" t="str">
        <f t="shared" si="3"/>
        <v/>
      </c>
      <c r="K573" s="140" t="str">
        <f t="shared" si="4"/>
        <v/>
      </c>
    </row>
    <row r="574" ht="22.5" customHeight="1">
      <c r="A574" s="140"/>
      <c r="B574" s="135" t="str">
        <f t="array" ref="B574">IF(A574="","",VLOOKUP(A574,INDIRECT("CXC!A2:B"&amp;COUNTA(CXC!A:A)),2,FALSE))</f>
        <v/>
      </c>
      <c r="C574" s="136" t="str">
        <f t="array" ref="C574">IF(A574="","",VLOOKUP(A574,INDIRECT("CXC!A2:C"&amp;COUNTA(CXC!A:A)),3,FALSE))</f>
        <v/>
      </c>
      <c r="D574" s="137" t="str">
        <f t="array" ref="D574">IF(A574="","",VLOOKUP(A574,INDIRECT("CXC!A2:H"&amp;COUNTA(CXC!A:A)),8,FALSE))</f>
        <v/>
      </c>
      <c r="E574" s="137" t="str">
        <f t="array" ref="E574">IFERROR(IF(A574="","",VLOOKUP(A574,INDIRECT("HISTÓRICO COBROS!A3:E"&amp;COUNTA('HISTÓRICO COBROS'!A:A)),5,FALSE)),"")</f>
        <v/>
      </c>
      <c r="F574" s="137" t="str">
        <f t="array" ref="F574">IF(A574="","",VLOOKUP(A574,INDIRECT("CXC!A2:I"&amp;COUNTA(CXC!A:A)),9,FALSE))</f>
        <v/>
      </c>
      <c r="G574" s="137" t="str">
        <f t="array" ref="G574">IFERROR(IF(A574="","",VLOOKUP(A574,INDIRECT("HISTÓRICO COBROS!A3:F"&amp;COUNTA('HISTÓRICO COBROS'!A:A)),6,FALSE)),"")</f>
        <v/>
      </c>
      <c r="H574" s="138" t="str">
        <f t="shared" ref="H574:I574" si="575">IF(D574="","",D574+F574)</f>
        <v/>
      </c>
      <c r="I574" s="135" t="str">
        <f t="shared" si="575"/>
        <v/>
      </c>
      <c r="J574" s="140" t="str">
        <f t="shared" si="3"/>
        <v/>
      </c>
      <c r="K574" s="140" t="str">
        <f t="shared" si="4"/>
        <v/>
      </c>
    </row>
    <row r="575" ht="22.5" customHeight="1">
      <c r="A575" s="140"/>
      <c r="B575" s="135" t="str">
        <f t="array" ref="B575">IF(A575="","",VLOOKUP(A575,INDIRECT("CXC!A2:B"&amp;COUNTA(CXC!A:A)),2,FALSE))</f>
        <v/>
      </c>
      <c r="C575" s="136" t="str">
        <f t="array" ref="C575">IF(A575="","",VLOOKUP(A575,INDIRECT("CXC!A2:C"&amp;COUNTA(CXC!A:A)),3,FALSE))</f>
        <v/>
      </c>
      <c r="D575" s="137" t="str">
        <f t="array" ref="D575">IF(A575="","",VLOOKUP(A575,INDIRECT("CXC!A2:H"&amp;COUNTA(CXC!A:A)),8,FALSE))</f>
        <v/>
      </c>
      <c r="E575" s="137" t="str">
        <f t="array" ref="E575">IFERROR(IF(A575="","",VLOOKUP(A575,INDIRECT("HISTÓRICO COBROS!A3:E"&amp;COUNTA('HISTÓRICO COBROS'!A:A)),5,FALSE)),"")</f>
        <v/>
      </c>
      <c r="F575" s="137" t="str">
        <f t="array" ref="F575">IF(A575="","",VLOOKUP(A575,INDIRECT("CXC!A2:I"&amp;COUNTA(CXC!A:A)),9,FALSE))</f>
        <v/>
      </c>
      <c r="G575" s="137" t="str">
        <f t="array" ref="G575">IFERROR(IF(A575="","",VLOOKUP(A575,INDIRECT("HISTÓRICO COBROS!A3:F"&amp;COUNTA('HISTÓRICO COBROS'!A:A)),6,FALSE)),"")</f>
        <v/>
      </c>
      <c r="H575" s="138" t="str">
        <f t="shared" ref="H575:I575" si="576">IF(D575="","",D575+F575)</f>
        <v/>
      </c>
      <c r="I575" s="135" t="str">
        <f t="shared" si="576"/>
        <v/>
      </c>
      <c r="J575" s="140" t="str">
        <f t="shared" si="3"/>
        <v/>
      </c>
      <c r="K575" s="140" t="str">
        <f t="shared" si="4"/>
        <v/>
      </c>
    </row>
    <row r="576" ht="22.5" customHeight="1">
      <c r="A576" s="140"/>
      <c r="B576" s="135" t="str">
        <f t="array" ref="B576">IF(A576="","",VLOOKUP(A576,INDIRECT("CXC!A2:B"&amp;COUNTA(CXC!A:A)),2,FALSE))</f>
        <v/>
      </c>
      <c r="C576" s="136" t="str">
        <f t="array" ref="C576">IF(A576="","",VLOOKUP(A576,INDIRECT("CXC!A2:C"&amp;COUNTA(CXC!A:A)),3,FALSE))</f>
        <v/>
      </c>
      <c r="D576" s="137" t="str">
        <f t="array" ref="D576">IF(A576="","",VLOOKUP(A576,INDIRECT("CXC!A2:H"&amp;COUNTA(CXC!A:A)),8,FALSE))</f>
        <v/>
      </c>
      <c r="E576" s="137" t="str">
        <f t="array" ref="E576">IFERROR(IF(A576="","",VLOOKUP(A576,INDIRECT("HISTÓRICO COBROS!A3:E"&amp;COUNTA('HISTÓRICO COBROS'!A:A)),5,FALSE)),"")</f>
        <v/>
      </c>
      <c r="F576" s="137" t="str">
        <f t="array" ref="F576">IF(A576="","",VLOOKUP(A576,INDIRECT("CXC!A2:I"&amp;COUNTA(CXC!A:A)),9,FALSE))</f>
        <v/>
      </c>
      <c r="G576" s="137" t="str">
        <f t="array" ref="G576">IFERROR(IF(A576="","",VLOOKUP(A576,INDIRECT("HISTÓRICO COBROS!A3:F"&amp;COUNTA('HISTÓRICO COBROS'!A:A)),6,FALSE)),"")</f>
        <v/>
      </c>
      <c r="H576" s="138" t="str">
        <f t="shared" ref="H576:I576" si="577">IF(D576="","",D576+F576)</f>
        <v/>
      </c>
      <c r="I576" s="135" t="str">
        <f t="shared" si="577"/>
        <v/>
      </c>
      <c r="J576" s="140" t="str">
        <f t="shared" si="3"/>
        <v/>
      </c>
      <c r="K576" s="140" t="str">
        <f t="shared" si="4"/>
        <v/>
      </c>
    </row>
    <row r="577" ht="22.5" customHeight="1">
      <c r="A577" s="140"/>
      <c r="B577" s="135" t="str">
        <f t="array" ref="B577">IF(A577="","",VLOOKUP(A577,INDIRECT("CXC!A2:B"&amp;COUNTA(CXC!A:A)),2,FALSE))</f>
        <v/>
      </c>
      <c r="C577" s="136" t="str">
        <f t="array" ref="C577">IF(A577="","",VLOOKUP(A577,INDIRECT("CXC!A2:C"&amp;COUNTA(CXC!A:A)),3,FALSE))</f>
        <v/>
      </c>
      <c r="D577" s="137" t="str">
        <f t="array" ref="D577">IF(A577="","",VLOOKUP(A577,INDIRECT("CXC!A2:H"&amp;COUNTA(CXC!A:A)),8,FALSE))</f>
        <v/>
      </c>
      <c r="E577" s="137" t="str">
        <f t="array" ref="E577">IFERROR(IF(A577="","",VLOOKUP(A577,INDIRECT("HISTÓRICO COBROS!A3:E"&amp;COUNTA('HISTÓRICO COBROS'!A:A)),5,FALSE)),"")</f>
        <v/>
      </c>
      <c r="F577" s="137" t="str">
        <f t="array" ref="F577">IF(A577="","",VLOOKUP(A577,INDIRECT("CXC!A2:I"&amp;COUNTA(CXC!A:A)),9,FALSE))</f>
        <v/>
      </c>
      <c r="G577" s="137" t="str">
        <f t="array" ref="G577">IFERROR(IF(A577="","",VLOOKUP(A577,INDIRECT("HISTÓRICO COBROS!A3:F"&amp;COUNTA('HISTÓRICO COBROS'!A:A)),6,FALSE)),"")</f>
        <v/>
      </c>
      <c r="H577" s="138" t="str">
        <f t="shared" ref="H577:I577" si="578">IF(D577="","",D577+F577)</f>
        <v/>
      </c>
      <c r="I577" s="135" t="str">
        <f t="shared" si="578"/>
        <v/>
      </c>
      <c r="J577" s="140" t="str">
        <f t="shared" si="3"/>
        <v/>
      </c>
      <c r="K577" s="140" t="str">
        <f t="shared" si="4"/>
        <v/>
      </c>
    </row>
    <row r="578" ht="22.5" customHeight="1">
      <c r="A578" s="140"/>
      <c r="B578" s="135" t="str">
        <f t="array" ref="B578">IF(A578="","",VLOOKUP(A578,INDIRECT("CXC!A2:B"&amp;COUNTA(CXC!A:A)),2,FALSE))</f>
        <v/>
      </c>
      <c r="C578" s="136" t="str">
        <f t="array" ref="C578">IF(A578="","",VLOOKUP(A578,INDIRECT("CXC!A2:C"&amp;COUNTA(CXC!A:A)),3,FALSE))</f>
        <v/>
      </c>
      <c r="D578" s="137" t="str">
        <f t="array" ref="D578">IF(A578="","",VLOOKUP(A578,INDIRECT("CXC!A2:H"&amp;COUNTA(CXC!A:A)),8,FALSE))</f>
        <v/>
      </c>
      <c r="E578" s="137" t="str">
        <f t="array" ref="E578">IFERROR(IF(A578="","",VLOOKUP(A578,INDIRECT("HISTÓRICO COBROS!A3:E"&amp;COUNTA('HISTÓRICO COBROS'!A:A)),5,FALSE)),"")</f>
        <v/>
      </c>
      <c r="F578" s="137" t="str">
        <f t="array" ref="F578">IF(A578="","",VLOOKUP(A578,INDIRECT("CXC!A2:I"&amp;COUNTA(CXC!A:A)),9,FALSE))</f>
        <v/>
      </c>
      <c r="G578" s="137" t="str">
        <f t="array" ref="G578">IFERROR(IF(A578="","",VLOOKUP(A578,INDIRECT("HISTÓRICO COBROS!A3:F"&amp;COUNTA('HISTÓRICO COBROS'!A:A)),6,FALSE)),"")</f>
        <v/>
      </c>
      <c r="H578" s="138" t="str">
        <f t="shared" ref="H578:I578" si="579">IF(D578="","",D578+F578)</f>
        <v/>
      </c>
      <c r="I578" s="135" t="str">
        <f t="shared" si="579"/>
        <v/>
      </c>
      <c r="J578" s="140" t="str">
        <f t="shared" si="3"/>
        <v/>
      </c>
      <c r="K578" s="140" t="str">
        <f t="shared" si="4"/>
        <v/>
      </c>
    </row>
    <row r="579" ht="22.5" customHeight="1">
      <c r="A579" s="140"/>
      <c r="B579" s="135" t="str">
        <f t="array" ref="B579">IF(A579="","",VLOOKUP(A579,INDIRECT("CXC!A2:B"&amp;COUNTA(CXC!A:A)),2,FALSE))</f>
        <v/>
      </c>
      <c r="C579" s="136" t="str">
        <f t="array" ref="C579">IF(A579="","",VLOOKUP(A579,INDIRECT("CXC!A2:C"&amp;COUNTA(CXC!A:A)),3,FALSE))</f>
        <v/>
      </c>
      <c r="D579" s="137" t="str">
        <f t="array" ref="D579">IF(A579="","",VLOOKUP(A579,INDIRECT("CXC!A2:H"&amp;COUNTA(CXC!A:A)),8,FALSE))</f>
        <v/>
      </c>
      <c r="E579" s="137" t="str">
        <f t="array" ref="E579">IFERROR(IF(A579="","",VLOOKUP(A579,INDIRECT("HISTÓRICO COBROS!A3:E"&amp;COUNTA('HISTÓRICO COBROS'!A:A)),5,FALSE)),"")</f>
        <v/>
      </c>
      <c r="F579" s="137" t="str">
        <f t="array" ref="F579">IF(A579="","",VLOOKUP(A579,INDIRECT("CXC!A2:I"&amp;COUNTA(CXC!A:A)),9,FALSE))</f>
        <v/>
      </c>
      <c r="G579" s="137" t="str">
        <f t="array" ref="G579">IFERROR(IF(A579="","",VLOOKUP(A579,INDIRECT("HISTÓRICO COBROS!A3:F"&amp;COUNTA('HISTÓRICO COBROS'!A:A)),6,FALSE)),"")</f>
        <v/>
      </c>
      <c r="H579" s="138" t="str">
        <f t="shared" ref="H579:I579" si="580">IF(D579="","",D579+F579)</f>
        <v/>
      </c>
      <c r="I579" s="135" t="str">
        <f t="shared" si="580"/>
        <v/>
      </c>
      <c r="J579" s="140" t="str">
        <f t="shared" si="3"/>
        <v/>
      </c>
      <c r="K579" s="140" t="str">
        <f t="shared" si="4"/>
        <v/>
      </c>
    </row>
    <row r="580" ht="22.5" customHeight="1">
      <c r="A580" s="140"/>
      <c r="B580" s="135" t="str">
        <f t="array" ref="B580">IF(A580="","",VLOOKUP(A580,INDIRECT("CXC!A2:B"&amp;COUNTA(CXC!A:A)),2,FALSE))</f>
        <v/>
      </c>
      <c r="C580" s="136" t="str">
        <f t="array" ref="C580">IF(A580="","",VLOOKUP(A580,INDIRECT("CXC!A2:C"&amp;COUNTA(CXC!A:A)),3,FALSE))</f>
        <v/>
      </c>
      <c r="D580" s="137" t="str">
        <f t="array" ref="D580">IF(A580="","",VLOOKUP(A580,INDIRECT("CXC!A2:H"&amp;COUNTA(CXC!A:A)),8,FALSE))</f>
        <v/>
      </c>
      <c r="E580" s="137" t="str">
        <f t="array" ref="E580">IFERROR(IF(A580="","",VLOOKUP(A580,INDIRECT("HISTÓRICO COBROS!A3:E"&amp;COUNTA('HISTÓRICO COBROS'!A:A)),5,FALSE)),"")</f>
        <v/>
      </c>
      <c r="F580" s="137" t="str">
        <f t="array" ref="F580">IF(A580="","",VLOOKUP(A580,INDIRECT("CXC!A2:I"&amp;COUNTA(CXC!A:A)),9,FALSE))</f>
        <v/>
      </c>
      <c r="G580" s="137" t="str">
        <f t="array" ref="G580">IFERROR(IF(A580="","",VLOOKUP(A580,INDIRECT("HISTÓRICO COBROS!A3:F"&amp;COUNTA('HISTÓRICO COBROS'!A:A)),6,FALSE)),"")</f>
        <v/>
      </c>
      <c r="H580" s="138" t="str">
        <f t="shared" ref="H580:I580" si="581">IF(D580="","",D580+F580)</f>
        <v/>
      </c>
      <c r="I580" s="135" t="str">
        <f t="shared" si="581"/>
        <v/>
      </c>
      <c r="J580" s="140" t="str">
        <f t="shared" si="3"/>
        <v/>
      </c>
      <c r="K580" s="140" t="str">
        <f t="shared" si="4"/>
        <v/>
      </c>
    </row>
    <row r="581" ht="22.5" customHeight="1">
      <c r="A581" s="140"/>
      <c r="B581" s="135" t="str">
        <f t="array" ref="B581">IF(A581="","",VLOOKUP(A581,INDIRECT("CXC!A2:B"&amp;COUNTA(CXC!A:A)),2,FALSE))</f>
        <v/>
      </c>
      <c r="C581" s="136" t="str">
        <f t="array" ref="C581">IF(A581="","",VLOOKUP(A581,INDIRECT("CXC!A2:C"&amp;COUNTA(CXC!A:A)),3,FALSE))</f>
        <v/>
      </c>
      <c r="D581" s="137" t="str">
        <f t="array" ref="D581">IF(A581="","",VLOOKUP(A581,INDIRECT("CXC!A2:H"&amp;COUNTA(CXC!A:A)),8,FALSE))</f>
        <v/>
      </c>
      <c r="E581" s="137" t="str">
        <f t="array" ref="E581">IFERROR(IF(A581="","",VLOOKUP(A581,INDIRECT("HISTÓRICO COBROS!A3:E"&amp;COUNTA('HISTÓRICO COBROS'!A:A)),5,FALSE)),"")</f>
        <v/>
      </c>
      <c r="F581" s="137" t="str">
        <f t="array" ref="F581">IF(A581="","",VLOOKUP(A581,INDIRECT("CXC!A2:I"&amp;COUNTA(CXC!A:A)),9,FALSE))</f>
        <v/>
      </c>
      <c r="G581" s="137" t="str">
        <f t="array" ref="G581">IFERROR(IF(A581="","",VLOOKUP(A581,INDIRECT("HISTÓRICO COBROS!A3:F"&amp;COUNTA('HISTÓRICO COBROS'!A:A)),6,FALSE)),"")</f>
        <v/>
      </c>
      <c r="H581" s="138" t="str">
        <f t="shared" ref="H581:I581" si="582">IF(D581="","",D581+F581)</f>
        <v/>
      </c>
      <c r="I581" s="135" t="str">
        <f t="shared" si="582"/>
        <v/>
      </c>
      <c r="J581" s="140" t="str">
        <f t="shared" si="3"/>
        <v/>
      </c>
      <c r="K581" s="140" t="str">
        <f t="shared" si="4"/>
        <v/>
      </c>
    </row>
    <row r="582" ht="22.5" customHeight="1">
      <c r="A582" s="140"/>
      <c r="B582" s="135" t="str">
        <f t="array" ref="B582">IF(A582="","",VLOOKUP(A582,INDIRECT("CXC!A2:B"&amp;COUNTA(CXC!A:A)),2,FALSE))</f>
        <v/>
      </c>
      <c r="C582" s="136" t="str">
        <f t="array" ref="C582">IF(A582="","",VLOOKUP(A582,INDIRECT("CXC!A2:C"&amp;COUNTA(CXC!A:A)),3,FALSE))</f>
        <v/>
      </c>
      <c r="D582" s="137" t="str">
        <f t="array" ref="D582">IF(A582="","",VLOOKUP(A582,INDIRECT("CXC!A2:H"&amp;COUNTA(CXC!A:A)),8,FALSE))</f>
        <v/>
      </c>
      <c r="E582" s="137" t="str">
        <f t="array" ref="E582">IFERROR(IF(A582="","",VLOOKUP(A582,INDIRECT("HISTÓRICO COBROS!A3:E"&amp;COUNTA('HISTÓRICO COBROS'!A:A)),5,FALSE)),"")</f>
        <v/>
      </c>
      <c r="F582" s="137" t="str">
        <f t="array" ref="F582">IF(A582="","",VLOOKUP(A582,INDIRECT("CXC!A2:I"&amp;COUNTA(CXC!A:A)),9,FALSE))</f>
        <v/>
      </c>
      <c r="G582" s="137" t="str">
        <f t="array" ref="G582">IFERROR(IF(A582="","",VLOOKUP(A582,INDIRECT("HISTÓRICO COBROS!A3:F"&amp;COUNTA('HISTÓRICO COBROS'!A:A)),6,FALSE)),"")</f>
        <v/>
      </c>
      <c r="H582" s="138" t="str">
        <f t="shared" ref="H582:I582" si="583">IF(D582="","",D582+F582)</f>
        <v/>
      </c>
      <c r="I582" s="135" t="str">
        <f t="shared" si="583"/>
        <v/>
      </c>
      <c r="J582" s="140" t="str">
        <f t="shared" si="3"/>
        <v/>
      </c>
      <c r="K582" s="140" t="str">
        <f t="shared" si="4"/>
        <v/>
      </c>
    </row>
    <row r="583" ht="22.5" customHeight="1">
      <c r="A583" s="140"/>
      <c r="B583" s="135" t="str">
        <f t="array" ref="B583">IF(A583="","",VLOOKUP(A583,INDIRECT("CXC!A2:B"&amp;COUNTA(CXC!A:A)),2,FALSE))</f>
        <v/>
      </c>
      <c r="C583" s="136" t="str">
        <f t="array" ref="C583">IF(A583="","",VLOOKUP(A583,INDIRECT("CXC!A2:C"&amp;COUNTA(CXC!A:A)),3,FALSE))</f>
        <v/>
      </c>
      <c r="D583" s="137" t="str">
        <f t="array" ref="D583">IF(A583="","",VLOOKUP(A583,INDIRECT("CXC!A2:H"&amp;COUNTA(CXC!A:A)),8,FALSE))</f>
        <v/>
      </c>
      <c r="E583" s="137" t="str">
        <f t="array" ref="E583">IFERROR(IF(A583="","",VLOOKUP(A583,INDIRECT("HISTÓRICO COBROS!A3:E"&amp;COUNTA('HISTÓRICO COBROS'!A:A)),5,FALSE)),"")</f>
        <v/>
      </c>
      <c r="F583" s="137" t="str">
        <f t="array" ref="F583">IF(A583="","",VLOOKUP(A583,INDIRECT("CXC!A2:I"&amp;COUNTA(CXC!A:A)),9,FALSE))</f>
        <v/>
      </c>
      <c r="G583" s="137" t="str">
        <f t="array" ref="G583">IFERROR(IF(A583="","",VLOOKUP(A583,INDIRECT("HISTÓRICO COBROS!A3:F"&amp;COUNTA('HISTÓRICO COBROS'!A:A)),6,FALSE)),"")</f>
        <v/>
      </c>
      <c r="H583" s="138" t="str">
        <f t="shared" ref="H583:I583" si="584">IF(D583="","",D583+F583)</f>
        <v/>
      </c>
      <c r="I583" s="135" t="str">
        <f t="shared" si="584"/>
        <v/>
      </c>
      <c r="J583" s="140" t="str">
        <f t="shared" si="3"/>
        <v/>
      </c>
      <c r="K583" s="140" t="str">
        <f t="shared" si="4"/>
        <v/>
      </c>
    </row>
    <row r="584" ht="22.5" customHeight="1">
      <c r="A584" s="140"/>
      <c r="B584" s="135" t="str">
        <f t="array" ref="B584">IF(A584="","",VLOOKUP(A584,INDIRECT("CXC!A2:B"&amp;COUNTA(CXC!A:A)),2,FALSE))</f>
        <v/>
      </c>
      <c r="C584" s="136" t="str">
        <f t="array" ref="C584">IF(A584="","",VLOOKUP(A584,INDIRECT("CXC!A2:C"&amp;COUNTA(CXC!A:A)),3,FALSE))</f>
        <v/>
      </c>
      <c r="D584" s="137" t="str">
        <f t="array" ref="D584">IF(A584="","",VLOOKUP(A584,INDIRECT("CXC!A2:H"&amp;COUNTA(CXC!A:A)),8,FALSE))</f>
        <v/>
      </c>
      <c r="E584" s="137" t="str">
        <f t="array" ref="E584">IFERROR(IF(A584="","",VLOOKUP(A584,INDIRECT("HISTÓRICO COBROS!A3:E"&amp;COUNTA('HISTÓRICO COBROS'!A:A)),5,FALSE)),"")</f>
        <v/>
      </c>
      <c r="F584" s="137" t="str">
        <f t="array" ref="F584">IF(A584="","",VLOOKUP(A584,INDIRECT("CXC!A2:I"&amp;COUNTA(CXC!A:A)),9,FALSE))</f>
        <v/>
      </c>
      <c r="G584" s="137" t="str">
        <f t="array" ref="G584">IFERROR(IF(A584="","",VLOOKUP(A584,INDIRECT("HISTÓRICO COBROS!A3:F"&amp;COUNTA('HISTÓRICO COBROS'!A:A)),6,FALSE)),"")</f>
        <v/>
      </c>
      <c r="H584" s="138" t="str">
        <f t="shared" ref="H584:I584" si="585">IF(D584="","",D584+F584)</f>
        <v/>
      </c>
      <c r="I584" s="135" t="str">
        <f t="shared" si="585"/>
        <v/>
      </c>
      <c r="J584" s="140" t="str">
        <f t="shared" si="3"/>
        <v/>
      </c>
      <c r="K584" s="140" t="str">
        <f t="shared" si="4"/>
        <v/>
      </c>
    </row>
    <row r="585" ht="22.5" customHeight="1">
      <c r="A585" s="140"/>
      <c r="B585" s="135" t="str">
        <f t="array" ref="B585">IF(A585="","",VLOOKUP(A585,INDIRECT("CXC!A2:B"&amp;COUNTA(CXC!A:A)),2,FALSE))</f>
        <v/>
      </c>
      <c r="C585" s="136" t="str">
        <f t="array" ref="C585">IF(A585="","",VLOOKUP(A585,INDIRECT("CXC!A2:C"&amp;COUNTA(CXC!A:A)),3,FALSE))</f>
        <v/>
      </c>
      <c r="D585" s="137" t="str">
        <f t="array" ref="D585">IF(A585="","",VLOOKUP(A585,INDIRECT("CXC!A2:H"&amp;COUNTA(CXC!A:A)),8,FALSE))</f>
        <v/>
      </c>
      <c r="E585" s="137" t="str">
        <f t="array" ref="E585">IFERROR(IF(A585="","",VLOOKUP(A585,INDIRECT("HISTÓRICO COBROS!A3:E"&amp;COUNTA('HISTÓRICO COBROS'!A:A)),5,FALSE)),"")</f>
        <v/>
      </c>
      <c r="F585" s="137" t="str">
        <f t="array" ref="F585">IF(A585="","",VLOOKUP(A585,INDIRECT("CXC!A2:I"&amp;COUNTA(CXC!A:A)),9,FALSE))</f>
        <v/>
      </c>
      <c r="G585" s="137" t="str">
        <f t="array" ref="G585">IFERROR(IF(A585="","",VLOOKUP(A585,INDIRECT("HISTÓRICO COBROS!A3:F"&amp;COUNTA('HISTÓRICO COBROS'!A:A)),6,FALSE)),"")</f>
        <v/>
      </c>
      <c r="H585" s="138" t="str">
        <f t="shared" ref="H585:I585" si="586">IF(D585="","",D585+F585)</f>
        <v/>
      </c>
      <c r="I585" s="135" t="str">
        <f t="shared" si="586"/>
        <v/>
      </c>
      <c r="J585" s="140" t="str">
        <f t="shared" si="3"/>
        <v/>
      </c>
      <c r="K585" s="140" t="str">
        <f t="shared" si="4"/>
        <v/>
      </c>
    </row>
    <row r="586" ht="22.5" customHeight="1">
      <c r="A586" s="140"/>
      <c r="B586" s="135" t="str">
        <f t="array" ref="B586">IF(A586="","",VLOOKUP(A586,INDIRECT("CXC!A2:B"&amp;COUNTA(CXC!A:A)),2,FALSE))</f>
        <v/>
      </c>
      <c r="C586" s="136" t="str">
        <f t="array" ref="C586">IF(A586="","",VLOOKUP(A586,INDIRECT("CXC!A2:C"&amp;COUNTA(CXC!A:A)),3,FALSE))</f>
        <v/>
      </c>
      <c r="D586" s="137" t="str">
        <f t="array" ref="D586">IF(A586="","",VLOOKUP(A586,INDIRECT("CXC!A2:H"&amp;COUNTA(CXC!A:A)),8,FALSE))</f>
        <v/>
      </c>
      <c r="E586" s="137" t="str">
        <f t="array" ref="E586">IFERROR(IF(A586="","",VLOOKUP(A586,INDIRECT("HISTÓRICO COBROS!A3:E"&amp;COUNTA('HISTÓRICO COBROS'!A:A)),5,FALSE)),"")</f>
        <v/>
      </c>
      <c r="F586" s="137" t="str">
        <f t="array" ref="F586">IF(A586="","",VLOOKUP(A586,INDIRECT("CXC!A2:I"&amp;COUNTA(CXC!A:A)),9,FALSE))</f>
        <v/>
      </c>
      <c r="G586" s="137" t="str">
        <f t="array" ref="G586">IFERROR(IF(A586="","",VLOOKUP(A586,INDIRECT("HISTÓRICO COBROS!A3:F"&amp;COUNTA('HISTÓRICO COBROS'!A:A)),6,FALSE)),"")</f>
        <v/>
      </c>
      <c r="H586" s="138" t="str">
        <f t="shared" ref="H586:I586" si="587">IF(D586="","",D586+F586)</f>
        <v/>
      </c>
      <c r="I586" s="135" t="str">
        <f t="shared" si="587"/>
        <v/>
      </c>
      <c r="J586" s="140" t="str">
        <f t="shared" si="3"/>
        <v/>
      </c>
      <c r="K586" s="140" t="str">
        <f t="shared" si="4"/>
        <v/>
      </c>
    </row>
    <row r="587" ht="22.5" customHeight="1">
      <c r="A587" s="140"/>
      <c r="B587" s="135" t="str">
        <f t="array" ref="B587">IF(A587="","",VLOOKUP(A587,INDIRECT("CXC!A2:B"&amp;COUNTA(CXC!A:A)),2,FALSE))</f>
        <v/>
      </c>
      <c r="C587" s="136" t="str">
        <f t="array" ref="C587">IF(A587="","",VLOOKUP(A587,INDIRECT("CXC!A2:C"&amp;COUNTA(CXC!A:A)),3,FALSE))</f>
        <v/>
      </c>
      <c r="D587" s="137" t="str">
        <f t="array" ref="D587">IF(A587="","",VLOOKUP(A587,INDIRECT("CXC!A2:H"&amp;COUNTA(CXC!A:A)),8,FALSE))</f>
        <v/>
      </c>
      <c r="E587" s="137" t="str">
        <f t="array" ref="E587">IFERROR(IF(A587="","",VLOOKUP(A587,INDIRECT("HISTÓRICO COBROS!A3:E"&amp;COUNTA('HISTÓRICO COBROS'!A:A)),5,FALSE)),"")</f>
        <v/>
      </c>
      <c r="F587" s="137" t="str">
        <f t="array" ref="F587">IF(A587="","",VLOOKUP(A587,INDIRECT("CXC!A2:I"&amp;COUNTA(CXC!A:A)),9,FALSE))</f>
        <v/>
      </c>
      <c r="G587" s="137" t="str">
        <f t="array" ref="G587">IFERROR(IF(A587="","",VLOOKUP(A587,INDIRECT("HISTÓRICO COBROS!A3:F"&amp;COUNTA('HISTÓRICO COBROS'!A:A)),6,FALSE)),"")</f>
        <v/>
      </c>
      <c r="H587" s="138" t="str">
        <f t="shared" ref="H587:I587" si="588">IF(D587="","",D587+F587)</f>
        <v/>
      </c>
      <c r="I587" s="135" t="str">
        <f t="shared" si="588"/>
        <v/>
      </c>
      <c r="J587" s="140" t="str">
        <f t="shared" si="3"/>
        <v/>
      </c>
      <c r="K587" s="140" t="str">
        <f t="shared" si="4"/>
        <v/>
      </c>
    </row>
    <row r="588" ht="22.5" customHeight="1">
      <c r="A588" s="140"/>
      <c r="B588" s="135" t="str">
        <f t="array" ref="B588">IF(A588="","",VLOOKUP(A588,INDIRECT("CXC!A2:B"&amp;COUNTA(CXC!A:A)),2,FALSE))</f>
        <v/>
      </c>
      <c r="C588" s="136" t="str">
        <f t="array" ref="C588">IF(A588="","",VLOOKUP(A588,INDIRECT("CXC!A2:C"&amp;COUNTA(CXC!A:A)),3,FALSE))</f>
        <v/>
      </c>
      <c r="D588" s="137" t="str">
        <f t="array" ref="D588">IF(A588="","",VLOOKUP(A588,INDIRECT("CXC!A2:H"&amp;COUNTA(CXC!A:A)),8,FALSE))</f>
        <v/>
      </c>
      <c r="E588" s="137" t="str">
        <f t="array" ref="E588">IFERROR(IF(A588="","",VLOOKUP(A588,INDIRECT("HISTÓRICO COBROS!A3:E"&amp;COUNTA('HISTÓRICO COBROS'!A:A)),5,FALSE)),"")</f>
        <v/>
      </c>
      <c r="F588" s="137" t="str">
        <f t="array" ref="F588">IF(A588="","",VLOOKUP(A588,INDIRECT("CXC!A2:I"&amp;COUNTA(CXC!A:A)),9,FALSE))</f>
        <v/>
      </c>
      <c r="G588" s="137" t="str">
        <f t="array" ref="G588">IFERROR(IF(A588="","",VLOOKUP(A588,INDIRECT("HISTÓRICO COBROS!A3:F"&amp;COUNTA('HISTÓRICO COBROS'!A:A)),6,FALSE)),"")</f>
        <v/>
      </c>
      <c r="H588" s="138" t="str">
        <f t="shared" ref="H588:I588" si="589">IF(D588="","",D588+F588)</f>
        <v/>
      </c>
      <c r="I588" s="135" t="str">
        <f t="shared" si="589"/>
        <v/>
      </c>
      <c r="J588" s="140" t="str">
        <f t="shared" si="3"/>
        <v/>
      </c>
      <c r="K588" s="140" t="str">
        <f t="shared" si="4"/>
        <v/>
      </c>
    </row>
    <row r="589" ht="22.5" customHeight="1">
      <c r="A589" s="140"/>
      <c r="B589" s="135" t="str">
        <f t="array" ref="B589">IF(A589="","",VLOOKUP(A589,INDIRECT("CXC!A2:B"&amp;COUNTA(CXC!A:A)),2,FALSE))</f>
        <v/>
      </c>
      <c r="C589" s="136" t="str">
        <f t="array" ref="C589">IF(A589="","",VLOOKUP(A589,INDIRECT("CXC!A2:C"&amp;COUNTA(CXC!A:A)),3,FALSE))</f>
        <v/>
      </c>
      <c r="D589" s="137" t="str">
        <f t="array" ref="D589">IF(A589="","",VLOOKUP(A589,INDIRECT("CXC!A2:H"&amp;COUNTA(CXC!A:A)),8,FALSE))</f>
        <v/>
      </c>
      <c r="E589" s="137" t="str">
        <f t="array" ref="E589">IFERROR(IF(A589="","",VLOOKUP(A589,INDIRECT("HISTÓRICO COBROS!A3:E"&amp;COUNTA('HISTÓRICO COBROS'!A:A)),5,FALSE)),"")</f>
        <v/>
      </c>
      <c r="F589" s="137" t="str">
        <f t="array" ref="F589">IF(A589="","",VLOOKUP(A589,INDIRECT("CXC!A2:I"&amp;COUNTA(CXC!A:A)),9,FALSE))</f>
        <v/>
      </c>
      <c r="G589" s="137" t="str">
        <f t="array" ref="G589">IFERROR(IF(A589="","",VLOOKUP(A589,INDIRECT("HISTÓRICO COBROS!A3:F"&amp;COUNTA('HISTÓRICO COBROS'!A:A)),6,FALSE)),"")</f>
        <v/>
      </c>
      <c r="H589" s="138" t="str">
        <f t="shared" ref="H589:I589" si="590">IF(D589="","",D589+F589)</f>
        <v/>
      </c>
      <c r="I589" s="135" t="str">
        <f t="shared" si="590"/>
        <v/>
      </c>
      <c r="J589" s="140" t="str">
        <f t="shared" si="3"/>
        <v/>
      </c>
      <c r="K589" s="140" t="str">
        <f t="shared" si="4"/>
        <v/>
      </c>
    </row>
    <row r="590" ht="22.5" customHeight="1">
      <c r="A590" s="140"/>
      <c r="B590" s="135" t="str">
        <f t="array" ref="B590">IF(A590="","",VLOOKUP(A590,INDIRECT("CXC!A2:B"&amp;COUNTA(CXC!A:A)),2,FALSE))</f>
        <v/>
      </c>
      <c r="C590" s="136" t="str">
        <f t="array" ref="C590">IF(A590="","",VLOOKUP(A590,INDIRECT("CXC!A2:C"&amp;COUNTA(CXC!A:A)),3,FALSE))</f>
        <v/>
      </c>
      <c r="D590" s="137" t="str">
        <f t="array" ref="D590">IF(A590="","",VLOOKUP(A590,INDIRECT("CXC!A2:H"&amp;COUNTA(CXC!A:A)),8,FALSE))</f>
        <v/>
      </c>
      <c r="E590" s="137" t="str">
        <f t="array" ref="E590">IFERROR(IF(A590="","",VLOOKUP(A590,INDIRECT("HISTÓRICO COBROS!A3:E"&amp;COUNTA('HISTÓRICO COBROS'!A:A)),5,FALSE)),"")</f>
        <v/>
      </c>
      <c r="F590" s="137" t="str">
        <f t="array" ref="F590">IF(A590="","",VLOOKUP(A590,INDIRECT("CXC!A2:I"&amp;COUNTA(CXC!A:A)),9,FALSE))</f>
        <v/>
      </c>
      <c r="G590" s="137" t="str">
        <f t="array" ref="G590">IFERROR(IF(A590="","",VLOOKUP(A590,INDIRECT("HISTÓRICO COBROS!A3:F"&amp;COUNTA('HISTÓRICO COBROS'!A:A)),6,FALSE)),"")</f>
        <v/>
      </c>
      <c r="H590" s="138" t="str">
        <f t="shared" ref="H590:I590" si="591">IF(D590="","",D590+F590)</f>
        <v/>
      </c>
      <c r="I590" s="135" t="str">
        <f t="shared" si="591"/>
        <v/>
      </c>
      <c r="J590" s="140" t="str">
        <f t="shared" si="3"/>
        <v/>
      </c>
      <c r="K590" s="140" t="str">
        <f t="shared" si="4"/>
        <v/>
      </c>
    </row>
    <row r="591" ht="22.5" customHeight="1">
      <c r="A591" s="140"/>
      <c r="B591" s="135" t="str">
        <f t="array" ref="B591">IF(A591="","",VLOOKUP(A591,INDIRECT("CXC!A2:B"&amp;COUNTA(CXC!A:A)),2,FALSE))</f>
        <v/>
      </c>
      <c r="C591" s="136" t="str">
        <f t="array" ref="C591">IF(A591="","",VLOOKUP(A591,INDIRECT("CXC!A2:C"&amp;COUNTA(CXC!A:A)),3,FALSE))</f>
        <v/>
      </c>
      <c r="D591" s="137" t="str">
        <f t="array" ref="D591">IF(A591="","",VLOOKUP(A591,INDIRECT("CXC!A2:H"&amp;COUNTA(CXC!A:A)),8,FALSE))</f>
        <v/>
      </c>
      <c r="E591" s="137" t="str">
        <f t="array" ref="E591">IFERROR(IF(A591="","",VLOOKUP(A591,INDIRECT("HISTÓRICO COBROS!A3:E"&amp;COUNTA('HISTÓRICO COBROS'!A:A)),5,FALSE)),"")</f>
        <v/>
      </c>
      <c r="F591" s="137" t="str">
        <f t="array" ref="F591">IF(A591="","",VLOOKUP(A591,INDIRECT("CXC!A2:I"&amp;COUNTA(CXC!A:A)),9,FALSE))</f>
        <v/>
      </c>
      <c r="G591" s="137" t="str">
        <f t="array" ref="G591">IFERROR(IF(A591="","",VLOOKUP(A591,INDIRECT("HISTÓRICO COBROS!A3:F"&amp;COUNTA('HISTÓRICO COBROS'!A:A)),6,FALSE)),"")</f>
        <v/>
      </c>
      <c r="H591" s="138" t="str">
        <f t="shared" ref="H591:I591" si="592">IF(D591="","",D591+F591)</f>
        <v/>
      </c>
      <c r="I591" s="135" t="str">
        <f t="shared" si="592"/>
        <v/>
      </c>
      <c r="J591" s="140" t="str">
        <f t="shared" si="3"/>
        <v/>
      </c>
      <c r="K591" s="140" t="str">
        <f t="shared" si="4"/>
        <v/>
      </c>
    </row>
    <row r="592" ht="22.5" customHeight="1">
      <c r="A592" s="140"/>
      <c r="B592" s="135" t="str">
        <f t="array" ref="B592">IF(A592="","",VLOOKUP(A592,INDIRECT("CXC!A2:B"&amp;COUNTA(CXC!A:A)),2,FALSE))</f>
        <v/>
      </c>
      <c r="C592" s="136" t="str">
        <f t="array" ref="C592">IF(A592="","",VLOOKUP(A592,INDIRECT("CXC!A2:C"&amp;COUNTA(CXC!A:A)),3,FALSE))</f>
        <v/>
      </c>
      <c r="D592" s="137" t="str">
        <f t="array" ref="D592">IF(A592="","",VLOOKUP(A592,INDIRECT("CXC!A2:H"&amp;COUNTA(CXC!A:A)),8,FALSE))</f>
        <v/>
      </c>
      <c r="E592" s="137" t="str">
        <f t="array" ref="E592">IFERROR(IF(A592="","",VLOOKUP(A592,INDIRECT("HISTÓRICO COBROS!A3:E"&amp;COUNTA('HISTÓRICO COBROS'!A:A)),5,FALSE)),"")</f>
        <v/>
      </c>
      <c r="F592" s="137" t="str">
        <f t="array" ref="F592">IF(A592="","",VLOOKUP(A592,INDIRECT("CXC!A2:I"&amp;COUNTA(CXC!A:A)),9,FALSE))</f>
        <v/>
      </c>
      <c r="G592" s="137" t="str">
        <f t="array" ref="G592">IFERROR(IF(A592="","",VLOOKUP(A592,INDIRECT("HISTÓRICO COBROS!A3:F"&amp;COUNTA('HISTÓRICO COBROS'!A:A)),6,FALSE)),"")</f>
        <v/>
      </c>
      <c r="H592" s="138" t="str">
        <f t="shared" ref="H592:I592" si="593">IF(D592="","",D592+F592)</f>
        <v/>
      </c>
      <c r="I592" s="135" t="str">
        <f t="shared" si="593"/>
        <v/>
      </c>
      <c r="J592" s="140" t="str">
        <f t="shared" si="3"/>
        <v/>
      </c>
      <c r="K592" s="140" t="str">
        <f t="shared" si="4"/>
        <v/>
      </c>
    </row>
    <row r="593" ht="22.5" customHeight="1">
      <c r="A593" s="140"/>
      <c r="B593" s="135" t="str">
        <f t="array" ref="B593">IF(A593="","",VLOOKUP(A593,INDIRECT("CXC!A2:B"&amp;COUNTA(CXC!A:A)),2,FALSE))</f>
        <v/>
      </c>
      <c r="C593" s="136" t="str">
        <f t="array" ref="C593">IF(A593="","",VLOOKUP(A593,INDIRECT("CXC!A2:C"&amp;COUNTA(CXC!A:A)),3,FALSE))</f>
        <v/>
      </c>
      <c r="D593" s="137" t="str">
        <f t="array" ref="D593">IF(A593="","",VLOOKUP(A593,INDIRECT("CXC!A2:H"&amp;COUNTA(CXC!A:A)),8,FALSE))</f>
        <v/>
      </c>
      <c r="E593" s="137" t="str">
        <f t="array" ref="E593">IFERROR(IF(A593="","",VLOOKUP(A593,INDIRECT("HISTÓRICO COBROS!A3:E"&amp;COUNTA('HISTÓRICO COBROS'!A:A)),5,FALSE)),"")</f>
        <v/>
      </c>
      <c r="F593" s="137" t="str">
        <f t="array" ref="F593">IF(A593="","",VLOOKUP(A593,INDIRECT("CXC!A2:I"&amp;COUNTA(CXC!A:A)),9,FALSE))</f>
        <v/>
      </c>
      <c r="G593" s="137" t="str">
        <f t="array" ref="G593">IFERROR(IF(A593="","",VLOOKUP(A593,INDIRECT("HISTÓRICO COBROS!A3:F"&amp;COUNTA('HISTÓRICO COBROS'!A:A)),6,FALSE)),"")</f>
        <v/>
      </c>
      <c r="H593" s="138" t="str">
        <f t="shared" ref="H593:I593" si="594">IF(D593="","",D593+F593)</f>
        <v/>
      </c>
      <c r="I593" s="135" t="str">
        <f t="shared" si="594"/>
        <v/>
      </c>
      <c r="J593" s="140" t="str">
        <f t="shared" si="3"/>
        <v/>
      </c>
      <c r="K593" s="140" t="str">
        <f t="shared" si="4"/>
        <v/>
      </c>
    </row>
    <row r="594" ht="22.5" customHeight="1">
      <c r="A594" s="140"/>
      <c r="B594" s="135" t="str">
        <f t="array" ref="B594">IF(A594="","",VLOOKUP(A594,INDIRECT("CXC!A2:B"&amp;COUNTA(CXC!A:A)),2,FALSE))</f>
        <v/>
      </c>
      <c r="C594" s="136" t="str">
        <f t="array" ref="C594">IF(A594="","",VLOOKUP(A594,INDIRECT("CXC!A2:C"&amp;COUNTA(CXC!A:A)),3,FALSE))</f>
        <v/>
      </c>
      <c r="D594" s="137" t="str">
        <f t="array" ref="D594">IF(A594="","",VLOOKUP(A594,INDIRECT("CXC!A2:H"&amp;COUNTA(CXC!A:A)),8,FALSE))</f>
        <v/>
      </c>
      <c r="E594" s="137" t="str">
        <f t="array" ref="E594">IFERROR(IF(A594="","",VLOOKUP(A594,INDIRECT("HISTÓRICO COBROS!A3:E"&amp;COUNTA('HISTÓRICO COBROS'!A:A)),5,FALSE)),"")</f>
        <v/>
      </c>
      <c r="F594" s="137" t="str">
        <f t="array" ref="F594">IF(A594="","",VLOOKUP(A594,INDIRECT("CXC!A2:I"&amp;COUNTA(CXC!A:A)),9,FALSE))</f>
        <v/>
      </c>
      <c r="G594" s="137" t="str">
        <f t="array" ref="G594">IFERROR(IF(A594="","",VLOOKUP(A594,INDIRECT("HISTÓRICO COBROS!A3:F"&amp;COUNTA('HISTÓRICO COBROS'!A:A)),6,FALSE)),"")</f>
        <v/>
      </c>
      <c r="H594" s="138" t="str">
        <f t="shared" ref="H594:I594" si="595">IF(D594="","",D594+F594)</f>
        <v/>
      </c>
      <c r="I594" s="135" t="str">
        <f t="shared" si="595"/>
        <v/>
      </c>
      <c r="J594" s="140" t="str">
        <f t="shared" si="3"/>
        <v/>
      </c>
      <c r="K594" s="140" t="str">
        <f t="shared" si="4"/>
        <v/>
      </c>
    </row>
    <row r="595" ht="22.5" customHeight="1">
      <c r="A595" s="140"/>
      <c r="B595" s="135" t="str">
        <f t="array" ref="B595">IF(A595="","",VLOOKUP(A595,INDIRECT("CXC!A2:B"&amp;COUNTA(CXC!A:A)),2,FALSE))</f>
        <v/>
      </c>
      <c r="C595" s="136" t="str">
        <f t="array" ref="C595">IF(A595="","",VLOOKUP(A595,INDIRECT("CXC!A2:C"&amp;COUNTA(CXC!A:A)),3,FALSE))</f>
        <v/>
      </c>
      <c r="D595" s="137" t="str">
        <f t="array" ref="D595">IF(A595="","",VLOOKUP(A595,INDIRECT("CXC!A2:H"&amp;COUNTA(CXC!A:A)),8,FALSE))</f>
        <v/>
      </c>
      <c r="E595" s="137" t="str">
        <f t="array" ref="E595">IFERROR(IF(A595="","",VLOOKUP(A595,INDIRECT("HISTÓRICO COBROS!A3:E"&amp;COUNTA('HISTÓRICO COBROS'!A:A)),5,FALSE)),"")</f>
        <v/>
      </c>
      <c r="F595" s="137" t="str">
        <f t="array" ref="F595">IF(A595="","",VLOOKUP(A595,INDIRECT("CXC!A2:I"&amp;COUNTA(CXC!A:A)),9,FALSE))</f>
        <v/>
      </c>
      <c r="G595" s="137" t="str">
        <f t="array" ref="G595">IFERROR(IF(A595="","",VLOOKUP(A595,INDIRECT("HISTÓRICO COBROS!A3:F"&amp;COUNTA('HISTÓRICO COBROS'!A:A)),6,FALSE)),"")</f>
        <v/>
      </c>
      <c r="H595" s="138" t="str">
        <f t="shared" ref="H595:I595" si="596">IF(D595="","",D595+F595)</f>
        <v/>
      </c>
      <c r="I595" s="135" t="str">
        <f t="shared" si="596"/>
        <v/>
      </c>
      <c r="J595" s="140" t="str">
        <f t="shared" si="3"/>
        <v/>
      </c>
      <c r="K595" s="140" t="str">
        <f t="shared" si="4"/>
        <v/>
      </c>
    </row>
    <row r="596" ht="22.5" customHeight="1">
      <c r="A596" s="140"/>
      <c r="B596" s="135" t="str">
        <f t="array" ref="B596">IF(A596="","",VLOOKUP(A596,INDIRECT("CXC!A2:B"&amp;COUNTA(CXC!A:A)),2,FALSE))</f>
        <v/>
      </c>
      <c r="C596" s="136" t="str">
        <f t="array" ref="C596">IF(A596="","",VLOOKUP(A596,INDIRECT("CXC!A2:C"&amp;COUNTA(CXC!A:A)),3,FALSE))</f>
        <v/>
      </c>
      <c r="D596" s="137" t="str">
        <f t="array" ref="D596">IF(A596="","",VLOOKUP(A596,INDIRECT("CXC!A2:H"&amp;COUNTA(CXC!A:A)),8,FALSE))</f>
        <v/>
      </c>
      <c r="E596" s="137" t="str">
        <f t="array" ref="E596">IFERROR(IF(A596="","",VLOOKUP(A596,INDIRECT("HISTÓRICO COBROS!A3:E"&amp;COUNTA('HISTÓRICO COBROS'!A:A)),5,FALSE)),"")</f>
        <v/>
      </c>
      <c r="F596" s="137" t="str">
        <f t="array" ref="F596">IF(A596="","",VLOOKUP(A596,INDIRECT("CXC!A2:I"&amp;COUNTA(CXC!A:A)),9,FALSE))</f>
        <v/>
      </c>
      <c r="G596" s="137" t="str">
        <f t="array" ref="G596">IFERROR(IF(A596="","",VLOOKUP(A596,INDIRECT("HISTÓRICO COBROS!A3:F"&amp;COUNTA('HISTÓRICO COBROS'!A:A)),6,FALSE)),"")</f>
        <v/>
      </c>
      <c r="H596" s="138" t="str">
        <f t="shared" ref="H596:I596" si="597">IF(D596="","",D596+F596)</f>
        <v/>
      </c>
      <c r="I596" s="135" t="str">
        <f t="shared" si="597"/>
        <v/>
      </c>
      <c r="J596" s="140" t="str">
        <f t="shared" si="3"/>
        <v/>
      </c>
      <c r="K596" s="140" t="str">
        <f t="shared" si="4"/>
        <v/>
      </c>
    </row>
    <row r="597" ht="22.5" customHeight="1">
      <c r="A597" s="140"/>
      <c r="B597" s="135" t="str">
        <f t="array" ref="B597">IF(A597="","",VLOOKUP(A597,INDIRECT("CXC!A2:B"&amp;COUNTA(CXC!A:A)),2,FALSE))</f>
        <v/>
      </c>
      <c r="C597" s="136" t="str">
        <f t="array" ref="C597">IF(A597="","",VLOOKUP(A597,INDIRECT("CXC!A2:C"&amp;COUNTA(CXC!A:A)),3,FALSE))</f>
        <v/>
      </c>
      <c r="D597" s="137" t="str">
        <f t="array" ref="D597">IF(A597="","",VLOOKUP(A597,INDIRECT("CXC!A2:H"&amp;COUNTA(CXC!A:A)),8,FALSE))</f>
        <v/>
      </c>
      <c r="E597" s="137" t="str">
        <f t="array" ref="E597">IFERROR(IF(A597="","",VLOOKUP(A597,INDIRECT("HISTÓRICO COBROS!A3:E"&amp;COUNTA('HISTÓRICO COBROS'!A:A)),5,FALSE)),"")</f>
        <v/>
      </c>
      <c r="F597" s="137" t="str">
        <f t="array" ref="F597">IF(A597="","",VLOOKUP(A597,INDIRECT("CXC!A2:I"&amp;COUNTA(CXC!A:A)),9,FALSE))</f>
        <v/>
      </c>
      <c r="G597" s="137" t="str">
        <f t="array" ref="G597">IFERROR(IF(A597="","",VLOOKUP(A597,INDIRECT("HISTÓRICO COBROS!A3:F"&amp;COUNTA('HISTÓRICO COBROS'!A:A)),6,FALSE)),"")</f>
        <v/>
      </c>
      <c r="H597" s="138" t="str">
        <f t="shared" ref="H597:I597" si="598">IF(D597="","",D597+F597)</f>
        <v/>
      </c>
      <c r="I597" s="135" t="str">
        <f t="shared" si="598"/>
        <v/>
      </c>
      <c r="J597" s="140" t="str">
        <f t="shared" si="3"/>
        <v/>
      </c>
      <c r="K597" s="140" t="str">
        <f t="shared" si="4"/>
        <v/>
      </c>
    </row>
    <row r="598" ht="22.5" customHeight="1">
      <c r="A598" s="140"/>
      <c r="B598" s="135" t="str">
        <f t="array" ref="B598">IF(A598="","",VLOOKUP(A598,INDIRECT("CXC!A2:B"&amp;COUNTA(CXC!A:A)),2,FALSE))</f>
        <v/>
      </c>
      <c r="C598" s="136" t="str">
        <f t="array" ref="C598">IF(A598="","",VLOOKUP(A598,INDIRECT("CXC!A2:C"&amp;COUNTA(CXC!A:A)),3,FALSE))</f>
        <v/>
      </c>
      <c r="D598" s="137" t="str">
        <f t="array" ref="D598">IF(A598="","",VLOOKUP(A598,INDIRECT("CXC!A2:H"&amp;COUNTA(CXC!A:A)),8,FALSE))</f>
        <v/>
      </c>
      <c r="E598" s="137" t="str">
        <f t="array" ref="E598">IFERROR(IF(A598="","",VLOOKUP(A598,INDIRECT("HISTÓRICO COBROS!A3:E"&amp;COUNTA('HISTÓRICO COBROS'!A:A)),5,FALSE)),"")</f>
        <v/>
      </c>
      <c r="F598" s="137" t="str">
        <f t="array" ref="F598">IF(A598="","",VLOOKUP(A598,INDIRECT("CXC!A2:I"&amp;COUNTA(CXC!A:A)),9,FALSE))</f>
        <v/>
      </c>
      <c r="G598" s="137" t="str">
        <f t="array" ref="G598">IFERROR(IF(A598="","",VLOOKUP(A598,INDIRECT("HISTÓRICO COBROS!A3:F"&amp;COUNTA('HISTÓRICO COBROS'!A:A)),6,FALSE)),"")</f>
        <v/>
      </c>
      <c r="H598" s="138" t="str">
        <f t="shared" ref="H598:I598" si="599">IF(D598="","",D598+F598)</f>
        <v/>
      </c>
      <c r="I598" s="135" t="str">
        <f t="shared" si="599"/>
        <v/>
      </c>
      <c r="J598" s="140" t="str">
        <f t="shared" si="3"/>
        <v/>
      </c>
      <c r="K598" s="140" t="str">
        <f t="shared" si="4"/>
        <v/>
      </c>
    </row>
    <row r="599" ht="22.5" customHeight="1">
      <c r="A599" s="140"/>
      <c r="B599" s="135" t="str">
        <f t="array" ref="B599">IF(A599="","",VLOOKUP(A599,INDIRECT("CXC!A2:B"&amp;COUNTA(CXC!A:A)),2,FALSE))</f>
        <v/>
      </c>
      <c r="C599" s="136" t="str">
        <f t="array" ref="C599">IF(A599="","",VLOOKUP(A599,INDIRECT("CXC!A2:C"&amp;COUNTA(CXC!A:A)),3,FALSE))</f>
        <v/>
      </c>
      <c r="D599" s="137" t="str">
        <f t="array" ref="D599">IF(A599="","",VLOOKUP(A599,INDIRECT("CXC!A2:H"&amp;COUNTA(CXC!A:A)),8,FALSE))</f>
        <v/>
      </c>
      <c r="E599" s="137" t="str">
        <f t="array" ref="E599">IFERROR(IF(A599="","",VLOOKUP(A599,INDIRECT("HISTÓRICO COBROS!A3:E"&amp;COUNTA('HISTÓRICO COBROS'!A:A)),5,FALSE)),"")</f>
        <v/>
      </c>
      <c r="F599" s="137" t="str">
        <f t="array" ref="F599">IF(A599="","",VLOOKUP(A599,INDIRECT("CXC!A2:I"&amp;COUNTA(CXC!A:A)),9,FALSE))</f>
        <v/>
      </c>
      <c r="G599" s="137" t="str">
        <f t="array" ref="G599">IFERROR(IF(A599="","",VLOOKUP(A599,INDIRECT("HISTÓRICO COBROS!A3:F"&amp;COUNTA('HISTÓRICO COBROS'!A:A)),6,FALSE)),"")</f>
        <v/>
      </c>
      <c r="H599" s="138" t="str">
        <f t="shared" ref="H599:I599" si="600">IF(D599="","",D599+F599)</f>
        <v/>
      </c>
      <c r="I599" s="135" t="str">
        <f t="shared" si="600"/>
        <v/>
      </c>
      <c r="J599" s="140" t="str">
        <f t="shared" si="3"/>
        <v/>
      </c>
      <c r="K599" s="140" t="str">
        <f t="shared" si="4"/>
        <v/>
      </c>
    </row>
    <row r="600" ht="22.5" customHeight="1">
      <c r="A600" s="140"/>
      <c r="B600" s="135" t="str">
        <f t="array" ref="B600">IF(A600="","",VLOOKUP(A600,INDIRECT("CXC!A2:B"&amp;COUNTA(CXC!A:A)),2,FALSE))</f>
        <v/>
      </c>
      <c r="C600" s="136" t="str">
        <f t="array" ref="C600">IF(A600="","",VLOOKUP(A600,INDIRECT("CXC!A2:C"&amp;COUNTA(CXC!A:A)),3,FALSE))</f>
        <v/>
      </c>
      <c r="D600" s="137" t="str">
        <f t="array" ref="D600">IF(A600="","",VLOOKUP(A600,INDIRECT("CXC!A2:H"&amp;COUNTA(CXC!A:A)),8,FALSE))</f>
        <v/>
      </c>
      <c r="E600" s="137" t="str">
        <f t="array" ref="E600">IFERROR(IF(A600="","",VLOOKUP(A600,INDIRECT("HISTÓRICO COBROS!A3:E"&amp;COUNTA('HISTÓRICO COBROS'!A:A)),5,FALSE)),"")</f>
        <v/>
      </c>
      <c r="F600" s="137" t="str">
        <f t="array" ref="F600">IF(A600="","",VLOOKUP(A600,INDIRECT("CXC!A2:I"&amp;COUNTA(CXC!A:A)),9,FALSE))</f>
        <v/>
      </c>
      <c r="G600" s="137" t="str">
        <f t="array" ref="G600">IFERROR(IF(A600="","",VLOOKUP(A600,INDIRECT("HISTÓRICO COBROS!A3:F"&amp;COUNTA('HISTÓRICO COBROS'!A:A)),6,FALSE)),"")</f>
        <v/>
      </c>
      <c r="H600" s="138" t="str">
        <f t="shared" ref="H600:I600" si="601">IF(D600="","",D600+F600)</f>
        <v/>
      </c>
      <c r="I600" s="135" t="str">
        <f t="shared" si="601"/>
        <v/>
      </c>
      <c r="J600" s="140" t="str">
        <f t="shared" si="3"/>
        <v/>
      </c>
      <c r="K600" s="140" t="str">
        <f t="shared" si="4"/>
        <v/>
      </c>
    </row>
    <row r="601" ht="22.5" customHeight="1">
      <c r="A601" s="140"/>
      <c r="B601" s="135" t="str">
        <f t="array" ref="B601">IF(A601="","",VLOOKUP(A601,INDIRECT("CXC!A2:B"&amp;COUNTA(CXC!A:A)),2,FALSE))</f>
        <v/>
      </c>
      <c r="C601" s="136" t="str">
        <f t="array" ref="C601">IF(A601="","",VLOOKUP(A601,INDIRECT("CXC!A2:C"&amp;COUNTA(CXC!A:A)),3,FALSE))</f>
        <v/>
      </c>
      <c r="D601" s="137" t="str">
        <f t="array" ref="D601">IF(A601="","",VLOOKUP(A601,INDIRECT("CXC!A2:H"&amp;COUNTA(CXC!A:A)),8,FALSE))</f>
        <v/>
      </c>
      <c r="E601" s="137" t="str">
        <f t="array" ref="E601">IFERROR(IF(A601="","",VLOOKUP(A601,INDIRECT("HISTÓRICO COBROS!A3:E"&amp;COUNTA('HISTÓRICO COBROS'!A:A)),5,FALSE)),"")</f>
        <v/>
      </c>
      <c r="F601" s="137" t="str">
        <f t="array" ref="F601">IF(A601="","",VLOOKUP(A601,INDIRECT("CXC!A2:I"&amp;COUNTA(CXC!A:A)),9,FALSE))</f>
        <v/>
      </c>
      <c r="G601" s="137" t="str">
        <f t="array" ref="G601">IFERROR(IF(A601="","",VLOOKUP(A601,INDIRECT("HISTÓRICO COBROS!A3:F"&amp;COUNTA('HISTÓRICO COBROS'!A:A)),6,FALSE)),"")</f>
        <v/>
      </c>
      <c r="H601" s="138" t="str">
        <f t="shared" ref="H601:I601" si="602">IF(D601="","",D601+F601)</f>
        <v/>
      </c>
      <c r="I601" s="135" t="str">
        <f t="shared" si="602"/>
        <v/>
      </c>
      <c r="J601" s="140" t="str">
        <f t="shared" si="3"/>
        <v/>
      </c>
      <c r="K601" s="140" t="str">
        <f t="shared" si="4"/>
        <v/>
      </c>
    </row>
    <row r="602" ht="22.5" customHeight="1">
      <c r="A602" s="140"/>
      <c r="B602" s="135" t="str">
        <f t="array" ref="B602">IF(A602="","",VLOOKUP(A602,INDIRECT("CXC!A2:B"&amp;COUNTA(CXC!A:A)),2,FALSE))</f>
        <v/>
      </c>
      <c r="C602" s="136" t="str">
        <f t="array" ref="C602">IF(A602="","",VLOOKUP(A602,INDIRECT("CXC!A2:C"&amp;COUNTA(CXC!A:A)),3,FALSE))</f>
        <v/>
      </c>
      <c r="D602" s="137" t="str">
        <f t="array" ref="D602">IF(A602="","",VLOOKUP(A602,INDIRECT("CXC!A2:H"&amp;COUNTA(CXC!A:A)),8,FALSE))</f>
        <v/>
      </c>
      <c r="E602" s="137" t="str">
        <f t="array" ref="E602">IFERROR(IF(A602="","",VLOOKUP(A602,INDIRECT("HISTÓRICO COBROS!A3:E"&amp;COUNTA('HISTÓRICO COBROS'!A:A)),5,FALSE)),"")</f>
        <v/>
      </c>
      <c r="F602" s="137" t="str">
        <f t="array" ref="F602">IF(A602="","",VLOOKUP(A602,INDIRECT("CXC!A2:I"&amp;COUNTA(CXC!A:A)),9,FALSE))</f>
        <v/>
      </c>
      <c r="G602" s="137" t="str">
        <f t="array" ref="G602">IFERROR(IF(A602="","",VLOOKUP(A602,INDIRECT("HISTÓRICO COBROS!A3:F"&amp;COUNTA('HISTÓRICO COBROS'!A:A)),6,FALSE)),"")</f>
        <v/>
      </c>
      <c r="H602" s="138" t="str">
        <f t="shared" ref="H602:I602" si="603">IF(D602="","",D602+F602)</f>
        <v/>
      </c>
      <c r="I602" s="135" t="str">
        <f t="shared" si="603"/>
        <v/>
      </c>
      <c r="J602" s="140" t="str">
        <f t="shared" si="3"/>
        <v/>
      </c>
      <c r="K602" s="140" t="str">
        <f t="shared" si="4"/>
        <v/>
      </c>
    </row>
    <row r="603" ht="22.5" customHeight="1">
      <c r="A603" s="140"/>
      <c r="B603" s="135" t="str">
        <f t="array" ref="B603">IF(A603="","",VLOOKUP(A603,INDIRECT("CXC!A2:B"&amp;COUNTA(CXC!A:A)),2,FALSE))</f>
        <v/>
      </c>
      <c r="C603" s="136" t="str">
        <f t="array" ref="C603">IF(A603="","",VLOOKUP(A603,INDIRECT("CXC!A2:C"&amp;COUNTA(CXC!A:A)),3,FALSE))</f>
        <v/>
      </c>
      <c r="D603" s="137" t="str">
        <f t="array" ref="D603">IF(A603="","",VLOOKUP(A603,INDIRECT("CXC!A2:H"&amp;COUNTA(CXC!A:A)),8,FALSE))</f>
        <v/>
      </c>
      <c r="E603" s="137" t="str">
        <f t="array" ref="E603">IFERROR(IF(A603="","",VLOOKUP(A603,INDIRECT("HISTÓRICO COBROS!A3:E"&amp;COUNTA('HISTÓRICO COBROS'!A:A)),5,FALSE)),"")</f>
        <v/>
      </c>
      <c r="F603" s="137" t="str">
        <f t="array" ref="F603">IF(A603="","",VLOOKUP(A603,INDIRECT("CXC!A2:I"&amp;COUNTA(CXC!A:A)),9,FALSE))</f>
        <v/>
      </c>
      <c r="G603" s="137" t="str">
        <f t="array" ref="G603">IFERROR(IF(A603="","",VLOOKUP(A603,INDIRECT("HISTÓRICO COBROS!A3:F"&amp;COUNTA('HISTÓRICO COBROS'!A:A)),6,FALSE)),"")</f>
        <v/>
      </c>
      <c r="H603" s="138" t="str">
        <f t="shared" ref="H603:I603" si="604">IF(D603="","",D603+F603)</f>
        <v/>
      </c>
      <c r="I603" s="135" t="str">
        <f t="shared" si="604"/>
        <v/>
      </c>
      <c r="J603" s="140" t="str">
        <f t="shared" si="3"/>
        <v/>
      </c>
      <c r="K603" s="140" t="str">
        <f t="shared" si="4"/>
        <v/>
      </c>
    </row>
    <row r="604" ht="22.5" customHeight="1">
      <c r="A604" s="140"/>
      <c r="B604" s="135" t="str">
        <f t="array" ref="B604">IF(A604="","",VLOOKUP(A604,INDIRECT("CXC!A2:B"&amp;COUNTA(CXC!A:A)),2,FALSE))</f>
        <v/>
      </c>
      <c r="C604" s="136" t="str">
        <f t="array" ref="C604">IF(A604="","",VLOOKUP(A604,INDIRECT("CXC!A2:C"&amp;COUNTA(CXC!A:A)),3,FALSE))</f>
        <v/>
      </c>
      <c r="D604" s="137" t="str">
        <f t="array" ref="D604">IF(A604="","",VLOOKUP(A604,INDIRECT("CXC!A2:H"&amp;COUNTA(CXC!A:A)),8,FALSE))</f>
        <v/>
      </c>
      <c r="E604" s="137" t="str">
        <f t="array" ref="E604">IFERROR(IF(A604="","",VLOOKUP(A604,INDIRECT("HISTÓRICO COBROS!A3:E"&amp;COUNTA('HISTÓRICO COBROS'!A:A)),5,FALSE)),"")</f>
        <v/>
      </c>
      <c r="F604" s="137" t="str">
        <f t="array" ref="F604">IF(A604="","",VLOOKUP(A604,INDIRECT("CXC!A2:I"&amp;COUNTA(CXC!A:A)),9,FALSE))</f>
        <v/>
      </c>
      <c r="G604" s="137" t="str">
        <f t="array" ref="G604">IFERROR(IF(A604="","",VLOOKUP(A604,INDIRECT("HISTÓRICO COBROS!A3:F"&amp;COUNTA('HISTÓRICO COBROS'!A:A)),6,FALSE)),"")</f>
        <v/>
      </c>
      <c r="H604" s="138" t="str">
        <f t="shared" ref="H604:I604" si="605">IF(D604="","",D604+F604)</f>
        <v/>
      </c>
      <c r="I604" s="135" t="str">
        <f t="shared" si="605"/>
        <v/>
      </c>
      <c r="J604" s="140" t="str">
        <f t="shared" si="3"/>
        <v/>
      </c>
      <c r="K604" s="140" t="str">
        <f t="shared" si="4"/>
        <v/>
      </c>
    </row>
    <row r="605" ht="22.5" customHeight="1">
      <c r="A605" s="140"/>
      <c r="B605" s="135" t="str">
        <f t="array" ref="B605">IF(A605="","",VLOOKUP(A605,INDIRECT("CXC!A2:B"&amp;COUNTA(CXC!A:A)),2,FALSE))</f>
        <v/>
      </c>
      <c r="C605" s="136" t="str">
        <f t="array" ref="C605">IF(A605="","",VLOOKUP(A605,INDIRECT("CXC!A2:C"&amp;COUNTA(CXC!A:A)),3,FALSE))</f>
        <v/>
      </c>
      <c r="D605" s="137" t="str">
        <f t="array" ref="D605">IF(A605="","",VLOOKUP(A605,INDIRECT("CXC!A2:H"&amp;COUNTA(CXC!A:A)),8,FALSE))</f>
        <v/>
      </c>
      <c r="E605" s="137" t="str">
        <f t="array" ref="E605">IFERROR(IF(A605="","",VLOOKUP(A605,INDIRECT("HISTÓRICO COBROS!A3:E"&amp;COUNTA('HISTÓRICO COBROS'!A:A)),5,FALSE)),"")</f>
        <v/>
      </c>
      <c r="F605" s="137" t="str">
        <f t="array" ref="F605">IF(A605="","",VLOOKUP(A605,INDIRECT("CXC!A2:I"&amp;COUNTA(CXC!A:A)),9,FALSE))</f>
        <v/>
      </c>
      <c r="G605" s="137" t="str">
        <f t="array" ref="G605">IFERROR(IF(A605="","",VLOOKUP(A605,INDIRECT("HISTÓRICO COBROS!A3:F"&amp;COUNTA('HISTÓRICO COBROS'!A:A)),6,FALSE)),"")</f>
        <v/>
      </c>
      <c r="H605" s="138" t="str">
        <f t="shared" ref="H605:I605" si="606">IF(D605="","",D605+F605)</f>
        <v/>
      </c>
      <c r="I605" s="135" t="str">
        <f t="shared" si="606"/>
        <v/>
      </c>
      <c r="J605" s="140" t="str">
        <f t="shared" si="3"/>
        <v/>
      </c>
      <c r="K605" s="140" t="str">
        <f t="shared" si="4"/>
        <v/>
      </c>
    </row>
    <row r="606" ht="22.5" customHeight="1">
      <c r="A606" s="140"/>
      <c r="B606" s="135" t="str">
        <f t="array" ref="B606">IF(A606="","",VLOOKUP(A606,INDIRECT("CXC!A2:B"&amp;COUNTA(CXC!A:A)),2,FALSE))</f>
        <v/>
      </c>
      <c r="C606" s="136" t="str">
        <f t="array" ref="C606">IF(A606="","",VLOOKUP(A606,INDIRECT("CXC!A2:C"&amp;COUNTA(CXC!A:A)),3,FALSE))</f>
        <v/>
      </c>
      <c r="D606" s="137" t="str">
        <f t="array" ref="D606">IF(A606="","",VLOOKUP(A606,INDIRECT("CXC!A2:H"&amp;COUNTA(CXC!A:A)),8,FALSE))</f>
        <v/>
      </c>
      <c r="E606" s="137" t="str">
        <f t="array" ref="E606">IFERROR(IF(A606="","",VLOOKUP(A606,INDIRECT("HISTÓRICO COBROS!A3:E"&amp;COUNTA('HISTÓRICO COBROS'!A:A)),5,FALSE)),"")</f>
        <v/>
      </c>
      <c r="F606" s="137" t="str">
        <f t="array" ref="F606">IF(A606="","",VLOOKUP(A606,INDIRECT("CXC!A2:I"&amp;COUNTA(CXC!A:A)),9,FALSE))</f>
        <v/>
      </c>
      <c r="G606" s="137" t="str">
        <f t="array" ref="G606">IFERROR(IF(A606="","",VLOOKUP(A606,INDIRECT("HISTÓRICO COBROS!A3:F"&amp;COUNTA('HISTÓRICO COBROS'!A:A)),6,FALSE)),"")</f>
        <v/>
      </c>
      <c r="H606" s="138" t="str">
        <f t="shared" ref="H606:I606" si="607">IF(D606="","",D606+F606)</f>
        <v/>
      </c>
      <c r="I606" s="135" t="str">
        <f t="shared" si="607"/>
        <v/>
      </c>
      <c r="J606" s="140" t="str">
        <f t="shared" si="3"/>
        <v/>
      </c>
      <c r="K606" s="140" t="str">
        <f t="shared" si="4"/>
        <v/>
      </c>
    </row>
    <row r="607" ht="22.5" customHeight="1">
      <c r="A607" s="140"/>
      <c r="B607" s="135" t="str">
        <f t="array" ref="B607">IF(A607="","",VLOOKUP(A607,INDIRECT("CXC!A2:B"&amp;COUNTA(CXC!A:A)),2,FALSE))</f>
        <v/>
      </c>
      <c r="C607" s="136" t="str">
        <f t="array" ref="C607">IF(A607="","",VLOOKUP(A607,INDIRECT("CXC!A2:C"&amp;COUNTA(CXC!A:A)),3,FALSE))</f>
        <v/>
      </c>
      <c r="D607" s="137" t="str">
        <f t="array" ref="D607">IF(A607="","",VLOOKUP(A607,INDIRECT("CXC!A2:H"&amp;COUNTA(CXC!A:A)),8,FALSE))</f>
        <v/>
      </c>
      <c r="E607" s="137" t="str">
        <f t="array" ref="E607">IFERROR(IF(A607="","",VLOOKUP(A607,INDIRECT("HISTÓRICO COBROS!A3:E"&amp;COUNTA('HISTÓRICO COBROS'!A:A)),5,FALSE)),"")</f>
        <v/>
      </c>
      <c r="F607" s="137" t="str">
        <f t="array" ref="F607">IF(A607="","",VLOOKUP(A607,INDIRECT("CXC!A2:I"&amp;COUNTA(CXC!A:A)),9,FALSE))</f>
        <v/>
      </c>
      <c r="G607" s="137" t="str">
        <f t="array" ref="G607">IFERROR(IF(A607="","",VLOOKUP(A607,INDIRECT("HISTÓRICO COBROS!A3:F"&amp;COUNTA('HISTÓRICO COBROS'!A:A)),6,FALSE)),"")</f>
        <v/>
      </c>
      <c r="H607" s="138" t="str">
        <f t="shared" ref="H607:I607" si="608">IF(D607="","",D607+F607)</f>
        <v/>
      </c>
      <c r="I607" s="135" t="str">
        <f t="shared" si="608"/>
        <v/>
      </c>
      <c r="J607" s="140" t="str">
        <f t="shared" si="3"/>
        <v/>
      </c>
      <c r="K607" s="140" t="str">
        <f t="shared" si="4"/>
        <v/>
      </c>
    </row>
    <row r="608" ht="22.5" customHeight="1">
      <c r="A608" s="140"/>
      <c r="B608" s="135" t="str">
        <f t="array" ref="B608">IF(A608="","",VLOOKUP(A608,INDIRECT("CXC!A2:B"&amp;COUNTA(CXC!A:A)),2,FALSE))</f>
        <v/>
      </c>
      <c r="C608" s="136" t="str">
        <f t="array" ref="C608">IF(A608="","",VLOOKUP(A608,INDIRECT("CXC!A2:C"&amp;COUNTA(CXC!A:A)),3,FALSE))</f>
        <v/>
      </c>
      <c r="D608" s="137" t="str">
        <f t="array" ref="D608">IF(A608="","",VLOOKUP(A608,INDIRECT("CXC!A2:H"&amp;COUNTA(CXC!A:A)),8,FALSE))</f>
        <v/>
      </c>
      <c r="E608" s="137" t="str">
        <f t="array" ref="E608">IFERROR(IF(A608="","",VLOOKUP(A608,INDIRECT("HISTÓRICO COBROS!A3:E"&amp;COUNTA('HISTÓRICO COBROS'!A:A)),5,FALSE)),"")</f>
        <v/>
      </c>
      <c r="F608" s="137" t="str">
        <f t="array" ref="F608">IF(A608="","",VLOOKUP(A608,INDIRECT("CXC!A2:I"&amp;COUNTA(CXC!A:A)),9,FALSE))</f>
        <v/>
      </c>
      <c r="G608" s="137" t="str">
        <f t="array" ref="G608">IFERROR(IF(A608="","",VLOOKUP(A608,INDIRECT("HISTÓRICO COBROS!A3:F"&amp;COUNTA('HISTÓRICO COBROS'!A:A)),6,FALSE)),"")</f>
        <v/>
      </c>
      <c r="H608" s="138" t="str">
        <f t="shared" ref="H608:I608" si="609">IF(D608="","",D608+F608)</f>
        <v/>
      </c>
      <c r="I608" s="135" t="str">
        <f t="shared" si="609"/>
        <v/>
      </c>
      <c r="J608" s="140" t="str">
        <f t="shared" si="3"/>
        <v/>
      </c>
      <c r="K608" s="140" t="str">
        <f t="shared" si="4"/>
        <v/>
      </c>
    </row>
    <row r="609" ht="22.5" customHeight="1">
      <c r="A609" s="140"/>
      <c r="B609" s="135" t="str">
        <f t="array" ref="B609">IF(A609="","",VLOOKUP(A609,INDIRECT("CXC!A2:B"&amp;COUNTA(CXC!A:A)),2,FALSE))</f>
        <v/>
      </c>
      <c r="C609" s="136" t="str">
        <f t="array" ref="C609">IF(A609="","",VLOOKUP(A609,INDIRECT("CXC!A2:C"&amp;COUNTA(CXC!A:A)),3,FALSE))</f>
        <v/>
      </c>
      <c r="D609" s="137" t="str">
        <f t="array" ref="D609">IF(A609="","",VLOOKUP(A609,INDIRECT("CXC!A2:H"&amp;COUNTA(CXC!A:A)),8,FALSE))</f>
        <v/>
      </c>
      <c r="E609" s="137" t="str">
        <f t="array" ref="E609">IFERROR(IF(A609="","",VLOOKUP(A609,INDIRECT("HISTÓRICO COBROS!A3:E"&amp;COUNTA('HISTÓRICO COBROS'!A:A)),5,FALSE)),"")</f>
        <v/>
      </c>
      <c r="F609" s="137" t="str">
        <f t="array" ref="F609">IF(A609="","",VLOOKUP(A609,INDIRECT("CXC!A2:I"&amp;COUNTA(CXC!A:A)),9,FALSE))</f>
        <v/>
      </c>
      <c r="G609" s="137" t="str">
        <f t="array" ref="G609">IFERROR(IF(A609="","",VLOOKUP(A609,INDIRECT("HISTÓRICO COBROS!A3:F"&amp;COUNTA('HISTÓRICO COBROS'!A:A)),6,FALSE)),"")</f>
        <v/>
      </c>
      <c r="H609" s="138" t="str">
        <f t="shared" ref="H609:I609" si="610">IF(D609="","",D609+F609)</f>
        <v/>
      </c>
      <c r="I609" s="135" t="str">
        <f t="shared" si="610"/>
        <v/>
      </c>
      <c r="J609" s="140" t="str">
        <f t="shared" si="3"/>
        <v/>
      </c>
      <c r="K609" s="140" t="str">
        <f t="shared" si="4"/>
        <v/>
      </c>
    </row>
    <row r="610" ht="22.5" customHeight="1">
      <c r="A610" s="140"/>
      <c r="B610" s="135" t="str">
        <f t="array" ref="B610">IF(A610="","",VLOOKUP(A610,INDIRECT("CXC!A2:B"&amp;COUNTA(CXC!A:A)),2,FALSE))</f>
        <v/>
      </c>
      <c r="C610" s="136" t="str">
        <f t="array" ref="C610">IF(A610="","",VLOOKUP(A610,INDIRECT("CXC!A2:C"&amp;COUNTA(CXC!A:A)),3,FALSE))</f>
        <v/>
      </c>
      <c r="D610" s="137" t="str">
        <f t="array" ref="D610">IF(A610="","",VLOOKUP(A610,INDIRECT("CXC!A2:H"&amp;COUNTA(CXC!A:A)),8,FALSE))</f>
        <v/>
      </c>
      <c r="E610" s="137" t="str">
        <f t="array" ref="E610">IFERROR(IF(A610="","",VLOOKUP(A610,INDIRECT("HISTÓRICO COBROS!A3:E"&amp;COUNTA('HISTÓRICO COBROS'!A:A)),5,FALSE)),"")</f>
        <v/>
      </c>
      <c r="F610" s="137" t="str">
        <f t="array" ref="F610">IF(A610="","",VLOOKUP(A610,INDIRECT("CXC!A2:I"&amp;COUNTA(CXC!A:A)),9,FALSE))</f>
        <v/>
      </c>
      <c r="G610" s="137" t="str">
        <f t="array" ref="G610">IFERROR(IF(A610="","",VLOOKUP(A610,INDIRECT("HISTÓRICO COBROS!A3:F"&amp;COUNTA('HISTÓRICO COBROS'!A:A)),6,FALSE)),"")</f>
        <v/>
      </c>
      <c r="H610" s="138" t="str">
        <f t="shared" ref="H610:I610" si="611">IF(D610="","",D610+F610)</f>
        <v/>
      </c>
      <c r="I610" s="135" t="str">
        <f t="shared" si="611"/>
        <v/>
      </c>
      <c r="J610" s="140" t="str">
        <f t="shared" si="3"/>
        <v/>
      </c>
      <c r="K610" s="140" t="str">
        <f t="shared" si="4"/>
        <v/>
      </c>
    </row>
    <row r="611" ht="22.5" customHeight="1">
      <c r="A611" s="140"/>
      <c r="B611" s="135" t="str">
        <f t="array" ref="B611">IF(A611="","",VLOOKUP(A611,INDIRECT("CXC!A2:B"&amp;COUNTA(CXC!A:A)),2,FALSE))</f>
        <v/>
      </c>
      <c r="C611" s="136" t="str">
        <f t="array" ref="C611">IF(A611="","",VLOOKUP(A611,INDIRECT("CXC!A2:C"&amp;COUNTA(CXC!A:A)),3,FALSE))</f>
        <v/>
      </c>
      <c r="D611" s="137" t="str">
        <f t="array" ref="D611">IF(A611="","",VLOOKUP(A611,INDIRECT("CXC!A2:H"&amp;COUNTA(CXC!A:A)),8,FALSE))</f>
        <v/>
      </c>
      <c r="E611" s="137" t="str">
        <f t="array" ref="E611">IFERROR(IF(A611="","",VLOOKUP(A611,INDIRECT("HISTÓRICO COBROS!A3:E"&amp;COUNTA('HISTÓRICO COBROS'!A:A)),5,FALSE)),"")</f>
        <v/>
      </c>
      <c r="F611" s="137" t="str">
        <f t="array" ref="F611">IF(A611="","",VLOOKUP(A611,INDIRECT("CXC!A2:I"&amp;COUNTA(CXC!A:A)),9,FALSE))</f>
        <v/>
      </c>
      <c r="G611" s="137" t="str">
        <f t="array" ref="G611">IFERROR(IF(A611="","",VLOOKUP(A611,INDIRECT("HISTÓRICO COBROS!A3:F"&amp;COUNTA('HISTÓRICO COBROS'!A:A)),6,FALSE)),"")</f>
        <v/>
      </c>
      <c r="H611" s="138" t="str">
        <f t="shared" ref="H611:I611" si="612">IF(D611="","",D611+F611)</f>
        <v/>
      </c>
      <c r="I611" s="135" t="str">
        <f t="shared" si="612"/>
        <v/>
      </c>
      <c r="J611" s="140" t="str">
        <f t="shared" si="3"/>
        <v/>
      </c>
      <c r="K611" s="140" t="str">
        <f t="shared" si="4"/>
        <v/>
      </c>
    </row>
    <row r="612" ht="22.5" customHeight="1">
      <c r="A612" s="140"/>
      <c r="B612" s="135" t="str">
        <f t="array" ref="B612">IF(A612="","",VLOOKUP(A612,INDIRECT("CXC!A2:B"&amp;COUNTA(CXC!A:A)),2,FALSE))</f>
        <v/>
      </c>
      <c r="C612" s="136" t="str">
        <f t="array" ref="C612">IF(A612="","",VLOOKUP(A612,INDIRECT("CXC!A2:C"&amp;COUNTA(CXC!A:A)),3,FALSE))</f>
        <v/>
      </c>
      <c r="D612" s="137" t="str">
        <f t="array" ref="D612">IF(A612="","",VLOOKUP(A612,INDIRECT("CXC!A2:H"&amp;COUNTA(CXC!A:A)),8,FALSE))</f>
        <v/>
      </c>
      <c r="E612" s="137" t="str">
        <f t="array" ref="E612">IFERROR(IF(A612="","",VLOOKUP(A612,INDIRECT("HISTÓRICO COBROS!A3:E"&amp;COUNTA('HISTÓRICO COBROS'!A:A)),5,FALSE)),"")</f>
        <v/>
      </c>
      <c r="F612" s="137" t="str">
        <f t="array" ref="F612">IF(A612="","",VLOOKUP(A612,INDIRECT("CXC!A2:I"&amp;COUNTA(CXC!A:A)),9,FALSE))</f>
        <v/>
      </c>
      <c r="G612" s="137" t="str">
        <f t="array" ref="G612">IFERROR(IF(A612="","",VLOOKUP(A612,INDIRECT("HISTÓRICO COBROS!A3:F"&amp;COUNTA('HISTÓRICO COBROS'!A:A)),6,FALSE)),"")</f>
        <v/>
      </c>
      <c r="H612" s="138" t="str">
        <f t="shared" ref="H612:I612" si="613">IF(D612="","",D612+F612)</f>
        <v/>
      </c>
      <c r="I612" s="135" t="str">
        <f t="shared" si="613"/>
        <v/>
      </c>
      <c r="J612" s="140" t="str">
        <f t="shared" si="3"/>
        <v/>
      </c>
      <c r="K612" s="140" t="str">
        <f t="shared" si="4"/>
        <v/>
      </c>
    </row>
    <row r="613" ht="22.5" customHeight="1">
      <c r="A613" s="140"/>
      <c r="B613" s="135" t="str">
        <f t="array" ref="B613">IF(A613="","",VLOOKUP(A613,INDIRECT("CXC!A2:B"&amp;COUNTA(CXC!A:A)),2,FALSE))</f>
        <v/>
      </c>
      <c r="C613" s="136" t="str">
        <f t="array" ref="C613">IF(A613="","",VLOOKUP(A613,INDIRECT("CXC!A2:C"&amp;COUNTA(CXC!A:A)),3,FALSE))</f>
        <v/>
      </c>
      <c r="D613" s="137" t="str">
        <f t="array" ref="D613">IF(A613="","",VLOOKUP(A613,INDIRECT("CXC!A2:H"&amp;COUNTA(CXC!A:A)),8,FALSE))</f>
        <v/>
      </c>
      <c r="E613" s="137" t="str">
        <f t="array" ref="E613">IFERROR(IF(A613="","",VLOOKUP(A613,INDIRECT("HISTÓRICO COBROS!A3:E"&amp;COUNTA('HISTÓRICO COBROS'!A:A)),5,FALSE)),"")</f>
        <v/>
      </c>
      <c r="F613" s="137" t="str">
        <f t="array" ref="F613">IF(A613="","",VLOOKUP(A613,INDIRECT("CXC!A2:I"&amp;COUNTA(CXC!A:A)),9,FALSE))</f>
        <v/>
      </c>
      <c r="G613" s="137" t="str">
        <f t="array" ref="G613">IFERROR(IF(A613="","",VLOOKUP(A613,INDIRECT("HISTÓRICO COBROS!A3:F"&amp;COUNTA('HISTÓRICO COBROS'!A:A)),6,FALSE)),"")</f>
        <v/>
      </c>
      <c r="H613" s="138" t="str">
        <f t="shared" ref="H613:I613" si="614">IF(D613="","",D613+F613)</f>
        <v/>
      </c>
      <c r="I613" s="135" t="str">
        <f t="shared" si="614"/>
        <v/>
      </c>
      <c r="J613" s="140" t="str">
        <f t="shared" si="3"/>
        <v/>
      </c>
      <c r="K613" s="140" t="str">
        <f t="shared" si="4"/>
        <v/>
      </c>
    </row>
    <row r="614" ht="22.5" customHeight="1">
      <c r="A614" s="140"/>
      <c r="B614" s="135" t="str">
        <f t="array" ref="B614">IF(A614="","",VLOOKUP(A614,INDIRECT("CXC!A2:B"&amp;COUNTA(CXC!A:A)),2,FALSE))</f>
        <v/>
      </c>
      <c r="C614" s="136" t="str">
        <f t="array" ref="C614">IF(A614="","",VLOOKUP(A614,INDIRECT("CXC!A2:C"&amp;COUNTA(CXC!A:A)),3,FALSE))</f>
        <v/>
      </c>
      <c r="D614" s="137" t="str">
        <f t="array" ref="D614">IF(A614="","",VLOOKUP(A614,INDIRECT("CXC!A2:H"&amp;COUNTA(CXC!A:A)),8,FALSE))</f>
        <v/>
      </c>
      <c r="E614" s="137" t="str">
        <f t="array" ref="E614">IFERROR(IF(A614="","",VLOOKUP(A614,INDIRECT("HISTÓRICO COBROS!A3:E"&amp;COUNTA('HISTÓRICO COBROS'!A:A)),5,FALSE)),"")</f>
        <v/>
      </c>
      <c r="F614" s="137" t="str">
        <f t="array" ref="F614">IF(A614="","",VLOOKUP(A614,INDIRECT("CXC!A2:I"&amp;COUNTA(CXC!A:A)),9,FALSE))</f>
        <v/>
      </c>
      <c r="G614" s="137" t="str">
        <f t="array" ref="G614">IFERROR(IF(A614="","",VLOOKUP(A614,INDIRECT("HISTÓRICO COBROS!A3:F"&amp;COUNTA('HISTÓRICO COBROS'!A:A)),6,FALSE)),"")</f>
        <v/>
      </c>
      <c r="H614" s="138" t="str">
        <f t="shared" ref="H614:I614" si="615">IF(D614="","",D614+F614)</f>
        <v/>
      </c>
      <c r="I614" s="135" t="str">
        <f t="shared" si="615"/>
        <v/>
      </c>
      <c r="J614" s="140" t="str">
        <f t="shared" si="3"/>
        <v/>
      </c>
      <c r="K614" s="140" t="str">
        <f t="shared" si="4"/>
        <v/>
      </c>
    </row>
    <row r="615" ht="22.5" customHeight="1">
      <c r="A615" s="140"/>
      <c r="B615" s="135" t="str">
        <f t="array" ref="B615">IF(A615="","",VLOOKUP(A615,INDIRECT("CXC!A2:B"&amp;COUNTA(CXC!A:A)),2,FALSE))</f>
        <v/>
      </c>
      <c r="C615" s="136" t="str">
        <f t="array" ref="C615">IF(A615="","",VLOOKUP(A615,INDIRECT("CXC!A2:C"&amp;COUNTA(CXC!A:A)),3,FALSE))</f>
        <v/>
      </c>
      <c r="D615" s="137" t="str">
        <f t="array" ref="D615">IF(A615="","",VLOOKUP(A615,INDIRECT("CXC!A2:H"&amp;COUNTA(CXC!A:A)),8,FALSE))</f>
        <v/>
      </c>
      <c r="E615" s="137" t="str">
        <f t="array" ref="E615">IFERROR(IF(A615="","",VLOOKUP(A615,INDIRECT("HISTÓRICO COBROS!A3:E"&amp;COUNTA('HISTÓRICO COBROS'!A:A)),5,FALSE)),"")</f>
        <v/>
      </c>
      <c r="F615" s="137" t="str">
        <f t="array" ref="F615">IF(A615="","",VLOOKUP(A615,INDIRECT("CXC!A2:I"&amp;COUNTA(CXC!A:A)),9,FALSE))</f>
        <v/>
      </c>
      <c r="G615" s="137" t="str">
        <f t="array" ref="G615">IFERROR(IF(A615="","",VLOOKUP(A615,INDIRECT("HISTÓRICO COBROS!A3:F"&amp;COUNTA('HISTÓRICO COBROS'!A:A)),6,FALSE)),"")</f>
        <v/>
      </c>
      <c r="H615" s="138" t="str">
        <f t="shared" ref="H615:I615" si="616">IF(D615="","",D615+F615)</f>
        <v/>
      </c>
      <c r="I615" s="135" t="str">
        <f t="shared" si="616"/>
        <v/>
      </c>
      <c r="J615" s="140" t="str">
        <f t="shared" si="3"/>
        <v/>
      </c>
      <c r="K615" s="140" t="str">
        <f t="shared" si="4"/>
        <v/>
      </c>
    </row>
    <row r="616" ht="22.5" customHeight="1">
      <c r="A616" s="140"/>
      <c r="B616" s="135" t="str">
        <f t="array" ref="B616">IF(A616="","",VLOOKUP(A616,INDIRECT("CXC!A2:B"&amp;COUNTA(CXC!A:A)),2,FALSE))</f>
        <v/>
      </c>
      <c r="C616" s="136" t="str">
        <f t="array" ref="C616">IF(A616="","",VLOOKUP(A616,INDIRECT("CXC!A2:C"&amp;COUNTA(CXC!A:A)),3,FALSE))</f>
        <v/>
      </c>
      <c r="D616" s="137" t="str">
        <f t="array" ref="D616">IF(A616="","",VLOOKUP(A616,INDIRECT("CXC!A2:H"&amp;COUNTA(CXC!A:A)),8,FALSE))</f>
        <v/>
      </c>
      <c r="E616" s="137" t="str">
        <f t="array" ref="E616">IFERROR(IF(A616="","",VLOOKUP(A616,INDIRECT("HISTÓRICO COBROS!A3:E"&amp;COUNTA('HISTÓRICO COBROS'!A:A)),5,FALSE)),"")</f>
        <v/>
      </c>
      <c r="F616" s="137" t="str">
        <f t="array" ref="F616">IF(A616="","",VLOOKUP(A616,INDIRECT("CXC!A2:I"&amp;COUNTA(CXC!A:A)),9,FALSE))</f>
        <v/>
      </c>
      <c r="G616" s="137" t="str">
        <f t="array" ref="G616">IFERROR(IF(A616="","",VLOOKUP(A616,INDIRECT("HISTÓRICO COBROS!A3:F"&amp;COUNTA('HISTÓRICO COBROS'!A:A)),6,FALSE)),"")</f>
        <v/>
      </c>
      <c r="H616" s="138" t="str">
        <f t="shared" ref="H616:I616" si="617">IF(D616="","",D616+F616)</f>
        <v/>
      </c>
      <c r="I616" s="135" t="str">
        <f t="shared" si="617"/>
        <v/>
      </c>
      <c r="J616" s="140" t="str">
        <f t="shared" si="3"/>
        <v/>
      </c>
      <c r="K616" s="140" t="str">
        <f t="shared" si="4"/>
        <v/>
      </c>
    </row>
    <row r="617" ht="22.5" customHeight="1">
      <c r="A617" s="140"/>
      <c r="B617" s="135" t="str">
        <f t="array" ref="B617">IF(A617="","",VLOOKUP(A617,INDIRECT("CXC!A2:B"&amp;COUNTA(CXC!A:A)),2,FALSE))</f>
        <v/>
      </c>
      <c r="C617" s="136" t="str">
        <f t="array" ref="C617">IF(A617="","",VLOOKUP(A617,INDIRECT("CXC!A2:C"&amp;COUNTA(CXC!A:A)),3,FALSE))</f>
        <v/>
      </c>
      <c r="D617" s="137" t="str">
        <f t="array" ref="D617">IF(A617="","",VLOOKUP(A617,INDIRECT("CXC!A2:H"&amp;COUNTA(CXC!A:A)),8,FALSE))</f>
        <v/>
      </c>
      <c r="E617" s="137" t="str">
        <f t="array" ref="E617">IFERROR(IF(A617="","",VLOOKUP(A617,INDIRECT("HISTÓRICO COBROS!A3:E"&amp;COUNTA('HISTÓRICO COBROS'!A:A)),5,FALSE)),"")</f>
        <v/>
      </c>
      <c r="F617" s="137" t="str">
        <f t="array" ref="F617">IF(A617="","",VLOOKUP(A617,INDIRECT("CXC!A2:I"&amp;COUNTA(CXC!A:A)),9,FALSE))</f>
        <v/>
      </c>
      <c r="G617" s="137" t="str">
        <f t="array" ref="G617">IFERROR(IF(A617="","",VLOOKUP(A617,INDIRECT("HISTÓRICO COBROS!A3:F"&amp;COUNTA('HISTÓRICO COBROS'!A:A)),6,FALSE)),"")</f>
        <v/>
      </c>
      <c r="H617" s="138" t="str">
        <f t="shared" ref="H617:I617" si="618">IF(D617="","",D617+F617)</f>
        <v/>
      </c>
      <c r="I617" s="135" t="str">
        <f t="shared" si="618"/>
        <v/>
      </c>
      <c r="J617" s="140" t="str">
        <f t="shared" si="3"/>
        <v/>
      </c>
      <c r="K617" s="140" t="str">
        <f t="shared" si="4"/>
        <v/>
      </c>
    </row>
    <row r="618" ht="22.5" customHeight="1">
      <c r="A618" s="140"/>
      <c r="B618" s="135" t="str">
        <f t="array" ref="B618">IF(A618="","",VLOOKUP(A618,INDIRECT("CXC!A2:B"&amp;COUNTA(CXC!A:A)),2,FALSE))</f>
        <v/>
      </c>
      <c r="C618" s="136" t="str">
        <f t="array" ref="C618">IF(A618="","",VLOOKUP(A618,INDIRECT("CXC!A2:C"&amp;COUNTA(CXC!A:A)),3,FALSE))</f>
        <v/>
      </c>
      <c r="D618" s="137" t="str">
        <f t="array" ref="D618">IF(A618="","",VLOOKUP(A618,INDIRECT("CXC!A2:H"&amp;COUNTA(CXC!A:A)),8,FALSE))</f>
        <v/>
      </c>
      <c r="E618" s="137" t="str">
        <f t="array" ref="E618">IFERROR(IF(A618="","",VLOOKUP(A618,INDIRECT("HISTÓRICO COBROS!A3:E"&amp;COUNTA('HISTÓRICO COBROS'!A:A)),5,FALSE)),"")</f>
        <v/>
      </c>
      <c r="F618" s="137" t="str">
        <f t="array" ref="F618">IF(A618="","",VLOOKUP(A618,INDIRECT("CXC!A2:I"&amp;COUNTA(CXC!A:A)),9,FALSE))</f>
        <v/>
      </c>
      <c r="G618" s="137" t="str">
        <f t="array" ref="G618">IFERROR(IF(A618="","",VLOOKUP(A618,INDIRECT("HISTÓRICO COBROS!A3:F"&amp;COUNTA('HISTÓRICO COBROS'!A:A)),6,FALSE)),"")</f>
        <v/>
      </c>
      <c r="H618" s="138" t="str">
        <f t="shared" ref="H618:I618" si="619">IF(D618="","",D618+F618)</f>
        <v/>
      </c>
      <c r="I618" s="135" t="str">
        <f t="shared" si="619"/>
        <v/>
      </c>
      <c r="J618" s="140" t="str">
        <f t="shared" si="3"/>
        <v/>
      </c>
      <c r="K618" s="140" t="str">
        <f t="shared" si="4"/>
        <v/>
      </c>
    </row>
    <row r="619" ht="22.5" customHeight="1">
      <c r="A619" s="140"/>
      <c r="B619" s="135" t="str">
        <f t="array" ref="B619">IF(A619="","",VLOOKUP(A619,INDIRECT("CXC!A2:B"&amp;COUNTA(CXC!A:A)),2,FALSE))</f>
        <v/>
      </c>
      <c r="C619" s="136" t="str">
        <f t="array" ref="C619">IF(A619="","",VLOOKUP(A619,INDIRECT("CXC!A2:C"&amp;COUNTA(CXC!A:A)),3,FALSE))</f>
        <v/>
      </c>
      <c r="D619" s="137" t="str">
        <f t="array" ref="D619">IF(A619="","",VLOOKUP(A619,INDIRECT("CXC!A2:H"&amp;COUNTA(CXC!A:A)),8,FALSE))</f>
        <v/>
      </c>
      <c r="E619" s="137" t="str">
        <f t="array" ref="E619">IFERROR(IF(A619="","",VLOOKUP(A619,INDIRECT("HISTÓRICO COBROS!A3:E"&amp;COUNTA('HISTÓRICO COBROS'!A:A)),5,FALSE)),"")</f>
        <v/>
      </c>
      <c r="F619" s="137" t="str">
        <f t="array" ref="F619">IF(A619="","",VLOOKUP(A619,INDIRECT("CXC!A2:I"&amp;COUNTA(CXC!A:A)),9,FALSE))</f>
        <v/>
      </c>
      <c r="G619" s="137" t="str">
        <f t="array" ref="G619">IFERROR(IF(A619="","",VLOOKUP(A619,INDIRECT("HISTÓRICO COBROS!A3:F"&amp;COUNTA('HISTÓRICO COBROS'!A:A)),6,FALSE)),"")</f>
        <v/>
      </c>
      <c r="H619" s="138" t="str">
        <f t="shared" ref="H619:I619" si="620">IF(D619="","",D619+F619)</f>
        <v/>
      </c>
      <c r="I619" s="135" t="str">
        <f t="shared" si="620"/>
        <v/>
      </c>
      <c r="J619" s="140" t="str">
        <f t="shared" si="3"/>
        <v/>
      </c>
      <c r="K619" s="140" t="str">
        <f t="shared" si="4"/>
        <v/>
      </c>
    </row>
    <row r="620" ht="22.5" customHeight="1">
      <c r="A620" s="140"/>
      <c r="B620" s="135" t="str">
        <f t="array" ref="B620">IF(A620="","",VLOOKUP(A620,INDIRECT("CXC!A2:B"&amp;COUNTA(CXC!A:A)),2,FALSE))</f>
        <v/>
      </c>
      <c r="C620" s="136" t="str">
        <f t="array" ref="C620">IF(A620="","",VLOOKUP(A620,INDIRECT("CXC!A2:C"&amp;COUNTA(CXC!A:A)),3,FALSE))</f>
        <v/>
      </c>
      <c r="D620" s="137" t="str">
        <f t="array" ref="D620">IF(A620="","",VLOOKUP(A620,INDIRECT("CXC!A2:H"&amp;COUNTA(CXC!A:A)),8,FALSE))</f>
        <v/>
      </c>
      <c r="E620" s="137" t="str">
        <f t="array" ref="E620">IFERROR(IF(A620="","",VLOOKUP(A620,INDIRECT("HISTÓRICO COBROS!A3:E"&amp;COUNTA('HISTÓRICO COBROS'!A:A)),5,FALSE)),"")</f>
        <v/>
      </c>
      <c r="F620" s="137" t="str">
        <f t="array" ref="F620">IF(A620="","",VLOOKUP(A620,INDIRECT("CXC!A2:I"&amp;COUNTA(CXC!A:A)),9,FALSE))</f>
        <v/>
      </c>
      <c r="G620" s="137" t="str">
        <f t="array" ref="G620">IFERROR(IF(A620="","",VLOOKUP(A620,INDIRECT("HISTÓRICO COBROS!A3:F"&amp;COUNTA('HISTÓRICO COBROS'!A:A)),6,FALSE)),"")</f>
        <v/>
      </c>
      <c r="H620" s="138" t="str">
        <f t="shared" ref="H620:I620" si="621">IF(D620="","",D620+F620)</f>
        <v/>
      </c>
      <c r="I620" s="135" t="str">
        <f t="shared" si="621"/>
        <v/>
      </c>
      <c r="J620" s="140" t="str">
        <f t="shared" si="3"/>
        <v/>
      </c>
      <c r="K620" s="140" t="str">
        <f t="shared" si="4"/>
        <v/>
      </c>
    </row>
    <row r="621" ht="22.5" customHeight="1">
      <c r="A621" s="140"/>
      <c r="B621" s="135" t="str">
        <f t="array" ref="B621">IF(A621="","",VLOOKUP(A621,INDIRECT("CXC!A2:B"&amp;COUNTA(CXC!A:A)),2,FALSE))</f>
        <v/>
      </c>
      <c r="C621" s="136" t="str">
        <f t="array" ref="C621">IF(A621="","",VLOOKUP(A621,INDIRECT("CXC!A2:C"&amp;COUNTA(CXC!A:A)),3,FALSE))</f>
        <v/>
      </c>
      <c r="D621" s="137" t="str">
        <f t="array" ref="D621">IF(A621="","",VLOOKUP(A621,INDIRECT("CXC!A2:H"&amp;COUNTA(CXC!A:A)),8,FALSE))</f>
        <v/>
      </c>
      <c r="E621" s="137" t="str">
        <f t="array" ref="E621">IFERROR(IF(A621="","",VLOOKUP(A621,INDIRECT("HISTÓRICO COBROS!A3:E"&amp;COUNTA('HISTÓRICO COBROS'!A:A)),5,FALSE)),"")</f>
        <v/>
      </c>
      <c r="F621" s="137" t="str">
        <f t="array" ref="F621">IF(A621="","",VLOOKUP(A621,INDIRECT("CXC!A2:I"&amp;COUNTA(CXC!A:A)),9,FALSE))</f>
        <v/>
      </c>
      <c r="G621" s="137" t="str">
        <f t="array" ref="G621">IFERROR(IF(A621="","",VLOOKUP(A621,INDIRECT("HISTÓRICO COBROS!A3:F"&amp;COUNTA('HISTÓRICO COBROS'!A:A)),6,FALSE)),"")</f>
        <v/>
      </c>
      <c r="H621" s="138" t="str">
        <f t="shared" ref="H621:I621" si="622">IF(D621="","",D621+F621)</f>
        <v/>
      </c>
      <c r="I621" s="135" t="str">
        <f t="shared" si="622"/>
        <v/>
      </c>
      <c r="J621" s="140" t="str">
        <f t="shared" si="3"/>
        <v/>
      </c>
      <c r="K621" s="140" t="str">
        <f t="shared" si="4"/>
        <v/>
      </c>
    </row>
    <row r="622" ht="22.5" customHeight="1">
      <c r="A622" s="140"/>
      <c r="B622" s="135" t="str">
        <f t="array" ref="B622">IF(A622="","",VLOOKUP(A622,INDIRECT("CXC!A2:B"&amp;COUNTA(CXC!A:A)),2,FALSE))</f>
        <v/>
      </c>
      <c r="C622" s="136" t="str">
        <f t="array" ref="C622">IF(A622="","",VLOOKUP(A622,INDIRECT("CXC!A2:C"&amp;COUNTA(CXC!A:A)),3,FALSE))</f>
        <v/>
      </c>
      <c r="D622" s="137" t="str">
        <f t="array" ref="D622">IF(A622="","",VLOOKUP(A622,INDIRECT("CXC!A2:H"&amp;COUNTA(CXC!A:A)),8,FALSE))</f>
        <v/>
      </c>
      <c r="E622" s="137" t="str">
        <f t="array" ref="E622">IFERROR(IF(A622="","",VLOOKUP(A622,INDIRECT("HISTÓRICO COBROS!A3:E"&amp;COUNTA('HISTÓRICO COBROS'!A:A)),5,FALSE)),"")</f>
        <v/>
      </c>
      <c r="F622" s="137" t="str">
        <f t="array" ref="F622">IF(A622="","",VLOOKUP(A622,INDIRECT("CXC!A2:I"&amp;COUNTA(CXC!A:A)),9,FALSE))</f>
        <v/>
      </c>
      <c r="G622" s="137" t="str">
        <f t="array" ref="G622">IFERROR(IF(A622="","",VLOOKUP(A622,INDIRECT("HISTÓRICO COBROS!A3:F"&amp;COUNTA('HISTÓRICO COBROS'!A:A)),6,FALSE)),"")</f>
        <v/>
      </c>
      <c r="H622" s="138" t="str">
        <f t="shared" ref="H622:I622" si="623">IF(D622="","",D622+F622)</f>
        <v/>
      </c>
      <c r="I622" s="135" t="str">
        <f t="shared" si="623"/>
        <v/>
      </c>
      <c r="J622" s="140" t="str">
        <f t="shared" si="3"/>
        <v/>
      </c>
      <c r="K622" s="140" t="str">
        <f t="shared" si="4"/>
        <v/>
      </c>
    </row>
    <row r="623" ht="22.5" customHeight="1">
      <c r="A623" s="140"/>
      <c r="B623" s="135" t="str">
        <f t="array" ref="B623">IF(A623="","",VLOOKUP(A623,INDIRECT("CXC!A2:B"&amp;COUNTA(CXC!A:A)),2,FALSE))</f>
        <v/>
      </c>
      <c r="C623" s="136" t="str">
        <f t="array" ref="C623">IF(A623="","",VLOOKUP(A623,INDIRECT("CXC!A2:C"&amp;COUNTA(CXC!A:A)),3,FALSE))</f>
        <v/>
      </c>
      <c r="D623" s="137" t="str">
        <f t="array" ref="D623">IF(A623="","",VLOOKUP(A623,INDIRECT("CXC!A2:H"&amp;COUNTA(CXC!A:A)),8,FALSE))</f>
        <v/>
      </c>
      <c r="E623" s="137" t="str">
        <f t="array" ref="E623">IFERROR(IF(A623="","",VLOOKUP(A623,INDIRECT("HISTÓRICO COBROS!A3:E"&amp;COUNTA('HISTÓRICO COBROS'!A:A)),5,FALSE)),"")</f>
        <v/>
      </c>
      <c r="F623" s="137" t="str">
        <f t="array" ref="F623">IF(A623="","",VLOOKUP(A623,INDIRECT("CXC!A2:I"&amp;COUNTA(CXC!A:A)),9,FALSE))</f>
        <v/>
      </c>
      <c r="G623" s="137" t="str">
        <f t="array" ref="G623">IFERROR(IF(A623="","",VLOOKUP(A623,INDIRECT("HISTÓRICO COBROS!A3:F"&amp;COUNTA('HISTÓRICO COBROS'!A:A)),6,FALSE)),"")</f>
        <v/>
      </c>
      <c r="H623" s="138" t="str">
        <f t="shared" ref="H623:I623" si="624">IF(D623="","",D623+F623)</f>
        <v/>
      </c>
      <c r="I623" s="135" t="str">
        <f t="shared" si="624"/>
        <v/>
      </c>
      <c r="J623" s="140" t="str">
        <f t="shared" si="3"/>
        <v/>
      </c>
      <c r="K623" s="140" t="str">
        <f t="shared" si="4"/>
        <v/>
      </c>
    </row>
    <row r="624" ht="22.5" customHeight="1">
      <c r="A624" s="140"/>
      <c r="B624" s="135" t="str">
        <f t="array" ref="B624">IF(A624="","",VLOOKUP(A624,INDIRECT("CXC!A2:B"&amp;COUNTA(CXC!A:A)),2,FALSE))</f>
        <v/>
      </c>
      <c r="C624" s="136" t="str">
        <f t="array" ref="C624">IF(A624="","",VLOOKUP(A624,INDIRECT("CXC!A2:C"&amp;COUNTA(CXC!A:A)),3,FALSE))</f>
        <v/>
      </c>
      <c r="D624" s="137" t="str">
        <f t="array" ref="D624">IF(A624="","",VLOOKUP(A624,INDIRECT("CXC!A2:H"&amp;COUNTA(CXC!A:A)),8,FALSE))</f>
        <v/>
      </c>
      <c r="E624" s="137" t="str">
        <f t="array" ref="E624">IFERROR(IF(A624="","",VLOOKUP(A624,INDIRECT("HISTÓRICO COBROS!A3:E"&amp;COUNTA('HISTÓRICO COBROS'!A:A)),5,FALSE)),"")</f>
        <v/>
      </c>
      <c r="F624" s="137" t="str">
        <f t="array" ref="F624">IF(A624="","",VLOOKUP(A624,INDIRECT("CXC!A2:I"&amp;COUNTA(CXC!A:A)),9,FALSE))</f>
        <v/>
      </c>
      <c r="G624" s="137" t="str">
        <f t="array" ref="G624">IFERROR(IF(A624="","",VLOOKUP(A624,INDIRECT("HISTÓRICO COBROS!A3:F"&amp;COUNTA('HISTÓRICO COBROS'!A:A)),6,FALSE)),"")</f>
        <v/>
      </c>
      <c r="H624" s="138" t="str">
        <f t="shared" ref="H624:I624" si="625">IF(D624="","",D624+F624)</f>
        <v/>
      </c>
      <c r="I624" s="135" t="str">
        <f t="shared" si="625"/>
        <v/>
      </c>
      <c r="J624" s="140" t="str">
        <f t="shared" si="3"/>
        <v/>
      </c>
      <c r="K624" s="140" t="str">
        <f t="shared" si="4"/>
        <v/>
      </c>
    </row>
    <row r="625" ht="22.5" customHeight="1">
      <c r="A625" s="140"/>
      <c r="B625" s="135" t="str">
        <f t="array" ref="B625">IF(A625="","",VLOOKUP(A625,INDIRECT("CXC!A2:B"&amp;COUNTA(CXC!A:A)),2,FALSE))</f>
        <v/>
      </c>
      <c r="C625" s="136" t="str">
        <f t="array" ref="C625">IF(A625="","",VLOOKUP(A625,INDIRECT("CXC!A2:C"&amp;COUNTA(CXC!A:A)),3,FALSE))</f>
        <v/>
      </c>
      <c r="D625" s="137" t="str">
        <f t="array" ref="D625">IF(A625="","",VLOOKUP(A625,INDIRECT("CXC!A2:H"&amp;COUNTA(CXC!A:A)),8,FALSE))</f>
        <v/>
      </c>
      <c r="E625" s="137" t="str">
        <f t="array" ref="E625">IFERROR(IF(A625="","",VLOOKUP(A625,INDIRECT("HISTÓRICO COBROS!A3:E"&amp;COUNTA('HISTÓRICO COBROS'!A:A)),5,FALSE)),"")</f>
        <v/>
      </c>
      <c r="F625" s="137" t="str">
        <f t="array" ref="F625">IF(A625="","",VLOOKUP(A625,INDIRECT("CXC!A2:I"&amp;COUNTA(CXC!A:A)),9,FALSE))</f>
        <v/>
      </c>
      <c r="G625" s="137" t="str">
        <f t="array" ref="G625">IFERROR(IF(A625="","",VLOOKUP(A625,INDIRECT("HISTÓRICO COBROS!A3:F"&amp;COUNTA('HISTÓRICO COBROS'!A:A)),6,FALSE)),"")</f>
        <v/>
      </c>
      <c r="H625" s="138" t="str">
        <f t="shared" ref="H625:I625" si="626">IF(D625="","",D625+F625)</f>
        <v/>
      </c>
      <c r="I625" s="135" t="str">
        <f t="shared" si="626"/>
        <v/>
      </c>
      <c r="J625" s="140" t="str">
        <f t="shared" si="3"/>
        <v/>
      </c>
      <c r="K625" s="140" t="str">
        <f t="shared" si="4"/>
        <v/>
      </c>
    </row>
    <row r="626" ht="22.5" customHeight="1">
      <c r="A626" s="140"/>
      <c r="B626" s="135" t="str">
        <f t="array" ref="B626">IF(A626="","",VLOOKUP(A626,INDIRECT("CXC!A2:B"&amp;COUNTA(CXC!A:A)),2,FALSE))</f>
        <v/>
      </c>
      <c r="C626" s="136" t="str">
        <f t="array" ref="C626">IF(A626="","",VLOOKUP(A626,INDIRECT("CXC!A2:C"&amp;COUNTA(CXC!A:A)),3,FALSE))</f>
        <v/>
      </c>
      <c r="D626" s="137" t="str">
        <f t="array" ref="D626">IF(A626="","",VLOOKUP(A626,INDIRECT("CXC!A2:H"&amp;COUNTA(CXC!A:A)),8,FALSE))</f>
        <v/>
      </c>
      <c r="E626" s="137" t="str">
        <f t="array" ref="E626">IFERROR(IF(A626="","",VLOOKUP(A626,INDIRECT("HISTÓRICO COBROS!A3:E"&amp;COUNTA('HISTÓRICO COBROS'!A:A)),5,FALSE)),"")</f>
        <v/>
      </c>
      <c r="F626" s="137" t="str">
        <f t="array" ref="F626">IF(A626="","",VLOOKUP(A626,INDIRECT("CXC!A2:I"&amp;COUNTA(CXC!A:A)),9,FALSE))</f>
        <v/>
      </c>
      <c r="G626" s="137" t="str">
        <f t="array" ref="G626">IFERROR(IF(A626="","",VLOOKUP(A626,INDIRECT("HISTÓRICO COBROS!A3:F"&amp;COUNTA('HISTÓRICO COBROS'!A:A)),6,FALSE)),"")</f>
        <v/>
      </c>
      <c r="H626" s="138" t="str">
        <f t="shared" ref="H626:I626" si="627">IF(D626="","",D626+F626)</f>
        <v/>
      </c>
      <c r="I626" s="135" t="str">
        <f t="shared" si="627"/>
        <v/>
      </c>
      <c r="J626" s="140" t="str">
        <f t="shared" si="3"/>
        <v/>
      </c>
      <c r="K626" s="140" t="str">
        <f t="shared" si="4"/>
        <v/>
      </c>
    </row>
    <row r="627" ht="22.5" customHeight="1">
      <c r="A627" s="140"/>
      <c r="B627" s="135" t="str">
        <f t="array" ref="B627">IF(A627="","",VLOOKUP(A627,INDIRECT("CXC!A2:B"&amp;COUNTA(CXC!A:A)),2,FALSE))</f>
        <v/>
      </c>
      <c r="C627" s="136" t="str">
        <f t="array" ref="C627">IF(A627="","",VLOOKUP(A627,INDIRECT("CXC!A2:C"&amp;COUNTA(CXC!A:A)),3,FALSE))</f>
        <v/>
      </c>
      <c r="D627" s="137" t="str">
        <f t="array" ref="D627">IF(A627="","",VLOOKUP(A627,INDIRECT("CXC!A2:H"&amp;COUNTA(CXC!A:A)),8,FALSE))</f>
        <v/>
      </c>
      <c r="E627" s="137" t="str">
        <f t="array" ref="E627">IFERROR(IF(A627="","",VLOOKUP(A627,INDIRECT("HISTÓRICO COBROS!A3:E"&amp;COUNTA('HISTÓRICO COBROS'!A:A)),5,FALSE)),"")</f>
        <v/>
      </c>
      <c r="F627" s="137" t="str">
        <f t="array" ref="F627">IF(A627="","",VLOOKUP(A627,INDIRECT("CXC!A2:I"&amp;COUNTA(CXC!A:A)),9,FALSE))</f>
        <v/>
      </c>
      <c r="G627" s="137" t="str">
        <f t="array" ref="G627">IFERROR(IF(A627="","",VLOOKUP(A627,INDIRECT("HISTÓRICO COBROS!A3:F"&amp;COUNTA('HISTÓRICO COBROS'!A:A)),6,FALSE)),"")</f>
        <v/>
      </c>
      <c r="H627" s="138" t="str">
        <f t="shared" ref="H627:I627" si="628">IF(D627="","",D627+F627)</f>
        <v/>
      </c>
      <c r="I627" s="135" t="str">
        <f t="shared" si="628"/>
        <v/>
      </c>
      <c r="J627" s="140" t="str">
        <f t="shared" si="3"/>
        <v/>
      </c>
      <c r="K627" s="140" t="str">
        <f t="shared" si="4"/>
        <v/>
      </c>
    </row>
    <row r="628" ht="22.5" customHeight="1">
      <c r="A628" s="140"/>
      <c r="B628" s="135" t="str">
        <f t="array" ref="B628">IF(A628="","",VLOOKUP(A628,INDIRECT("CXC!A2:B"&amp;COUNTA(CXC!A:A)),2,FALSE))</f>
        <v/>
      </c>
      <c r="C628" s="136" t="str">
        <f t="array" ref="C628">IF(A628="","",VLOOKUP(A628,INDIRECT("CXC!A2:C"&amp;COUNTA(CXC!A:A)),3,FALSE))</f>
        <v/>
      </c>
      <c r="D628" s="137" t="str">
        <f t="array" ref="D628">IF(A628="","",VLOOKUP(A628,INDIRECT("CXC!A2:H"&amp;COUNTA(CXC!A:A)),8,FALSE))</f>
        <v/>
      </c>
      <c r="E628" s="137" t="str">
        <f t="array" ref="E628">IFERROR(IF(A628="","",VLOOKUP(A628,INDIRECT("HISTÓRICO COBROS!A3:E"&amp;COUNTA('HISTÓRICO COBROS'!A:A)),5,FALSE)),"")</f>
        <v/>
      </c>
      <c r="F628" s="137" t="str">
        <f t="array" ref="F628">IF(A628="","",VLOOKUP(A628,INDIRECT("CXC!A2:I"&amp;COUNTA(CXC!A:A)),9,FALSE))</f>
        <v/>
      </c>
      <c r="G628" s="137" t="str">
        <f t="array" ref="G628">IFERROR(IF(A628="","",VLOOKUP(A628,INDIRECT("HISTÓRICO COBROS!A3:F"&amp;COUNTA('HISTÓRICO COBROS'!A:A)),6,FALSE)),"")</f>
        <v/>
      </c>
      <c r="H628" s="138" t="str">
        <f t="shared" ref="H628:I628" si="629">IF(D628="","",D628+F628)</f>
        <v/>
      </c>
      <c r="I628" s="135" t="str">
        <f t="shared" si="629"/>
        <v/>
      </c>
      <c r="J628" s="140" t="str">
        <f t="shared" si="3"/>
        <v/>
      </c>
      <c r="K628" s="140" t="str">
        <f t="shared" si="4"/>
        <v/>
      </c>
    </row>
    <row r="629" ht="22.5" customHeight="1">
      <c r="A629" s="140"/>
      <c r="B629" s="135" t="str">
        <f t="array" ref="B629">IF(A629="","",VLOOKUP(A629,INDIRECT("CXC!A2:B"&amp;COUNTA(CXC!A:A)),2,FALSE))</f>
        <v/>
      </c>
      <c r="C629" s="136" t="str">
        <f t="array" ref="C629">IF(A629="","",VLOOKUP(A629,INDIRECT("CXC!A2:C"&amp;COUNTA(CXC!A:A)),3,FALSE))</f>
        <v/>
      </c>
      <c r="D629" s="137" t="str">
        <f t="array" ref="D629">IF(A629="","",VLOOKUP(A629,INDIRECT("CXC!A2:H"&amp;COUNTA(CXC!A:A)),8,FALSE))</f>
        <v/>
      </c>
      <c r="E629" s="137" t="str">
        <f t="array" ref="E629">IFERROR(IF(A629="","",VLOOKUP(A629,INDIRECT("HISTÓRICO COBROS!A3:E"&amp;COUNTA('HISTÓRICO COBROS'!A:A)),5,FALSE)),"")</f>
        <v/>
      </c>
      <c r="F629" s="137" t="str">
        <f t="array" ref="F629">IF(A629="","",VLOOKUP(A629,INDIRECT("CXC!A2:I"&amp;COUNTA(CXC!A:A)),9,FALSE))</f>
        <v/>
      </c>
      <c r="G629" s="137" t="str">
        <f t="array" ref="G629">IFERROR(IF(A629="","",VLOOKUP(A629,INDIRECT("HISTÓRICO COBROS!A3:F"&amp;COUNTA('HISTÓRICO COBROS'!A:A)),6,FALSE)),"")</f>
        <v/>
      </c>
      <c r="H629" s="138" t="str">
        <f t="shared" ref="H629:I629" si="630">IF(D629="","",D629+F629)</f>
        <v/>
      </c>
      <c r="I629" s="135" t="str">
        <f t="shared" si="630"/>
        <v/>
      </c>
      <c r="J629" s="140" t="str">
        <f t="shared" si="3"/>
        <v/>
      </c>
      <c r="K629" s="140" t="str">
        <f t="shared" si="4"/>
        <v/>
      </c>
    </row>
    <row r="630" ht="22.5" customHeight="1">
      <c r="A630" s="140"/>
      <c r="B630" s="135" t="str">
        <f t="array" ref="B630">IF(A630="","",VLOOKUP(A630,INDIRECT("CXC!A2:B"&amp;COUNTA(CXC!A:A)),2,FALSE))</f>
        <v/>
      </c>
      <c r="C630" s="136" t="str">
        <f t="array" ref="C630">IF(A630="","",VLOOKUP(A630,INDIRECT("CXC!A2:C"&amp;COUNTA(CXC!A:A)),3,FALSE))</f>
        <v/>
      </c>
      <c r="D630" s="137" t="str">
        <f t="array" ref="D630">IF(A630="","",VLOOKUP(A630,INDIRECT("CXC!A2:H"&amp;COUNTA(CXC!A:A)),8,FALSE))</f>
        <v/>
      </c>
      <c r="E630" s="137" t="str">
        <f t="array" ref="E630">IFERROR(IF(A630="","",VLOOKUP(A630,INDIRECT("HISTÓRICO COBROS!A3:E"&amp;COUNTA('HISTÓRICO COBROS'!A:A)),5,FALSE)),"")</f>
        <v/>
      </c>
      <c r="F630" s="137" t="str">
        <f t="array" ref="F630">IF(A630="","",VLOOKUP(A630,INDIRECT("CXC!A2:I"&amp;COUNTA(CXC!A:A)),9,FALSE))</f>
        <v/>
      </c>
      <c r="G630" s="137" t="str">
        <f t="array" ref="G630">IFERROR(IF(A630="","",VLOOKUP(A630,INDIRECT("HISTÓRICO COBROS!A3:F"&amp;COUNTA('HISTÓRICO COBROS'!A:A)),6,FALSE)),"")</f>
        <v/>
      </c>
      <c r="H630" s="138" t="str">
        <f t="shared" ref="H630:I630" si="631">IF(D630="","",D630+F630)</f>
        <v/>
      </c>
      <c r="I630" s="135" t="str">
        <f t="shared" si="631"/>
        <v/>
      </c>
      <c r="J630" s="140" t="str">
        <f t="shared" si="3"/>
        <v/>
      </c>
      <c r="K630" s="140" t="str">
        <f t="shared" si="4"/>
        <v/>
      </c>
    </row>
    <row r="631" ht="22.5" customHeight="1">
      <c r="A631" s="140"/>
      <c r="B631" s="135" t="str">
        <f t="array" ref="B631">IF(A631="","",VLOOKUP(A631,INDIRECT("CXC!A2:B"&amp;COUNTA(CXC!A:A)),2,FALSE))</f>
        <v/>
      </c>
      <c r="C631" s="136" t="str">
        <f t="array" ref="C631">IF(A631="","",VLOOKUP(A631,INDIRECT("CXC!A2:C"&amp;COUNTA(CXC!A:A)),3,FALSE))</f>
        <v/>
      </c>
      <c r="D631" s="137" t="str">
        <f t="array" ref="D631">IF(A631="","",VLOOKUP(A631,INDIRECT("CXC!A2:H"&amp;COUNTA(CXC!A:A)),8,FALSE))</f>
        <v/>
      </c>
      <c r="E631" s="137" t="str">
        <f t="array" ref="E631">IFERROR(IF(A631="","",VLOOKUP(A631,INDIRECT("HISTÓRICO COBROS!A3:E"&amp;COUNTA('HISTÓRICO COBROS'!A:A)),5,FALSE)),"")</f>
        <v/>
      </c>
      <c r="F631" s="137" t="str">
        <f t="array" ref="F631">IF(A631="","",VLOOKUP(A631,INDIRECT("CXC!A2:I"&amp;COUNTA(CXC!A:A)),9,FALSE))</f>
        <v/>
      </c>
      <c r="G631" s="137" t="str">
        <f t="array" ref="G631">IFERROR(IF(A631="","",VLOOKUP(A631,INDIRECT("HISTÓRICO COBROS!A3:F"&amp;COUNTA('HISTÓRICO COBROS'!A:A)),6,FALSE)),"")</f>
        <v/>
      </c>
      <c r="H631" s="138" t="str">
        <f t="shared" ref="H631:I631" si="632">IF(D631="","",D631+F631)</f>
        <v/>
      </c>
      <c r="I631" s="135" t="str">
        <f t="shared" si="632"/>
        <v/>
      </c>
      <c r="J631" s="140" t="str">
        <f t="shared" si="3"/>
        <v/>
      </c>
      <c r="K631" s="140" t="str">
        <f t="shared" si="4"/>
        <v/>
      </c>
    </row>
    <row r="632" ht="22.5" customHeight="1">
      <c r="A632" s="140"/>
      <c r="B632" s="135" t="str">
        <f t="array" ref="B632">IF(A632="","",VLOOKUP(A632,INDIRECT("CXC!A2:B"&amp;COUNTA(CXC!A:A)),2,FALSE))</f>
        <v/>
      </c>
      <c r="C632" s="136" t="str">
        <f t="array" ref="C632">IF(A632="","",VLOOKUP(A632,INDIRECT("CXC!A2:C"&amp;COUNTA(CXC!A:A)),3,FALSE))</f>
        <v/>
      </c>
      <c r="D632" s="137" t="str">
        <f t="array" ref="D632">IF(A632="","",VLOOKUP(A632,INDIRECT("CXC!A2:H"&amp;COUNTA(CXC!A:A)),8,FALSE))</f>
        <v/>
      </c>
      <c r="E632" s="137" t="str">
        <f t="array" ref="E632">IFERROR(IF(A632="","",VLOOKUP(A632,INDIRECT("HISTÓRICO COBROS!A3:E"&amp;COUNTA('HISTÓRICO COBROS'!A:A)),5,FALSE)),"")</f>
        <v/>
      </c>
      <c r="F632" s="137" t="str">
        <f t="array" ref="F632">IF(A632="","",VLOOKUP(A632,INDIRECT("CXC!A2:I"&amp;COUNTA(CXC!A:A)),9,FALSE))</f>
        <v/>
      </c>
      <c r="G632" s="137" t="str">
        <f t="array" ref="G632">IFERROR(IF(A632="","",VLOOKUP(A632,INDIRECT("HISTÓRICO COBROS!A3:F"&amp;COUNTA('HISTÓRICO COBROS'!A:A)),6,FALSE)),"")</f>
        <v/>
      </c>
      <c r="H632" s="138" t="str">
        <f t="shared" ref="H632:I632" si="633">IF(D632="","",D632+F632)</f>
        <v/>
      </c>
      <c r="I632" s="135" t="str">
        <f t="shared" si="633"/>
        <v/>
      </c>
      <c r="J632" s="140" t="str">
        <f t="shared" si="3"/>
        <v/>
      </c>
      <c r="K632" s="140" t="str">
        <f t="shared" si="4"/>
        <v/>
      </c>
    </row>
    <row r="633" ht="22.5" customHeight="1">
      <c r="A633" s="140"/>
      <c r="B633" s="135" t="str">
        <f t="array" ref="B633">IF(A633="","",VLOOKUP(A633,INDIRECT("CXC!A2:B"&amp;COUNTA(CXC!A:A)),2,FALSE))</f>
        <v/>
      </c>
      <c r="C633" s="136" t="str">
        <f t="array" ref="C633">IF(A633="","",VLOOKUP(A633,INDIRECT("CXC!A2:C"&amp;COUNTA(CXC!A:A)),3,FALSE))</f>
        <v/>
      </c>
      <c r="D633" s="137" t="str">
        <f t="array" ref="D633">IF(A633="","",VLOOKUP(A633,INDIRECT("CXC!A2:H"&amp;COUNTA(CXC!A:A)),8,FALSE))</f>
        <v/>
      </c>
      <c r="E633" s="137" t="str">
        <f t="array" ref="E633">IFERROR(IF(A633="","",VLOOKUP(A633,INDIRECT("HISTÓRICO COBROS!A3:E"&amp;COUNTA('HISTÓRICO COBROS'!A:A)),5,FALSE)),"")</f>
        <v/>
      </c>
      <c r="F633" s="137" t="str">
        <f t="array" ref="F633">IF(A633="","",VLOOKUP(A633,INDIRECT("CXC!A2:I"&amp;COUNTA(CXC!A:A)),9,FALSE))</f>
        <v/>
      </c>
      <c r="G633" s="137" t="str">
        <f t="array" ref="G633">IFERROR(IF(A633="","",VLOOKUP(A633,INDIRECT("HISTÓRICO COBROS!A3:F"&amp;COUNTA('HISTÓRICO COBROS'!A:A)),6,FALSE)),"")</f>
        <v/>
      </c>
      <c r="H633" s="138" t="str">
        <f t="shared" ref="H633:I633" si="634">IF(D633="","",D633+F633)</f>
        <v/>
      </c>
      <c r="I633" s="135" t="str">
        <f t="shared" si="634"/>
        <v/>
      </c>
      <c r="J633" s="140" t="str">
        <f t="shared" si="3"/>
        <v/>
      </c>
      <c r="K633" s="140" t="str">
        <f t="shared" si="4"/>
        <v/>
      </c>
    </row>
    <row r="634" ht="22.5" customHeight="1">
      <c r="A634" s="140"/>
      <c r="B634" s="135" t="str">
        <f t="array" ref="B634">IF(A634="","",VLOOKUP(A634,INDIRECT("CXC!A2:B"&amp;COUNTA(CXC!A:A)),2,FALSE))</f>
        <v/>
      </c>
      <c r="C634" s="136" t="str">
        <f t="array" ref="C634">IF(A634="","",VLOOKUP(A634,INDIRECT("CXC!A2:C"&amp;COUNTA(CXC!A:A)),3,FALSE))</f>
        <v/>
      </c>
      <c r="D634" s="137" t="str">
        <f t="array" ref="D634">IF(A634="","",VLOOKUP(A634,INDIRECT("CXC!A2:H"&amp;COUNTA(CXC!A:A)),8,FALSE))</f>
        <v/>
      </c>
      <c r="E634" s="137" t="str">
        <f t="array" ref="E634">IFERROR(IF(A634="","",VLOOKUP(A634,INDIRECT("HISTÓRICO COBROS!A3:E"&amp;COUNTA('HISTÓRICO COBROS'!A:A)),5,FALSE)),"")</f>
        <v/>
      </c>
      <c r="F634" s="137" t="str">
        <f t="array" ref="F634">IF(A634="","",VLOOKUP(A634,INDIRECT("CXC!A2:I"&amp;COUNTA(CXC!A:A)),9,FALSE))</f>
        <v/>
      </c>
      <c r="G634" s="137" t="str">
        <f t="array" ref="G634">IFERROR(IF(A634="","",VLOOKUP(A634,INDIRECT("HISTÓRICO COBROS!A3:F"&amp;COUNTA('HISTÓRICO COBROS'!A:A)),6,FALSE)),"")</f>
        <v/>
      </c>
      <c r="H634" s="138" t="str">
        <f t="shared" ref="H634:I634" si="635">IF(D634="","",D634+F634)</f>
        <v/>
      </c>
      <c r="I634" s="135" t="str">
        <f t="shared" si="635"/>
        <v/>
      </c>
      <c r="J634" s="140" t="str">
        <f t="shared" si="3"/>
        <v/>
      </c>
      <c r="K634" s="140" t="str">
        <f t="shared" si="4"/>
        <v/>
      </c>
    </row>
    <row r="635" ht="22.5" customHeight="1">
      <c r="A635" s="140"/>
      <c r="B635" s="135" t="str">
        <f t="array" ref="B635">IF(A635="","",VLOOKUP(A635,INDIRECT("CXC!A2:B"&amp;COUNTA(CXC!A:A)),2,FALSE))</f>
        <v/>
      </c>
      <c r="C635" s="136" t="str">
        <f t="array" ref="C635">IF(A635="","",VLOOKUP(A635,INDIRECT("CXC!A2:C"&amp;COUNTA(CXC!A:A)),3,FALSE))</f>
        <v/>
      </c>
      <c r="D635" s="137" t="str">
        <f t="array" ref="D635">IF(A635="","",VLOOKUP(A635,INDIRECT("CXC!A2:H"&amp;COUNTA(CXC!A:A)),8,FALSE))</f>
        <v/>
      </c>
      <c r="E635" s="137" t="str">
        <f t="array" ref="E635">IFERROR(IF(A635="","",VLOOKUP(A635,INDIRECT("HISTÓRICO COBROS!A3:E"&amp;COUNTA('HISTÓRICO COBROS'!A:A)),5,FALSE)),"")</f>
        <v/>
      </c>
      <c r="F635" s="137" t="str">
        <f t="array" ref="F635">IF(A635="","",VLOOKUP(A635,INDIRECT("CXC!A2:I"&amp;COUNTA(CXC!A:A)),9,FALSE))</f>
        <v/>
      </c>
      <c r="G635" s="137" t="str">
        <f t="array" ref="G635">IFERROR(IF(A635="","",VLOOKUP(A635,INDIRECT("HISTÓRICO COBROS!A3:F"&amp;COUNTA('HISTÓRICO COBROS'!A:A)),6,FALSE)),"")</f>
        <v/>
      </c>
      <c r="H635" s="138" t="str">
        <f t="shared" ref="H635:I635" si="636">IF(D635="","",D635+F635)</f>
        <v/>
      </c>
      <c r="I635" s="135" t="str">
        <f t="shared" si="636"/>
        <v/>
      </c>
      <c r="J635" s="140" t="str">
        <f t="shared" si="3"/>
        <v/>
      </c>
      <c r="K635" s="140" t="str">
        <f t="shared" si="4"/>
        <v/>
      </c>
    </row>
    <row r="636" ht="22.5" customHeight="1">
      <c r="A636" s="140"/>
      <c r="B636" s="135" t="str">
        <f t="array" ref="B636">IF(A636="","",VLOOKUP(A636,INDIRECT("CXC!A2:B"&amp;COUNTA(CXC!A:A)),2,FALSE))</f>
        <v/>
      </c>
      <c r="C636" s="136" t="str">
        <f t="array" ref="C636">IF(A636="","",VLOOKUP(A636,INDIRECT("CXC!A2:C"&amp;COUNTA(CXC!A:A)),3,FALSE))</f>
        <v/>
      </c>
      <c r="D636" s="137" t="str">
        <f t="array" ref="D636">IF(A636="","",VLOOKUP(A636,INDIRECT("CXC!A2:H"&amp;COUNTA(CXC!A:A)),8,FALSE))</f>
        <v/>
      </c>
      <c r="E636" s="137" t="str">
        <f t="array" ref="E636">IFERROR(IF(A636="","",VLOOKUP(A636,INDIRECT("HISTÓRICO COBROS!A3:E"&amp;COUNTA('HISTÓRICO COBROS'!A:A)),5,FALSE)),"")</f>
        <v/>
      </c>
      <c r="F636" s="137" t="str">
        <f t="array" ref="F636">IF(A636="","",VLOOKUP(A636,INDIRECT("CXC!A2:I"&amp;COUNTA(CXC!A:A)),9,FALSE))</f>
        <v/>
      </c>
      <c r="G636" s="137" t="str">
        <f t="array" ref="G636">IFERROR(IF(A636="","",VLOOKUP(A636,INDIRECT("HISTÓRICO COBROS!A3:F"&amp;COUNTA('HISTÓRICO COBROS'!A:A)),6,FALSE)),"")</f>
        <v/>
      </c>
      <c r="H636" s="138" t="str">
        <f t="shared" ref="H636:I636" si="637">IF(D636="","",D636+F636)</f>
        <v/>
      </c>
      <c r="I636" s="135" t="str">
        <f t="shared" si="637"/>
        <v/>
      </c>
      <c r="J636" s="140" t="str">
        <f t="shared" si="3"/>
        <v/>
      </c>
      <c r="K636" s="140" t="str">
        <f t="shared" si="4"/>
        <v/>
      </c>
    </row>
    <row r="637" ht="22.5" customHeight="1">
      <c r="A637" s="140"/>
      <c r="B637" s="135" t="str">
        <f t="array" ref="B637">IF(A637="","",VLOOKUP(A637,INDIRECT("CXC!A2:B"&amp;COUNTA(CXC!A:A)),2,FALSE))</f>
        <v/>
      </c>
      <c r="C637" s="136" t="str">
        <f t="array" ref="C637">IF(A637="","",VLOOKUP(A637,INDIRECT("CXC!A2:C"&amp;COUNTA(CXC!A:A)),3,FALSE))</f>
        <v/>
      </c>
      <c r="D637" s="137" t="str">
        <f t="array" ref="D637">IF(A637="","",VLOOKUP(A637,INDIRECT("CXC!A2:H"&amp;COUNTA(CXC!A:A)),8,FALSE))</f>
        <v/>
      </c>
      <c r="E637" s="137" t="str">
        <f t="array" ref="E637">IFERROR(IF(A637="","",VLOOKUP(A637,INDIRECT("HISTÓRICO COBROS!A3:E"&amp;COUNTA('HISTÓRICO COBROS'!A:A)),5,FALSE)),"")</f>
        <v/>
      </c>
      <c r="F637" s="137" t="str">
        <f t="array" ref="F637">IF(A637="","",VLOOKUP(A637,INDIRECT("CXC!A2:I"&amp;COUNTA(CXC!A:A)),9,FALSE))</f>
        <v/>
      </c>
      <c r="G637" s="137" t="str">
        <f t="array" ref="G637">IFERROR(IF(A637="","",VLOOKUP(A637,INDIRECT("HISTÓRICO COBROS!A3:F"&amp;COUNTA('HISTÓRICO COBROS'!A:A)),6,FALSE)),"")</f>
        <v/>
      </c>
      <c r="H637" s="138" t="str">
        <f t="shared" ref="H637:I637" si="638">IF(D637="","",D637+F637)</f>
        <v/>
      </c>
      <c r="I637" s="135" t="str">
        <f t="shared" si="638"/>
        <v/>
      </c>
      <c r="J637" s="140" t="str">
        <f t="shared" si="3"/>
        <v/>
      </c>
      <c r="K637" s="140" t="str">
        <f t="shared" si="4"/>
        <v/>
      </c>
    </row>
    <row r="638" ht="22.5" customHeight="1">
      <c r="A638" s="140"/>
      <c r="B638" s="135" t="str">
        <f t="array" ref="B638">IF(A638="","",VLOOKUP(A638,INDIRECT("CXC!A2:B"&amp;COUNTA(CXC!A:A)),2,FALSE))</f>
        <v/>
      </c>
      <c r="C638" s="136" t="str">
        <f t="array" ref="C638">IF(A638="","",VLOOKUP(A638,INDIRECT("CXC!A2:C"&amp;COUNTA(CXC!A:A)),3,FALSE))</f>
        <v/>
      </c>
      <c r="D638" s="137" t="str">
        <f t="array" ref="D638">IF(A638="","",VLOOKUP(A638,INDIRECT("CXC!A2:H"&amp;COUNTA(CXC!A:A)),8,FALSE))</f>
        <v/>
      </c>
      <c r="E638" s="137" t="str">
        <f t="array" ref="E638">IFERROR(IF(A638="","",VLOOKUP(A638,INDIRECT("HISTÓRICO COBROS!A3:E"&amp;COUNTA('HISTÓRICO COBROS'!A:A)),5,FALSE)),"")</f>
        <v/>
      </c>
      <c r="F638" s="137" t="str">
        <f t="array" ref="F638">IF(A638="","",VLOOKUP(A638,INDIRECT("CXC!A2:I"&amp;COUNTA(CXC!A:A)),9,FALSE))</f>
        <v/>
      </c>
      <c r="G638" s="137" t="str">
        <f t="array" ref="G638">IFERROR(IF(A638="","",VLOOKUP(A638,INDIRECT("HISTÓRICO COBROS!A3:F"&amp;COUNTA('HISTÓRICO COBROS'!A:A)),6,FALSE)),"")</f>
        <v/>
      </c>
      <c r="H638" s="138" t="str">
        <f t="shared" ref="H638:I638" si="639">IF(D638="","",D638+F638)</f>
        <v/>
      </c>
      <c r="I638" s="135" t="str">
        <f t="shared" si="639"/>
        <v/>
      </c>
      <c r="J638" s="140" t="str">
        <f t="shared" si="3"/>
        <v/>
      </c>
      <c r="K638" s="140" t="str">
        <f t="shared" si="4"/>
        <v/>
      </c>
    </row>
    <row r="639" ht="22.5" customHeight="1">
      <c r="A639" s="140"/>
      <c r="B639" s="135" t="str">
        <f t="array" ref="B639">IF(A639="","",VLOOKUP(A639,INDIRECT("CXC!A2:B"&amp;COUNTA(CXC!A:A)),2,FALSE))</f>
        <v/>
      </c>
      <c r="C639" s="136" t="str">
        <f t="array" ref="C639">IF(A639="","",VLOOKUP(A639,INDIRECT("CXC!A2:C"&amp;COUNTA(CXC!A:A)),3,FALSE))</f>
        <v/>
      </c>
      <c r="D639" s="137" t="str">
        <f t="array" ref="D639">IF(A639="","",VLOOKUP(A639,INDIRECT("CXC!A2:H"&amp;COUNTA(CXC!A:A)),8,FALSE))</f>
        <v/>
      </c>
      <c r="E639" s="137" t="str">
        <f t="array" ref="E639">IFERROR(IF(A639="","",VLOOKUP(A639,INDIRECT("HISTÓRICO COBROS!A3:E"&amp;COUNTA('HISTÓRICO COBROS'!A:A)),5,FALSE)),"")</f>
        <v/>
      </c>
      <c r="F639" s="137" t="str">
        <f t="array" ref="F639">IF(A639="","",VLOOKUP(A639,INDIRECT("CXC!A2:I"&amp;COUNTA(CXC!A:A)),9,FALSE))</f>
        <v/>
      </c>
      <c r="G639" s="137" t="str">
        <f t="array" ref="G639">IFERROR(IF(A639="","",VLOOKUP(A639,INDIRECT("HISTÓRICO COBROS!A3:F"&amp;COUNTA('HISTÓRICO COBROS'!A:A)),6,FALSE)),"")</f>
        <v/>
      </c>
      <c r="H639" s="138" t="str">
        <f t="shared" ref="H639:I639" si="640">IF(D639="","",D639+F639)</f>
        <v/>
      </c>
      <c r="I639" s="135" t="str">
        <f t="shared" si="640"/>
        <v/>
      </c>
      <c r="J639" s="140" t="str">
        <f t="shared" si="3"/>
        <v/>
      </c>
      <c r="K639" s="140" t="str">
        <f t="shared" si="4"/>
        <v/>
      </c>
    </row>
    <row r="640" ht="22.5" customHeight="1">
      <c r="A640" s="140"/>
      <c r="B640" s="135" t="str">
        <f t="array" ref="B640">IF(A640="","",VLOOKUP(A640,INDIRECT("CXC!A2:B"&amp;COUNTA(CXC!A:A)),2,FALSE))</f>
        <v/>
      </c>
      <c r="C640" s="136" t="str">
        <f t="array" ref="C640">IF(A640="","",VLOOKUP(A640,INDIRECT("CXC!A2:C"&amp;COUNTA(CXC!A:A)),3,FALSE))</f>
        <v/>
      </c>
      <c r="D640" s="137" t="str">
        <f t="array" ref="D640">IF(A640="","",VLOOKUP(A640,INDIRECT("CXC!A2:H"&amp;COUNTA(CXC!A:A)),8,FALSE))</f>
        <v/>
      </c>
      <c r="E640" s="137" t="str">
        <f t="array" ref="E640">IFERROR(IF(A640="","",VLOOKUP(A640,INDIRECT("HISTÓRICO COBROS!A3:E"&amp;COUNTA('HISTÓRICO COBROS'!A:A)),5,FALSE)),"")</f>
        <v/>
      </c>
      <c r="F640" s="137" t="str">
        <f t="array" ref="F640">IF(A640="","",VLOOKUP(A640,INDIRECT("CXC!A2:I"&amp;COUNTA(CXC!A:A)),9,FALSE))</f>
        <v/>
      </c>
      <c r="G640" s="137" t="str">
        <f t="array" ref="G640">IFERROR(IF(A640="","",VLOOKUP(A640,INDIRECT("HISTÓRICO COBROS!A3:F"&amp;COUNTA('HISTÓRICO COBROS'!A:A)),6,FALSE)),"")</f>
        <v/>
      </c>
      <c r="H640" s="138" t="str">
        <f t="shared" ref="H640:I640" si="641">IF(D640="","",D640+F640)</f>
        <v/>
      </c>
      <c r="I640" s="135" t="str">
        <f t="shared" si="641"/>
        <v/>
      </c>
      <c r="J640" s="140" t="str">
        <f t="shared" si="3"/>
        <v/>
      </c>
      <c r="K640" s="140" t="str">
        <f t="shared" si="4"/>
        <v/>
      </c>
    </row>
    <row r="641" ht="22.5" customHeight="1">
      <c r="A641" s="140"/>
      <c r="B641" s="135" t="str">
        <f t="array" ref="B641">IF(A641="","",VLOOKUP(A641,INDIRECT("CXC!A2:B"&amp;COUNTA(CXC!A:A)),2,FALSE))</f>
        <v/>
      </c>
      <c r="C641" s="136" t="str">
        <f t="array" ref="C641">IF(A641="","",VLOOKUP(A641,INDIRECT("CXC!A2:C"&amp;COUNTA(CXC!A:A)),3,FALSE))</f>
        <v/>
      </c>
      <c r="D641" s="137" t="str">
        <f t="array" ref="D641">IF(A641="","",VLOOKUP(A641,INDIRECT("CXC!A2:H"&amp;COUNTA(CXC!A:A)),8,FALSE))</f>
        <v/>
      </c>
      <c r="E641" s="137" t="str">
        <f t="array" ref="E641">IFERROR(IF(A641="","",VLOOKUP(A641,INDIRECT("HISTÓRICO COBROS!A3:E"&amp;COUNTA('HISTÓRICO COBROS'!A:A)),5,FALSE)),"")</f>
        <v/>
      </c>
      <c r="F641" s="137" t="str">
        <f t="array" ref="F641">IF(A641="","",VLOOKUP(A641,INDIRECT("CXC!A2:I"&amp;COUNTA(CXC!A:A)),9,FALSE))</f>
        <v/>
      </c>
      <c r="G641" s="137" t="str">
        <f t="array" ref="G641">IFERROR(IF(A641="","",VLOOKUP(A641,INDIRECT("HISTÓRICO COBROS!A3:F"&amp;COUNTA('HISTÓRICO COBROS'!A:A)),6,FALSE)),"")</f>
        <v/>
      </c>
      <c r="H641" s="138" t="str">
        <f t="shared" ref="H641:I641" si="642">IF(D641="","",D641+F641)</f>
        <v/>
      </c>
      <c r="I641" s="135" t="str">
        <f t="shared" si="642"/>
        <v/>
      </c>
      <c r="J641" s="140" t="str">
        <f t="shared" si="3"/>
        <v/>
      </c>
      <c r="K641" s="140" t="str">
        <f t="shared" si="4"/>
        <v/>
      </c>
    </row>
    <row r="642" ht="22.5" customHeight="1">
      <c r="A642" s="140"/>
      <c r="B642" s="135" t="str">
        <f t="array" ref="B642">IF(A642="","",VLOOKUP(A642,INDIRECT("CXC!A2:B"&amp;COUNTA(CXC!A:A)),2,FALSE))</f>
        <v/>
      </c>
      <c r="C642" s="136" t="str">
        <f t="array" ref="C642">IF(A642="","",VLOOKUP(A642,INDIRECT("CXC!A2:C"&amp;COUNTA(CXC!A:A)),3,FALSE))</f>
        <v/>
      </c>
      <c r="D642" s="137" t="str">
        <f t="array" ref="D642">IF(A642="","",VLOOKUP(A642,INDIRECT("CXC!A2:H"&amp;COUNTA(CXC!A:A)),8,FALSE))</f>
        <v/>
      </c>
      <c r="E642" s="137" t="str">
        <f t="array" ref="E642">IFERROR(IF(A642="","",VLOOKUP(A642,INDIRECT("HISTÓRICO COBROS!A3:E"&amp;COUNTA('HISTÓRICO COBROS'!A:A)),5,FALSE)),"")</f>
        <v/>
      </c>
      <c r="F642" s="137" t="str">
        <f t="array" ref="F642">IF(A642="","",VLOOKUP(A642,INDIRECT("CXC!A2:I"&amp;COUNTA(CXC!A:A)),9,FALSE))</f>
        <v/>
      </c>
      <c r="G642" s="137" t="str">
        <f t="array" ref="G642">IFERROR(IF(A642="","",VLOOKUP(A642,INDIRECT("HISTÓRICO COBROS!A3:F"&amp;COUNTA('HISTÓRICO COBROS'!A:A)),6,FALSE)),"")</f>
        <v/>
      </c>
      <c r="H642" s="138" t="str">
        <f t="shared" ref="H642:I642" si="643">IF(D642="","",D642+F642)</f>
        <v/>
      </c>
      <c r="I642" s="135" t="str">
        <f t="shared" si="643"/>
        <v/>
      </c>
      <c r="J642" s="140" t="str">
        <f t="shared" si="3"/>
        <v/>
      </c>
      <c r="K642" s="140" t="str">
        <f t="shared" si="4"/>
        <v/>
      </c>
    </row>
    <row r="643" ht="22.5" customHeight="1">
      <c r="A643" s="140"/>
      <c r="B643" s="135" t="str">
        <f t="array" ref="B643">IF(A643="","",VLOOKUP(A643,INDIRECT("CXC!A2:B"&amp;COUNTA(CXC!A:A)),2,FALSE))</f>
        <v/>
      </c>
      <c r="C643" s="136" t="str">
        <f t="array" ref="C643">IF(A643="","",VLOOKUP(A643,INDIRECT("CXC!A2:C"&amp;COUNTA(CXC!A:A)),3,FALSE))</f>
        <v/>
      </c>
      <c r="D643" s="137" t="str">
        <f t="array" ref="D643">IF(A643="","",VLOOKUP(A643,INDIRECT("CXC!A2:H"&amp;COUNTA(CXC!A:A)),8,FALSE))</f>
        <v/>
      </c>
      <c r="E643" s="137" t="str">
        <f t="array" ref="E643">IFERROR(IF(A643="","",VLOOKUP(A643,INDIRECT("HISTÓRICO COBROS!A3:E"&amp;COUNTA('HISTÓRICO COBROS'!A:A)),5,FALSE)),"")</f>
        <v/>
      </c>
      <c r="F643" s="137" t="str">
        <f t="array" ref="F643">IF(A643="","",VLOOKUP(A643,INDIRECT("CXC!A2:I"&amp;COUNTA(CXC!A:A)),9,FALSE))</f>
        <v/>
      </c>
      <c r="G643" s="137" t="str">
        <f t="array" ref="G643">IFERROR(IF(A643="","",VLOOKUP(A643,INDIRECT("HISTÓRICO COBROS!A3:F"&amp;COUNTA('HISTÓRICO COBROS'!A:A)),6,FALSE)),"")</f>
        <v/>
      </c>
      <c r="H643" s="138" t="str">
        <f t="shared" ref="H643:I643" si="644">IF(D643="","",D643+F643)</f>
        <v/>
      </c>
      <c r="I643" s="135" t="str">
        <f t="shared" si="644"/>
        <v/>
      </c>
      <c r="J643" s="140" t="str">
        <f t="shared" si="3"/>
        <v/>
      </c>
      <c r="K643" s="140" t="str">
        <f t="shared" si="4"/>
        <v/>
      </c>
    </row>
    <row r="644" ht="22.5" customHeight="1">
      <c r="A644" s="140"/>
      <c r="B644" s="135" t="str">
        <f t="array" ref="B644">IF(A644="","",VLOOKUP(A644,INDIRECT("CXC!A2:B"&amp;COUNTA(CXC!A:A)),2,FALSE))</f>
        <v/>
      </c>
      <c r="C644" s="136" t="str">
        <f t="array" ref="C644">IF(A644="","",VLOOKUP(A644,INDIRECT("CXC!A2:C"&amp;COUNTA(CXC!A:A)),3,FALSE))</f>
        <v/>
      </c>
      <c r="D644" s="137" t="str">
        <f t="array" ref="D644">IF(A644="","",VLOOKUP(A644,INDIRECT("CXC!A2:H"&amp;COUNTA(CXC!A:A)),8,FALSE))</f>
        <v/>
      </c>
      <c r="E644" s="137" t="str">
        <f t="array" ref="E644">IFERROR(IF(A644="","",VLOOKUP(A644,INDIRECT("HISTÓRICO COBROS!A3:E"&amp;COUNTA('HISTÓRICO COBROS'!A:A)),5,FALSE)),"")</f>
        <v/>
      </c>
      <c r="F644" s="137" t="str">
        <f t="array" ref="F644">IF(A644="","",VLOOKUP(A644,INDIRECT("CXC!A2:I"&amp;COUNTA(CXC!A:A)),9,FALSE))</f>
        <v/>
      </c>
      <c r="G644" s="137" t="str">
        <f t="array" ref="G644">IFERROR(IF(A644="","",VLOOKUP(A644,INDIRECT("HISTÓRICO COBROS!A3:F"&amp;COUNTA('HISTÓRICO COBROS'!A:A)),6,FALSE)),"")</f>
        <v/>
      </c>
      <c r="H644" s="138" t="str">
        <f t="shared" ref="H644:I644" si="645">IF(D644="","",D644+F644)</f>
        <v/>
      </c>
      <c r="I644" s="135" t="str">
        <f t="shared" si="645"/>
        <v/>
      </c>
      <c r="J644" s="140" t="str">
        <f t="shared" si="3"/>
        <v/>
      </c>
      <c r="K644" s="140" t="str">
        <f t="shared" si="4"/>
        <v/>
      </c>
    </row>
    <row r="645" ht="22.5" customHeight="1">
      <c r="A645" s="140"/>
      <c r="B645" s="135" t="str">
        <f t="array" ref="B645">IF(A645="","",VLOOKUP(A645,INDIRECT("CXC!A2:B"&amp;COUNTA(CXC!A:A)),2,FALSE))</f>
        <v/>
      </c>
      <c r="C645" s="136" t="str">
        <f t="array" ref="C645">IF(A645="","",VLOOKUP(A645,INDIRECT("CXC!A2:C"&amp;COUNTA(CXC!A:A)),3,FALSE))</f>
        <v/>
      </c>
      <c r="D645" s="137" t="str">
        <f t="array" ref="D645">IF(A645="","",VLOOKUP(A645,INDIRECT("CXC!A2:H"&amp;COUNTA(CXC!A:A)),8,FALSE))</f>
        <v/>
      </c>
      <c r="E645" s="137" t="str">
        <f t="array" ref="E645">IFERROR(IF(A645="","",VLOOKUP(A645,INDIRECT("HISTÓRICO COBROS!A3:E"&amp;COUNTA('HISTÓRICO COBROS'!A:A)),5,FALSE)),"")</f>
        <v/>
      </c>
      <c r="F645" s="137" t="str">
        <f t="array" ref="F645">IF(A645="","",VLOOKUP(A645,INDIRECT("CXC!A2:I"&amp;COUNTA(CXC!A:A)),9,FALSE))</f>
        <v/>
      </c>
      <c r="G645" s="137" t="str">
        <f t="array" ref="G645">IFERROR(IF(A645="","",VLOOKUP(A645,INDIRECT("HISTÓRICO COBROS!A3:F"&amp;COUNTA('HISTÓRICO COBROS'!A:A)),6,FALSE)),"")</f>
        <v/>
      </c>
      <c r="H645" s="138" t="str">
        <f t="shared" ref="H645:I645" si="646">IF(D645="","",D645+F645)</f>
        <v/>
      </c>
      <c r="I645" s="135" t="str">
        <f t="shared" si="646"/>
        <v/>
      </c>
      <c r="J645" s="140" t="str">
        <f t="shared" si="3"/>
        <v/>
      </c>
      <c r="K645" s="140" t="str">
        <f t="shared" si="4"/>
        <v/>
      </c>
    </row>
    <row r="646" ht="22.5" customHeight="1">
      <c r="A646" s="140"/>
      <c r="B646" s="135" t="str">
        <f t="array" ref="B646">IF(A646="","",VLOOKUP(A646,INDIRECT("CXC!A2:B"&amp;COUNTA(CXC!A:A)),2,FALSE))</f>
        <v/>
      </c>
      <c r="C646" s="136" t="str">
        <f t="array" ref="C646">IF(A646="","",VLOOKUP(A646,INDIRECT("CXC!A2:C"&amp;COUNTA(CXC!A:A)),3,FALSE))</f>
        <v/>
      </c>
      <c r="D646" s="137" t="str">
        <f t="array" ref="D646">IF(A646="","",VLOOKUP(A646,INDIRECT("CXC!A2:H"&amp;COUNTA(CXC!A:A)),8,FALSE))</f>
        <v/>
      </c>
      <c r="E646" s="137" t="str">
        <f t="array" ref="E646">IFERROR(IF(A646="","",VLOOKUP(A646,INDIRECT("HISTÓRICO COBROS!A3:E"&amp;COUNTA('HISTÓRICO COBROS'!A:A)),5,FALSE)),"")</f>
        <v/>
      </c>
      <c r="F646" s="137" t="str">
        <f t="array" ref="F646">IF(A646="","",VLOOKUP(A646,INDIRECT("CXC!A2:I"&amp;COUNTA(CXC!A:A)),9,FALSE))</f>
        <v/>
      </c>
      <c r="G646" s="137" t="str">
        <f t="array" ref="G646">IFERROR(IF(A646="","",VLOOKUP(A646,INDIRECT("HISTÓRICO COBROS!A3:F"&amp;COUNTA('HISTÓRICO COBROS'!A:A)),6,FALSE)),"")</f>
        <v/>
      </c>
      <c r="H646" s="138" t="str">
        <f t="shared" ref="H646:I646" si="647">IF(D646="","",D646+F646)</f>
        <v/>
      </c>
      <c r="I646" s="135" t="str">
        <f t="shared" si="647"/>
        <v/>
      </c>
      <c r="J646" s="140" t="str">
        <f t="shared" si="3"/>
        <v/>
      </c>
      <c r="K646" s="140" t="str">
        <f t="shared" si="4"/>
        <v/>
      </c>
    </row>
    <row r="647" ht="22.5" customHeight="1">
      <c r="A647" s="140"/>
      <c r="B647" s="135" t="str">
        <f t="array" ref="B647">IF(A647="","",VLOOKUP(A647,INDIRECT("CXC!A2:B"&amp;COUNTA(CXC!A:A)),2,FALSE))</f>
        <v/>
      </c>
      <c r="C647" s="136" t="str">
        <f t="array" ref="C647">IF(A647="","",VLOOKUP(A647,INDIRECT("CXC!A2:C"&amp;COUNTA(CXC!A:A)),3,FALSE))</f>
        <v/>
      </c>
      <c r="D647" s="137" t="str">
        <f t="array" ref="D647">IF(A647="","",VLOOKUP(A647,INDIRECT("CXC!A2:H"&amp;COUNTA(CXC!A:A)),8,FALSE))</f>
        <v/>
      </c>
      <c r="E647" s="137" t="str">
        <f t="array" ref="E647">IFERROR(IF(A647="","",VLOOKUP(A647,INDIRECT("HISTÓRICO COBROS!A3:E"&amp;COUNTA('HISTÓRICO COBROS'!A:A)),5,FALSE)),"")</f>
        <v/>
      </c>
      <c r="F647" s="137" t="str">
        <f t="array" ref="F647">IF(A647="","",VLOOKUP(A647,INDIRECT("CXC!A2:I"&amp;COUNTA(CXC!A:A)),9,FALSE))</f>
        <v/>
      </c>
      <c r="G647" s="137" t="str">
        <f t="array" ref="G647">IFERROR(IF(A647="","",VLOOKUP(A647,INDIRECT("HISTÓRICO COBROS!A3:F"&amp;COUNTA('HISTÓRICO COBROS'!A:A)),6,FALSE)),"")</f>
        <v/>
      </c>
      <c r="H647" s="138" t="str">
        <f t="shared" ref="H647:I647" si="648">IF(D647="","",D647+F647)</f>
        <v/>
      </c>
      <c r="I647" s="135" t="str">
        <f t="shared" si="648"/>
        <v/>
      </c>
      <c r="J647" s="140" t="str">
        <f t="shared" si="3"/>
        <v/>
      </c>
      <c r="K647" s="140" t="str">
        <f t="shared" si="4"/>
        <v/>
      </c>
    </row>
    <row r="648" ht="22.5" customHeight="1">
      <c r="A648" s="140"/>
      <c r="B648" s="135" t="str">
        <f t="array" ref="B648">IF(A648="","",VLOOKUP(A648,INDIRECT("CXC!A2:B"&amp;COUNTA(CXC!A:A)),2,FALSE))</f>
        <v/>
      </c>
      <c r="C648" s="136" t="str">
        <f t="array" ref="C648">IF(A648="","",VLOOKUP(A648,INDIRECT("CXC!A2:C"&amp;COUNTA(CXC!A:A)),3,FALSE))</f>
        <v/>
      </c>
      <c r="D648" s="137" t="str">
        <f t="array" ref="D648">IF(A648="","",VLOOKUP(A648,INDIRECT("CXC!A2:H"&amp;COUNTA(CXC!A:A)),8,FALSE))</f>
        <v/>
      </c>
      <c r="E648" s="137" t="str">
        <f t="array" ref="E648">IFERROR(IF(A648="","",VLOOKUP(A648,INDIRECT("HISTÓRICO COBROS!A3:E"&amp;COUNTA('HISTÓRICO COBROS'!A:A)),5,FALSE)),"")</f>
        <v/>
      </c>
      <c r="F648" s="137" t="str">
        <f t="array" ref="F648">IF(A648="","",VLOOKUP(A648,INDIRECT("CXC!A2:I"&amp;COUNTA(CXC!A:A)),9,FALSE))</f>
        <v/>
      </c>
      <c r="G648" s="137" t="str">
        <f t="array" ref="G648">IFERROR(IF(A648="","",VLOOKUP(A648,INDIRECT("HISTÓRICO COBROS!A3:F"&amp;COUNTA('HISTÓRICO COBROS'!A:A)),6,FALSE)),"")</f>
        <v/>
      </c>
      <c r="H648" s="138" t="str">
        <f t="shared" ref="H648:I648" si="649">IF(D648="","",D648+F648)</f>
        <v/>
      </c>
      <c r="I648" s="135" t="str">
        <f t="shared" si="649"/>
        <v/>
      </c>
      <c r="J648" s="140" t="str">
        <f t="shared" si="3"/>
        <v/>
      </c>
      <c r="K648" s="140" t="str">
        <f t="shared" si="4"/>
        <v/>
      </c>
    </row>
    <row r="649" ht="22.5" customHeight="1">
      <c r="A649" s="140"/>
      <c r="B649" s="135" t="str">
        <f t="array" ref="B649">IF(A649="","",VLOOKUP(A649,INDIRECT("CXC!A2:B"&amp;COUNTA(CXC!A:A)),2,FALSE))</f>
        <v/>
      </c>
      <c r="C649" s="136" t="str">
        <f t="array" ref="C649">IF(A649="","",VLOOKUP(A649,INDIRECT("CXC!A2:C"&amp;COUNTA(CXC!A:A)),3,FALSE))</f>
        <v/>
      </c>
      <c r="D649" s="137" t="str">
        <f t="array" ref="D649">IF(A649="","",VLOOKUP(A649,INDIRECT("CXC!A2:H"&amp;COUNTA(CXC!A:A)),8,FALSE))</f>
        <v/>
      </c>
      <c r="E649" s="137" t="str">
        <f t="array" ref="E649">IFERROR(IF(A649="","",VLOOKUP(A649,INDIRECT("HISTÓRICO COBROS!A3:E"&amp;COUNTA('HISTÓRICO COBROS'!A:A)),5,FALSE)),"")</f>
        <v/>
      </c>
      <c r="F649" s="137" t="str">
        <f t="array" ref="F649">IF(A649="","",VLOOKUP(A649,INDIRECT("CXC!A2:I"&amp;COUNTA(CXC!A:A)),9,FALSE))</f>
        <v/>
      </c>
      <c r="G649" s="137" t="str">
        <f t="array" ref="G649">IFERROR(IF(A649="","",VLOOKUP(A649,INDIRECT("HISTÓRICO COBROS!A3:F"&amp;COUNTA('HISTÓRICO COBROS'!A:A)),6,FALSE)),"")</f>
        <v/>
      </c>
      <c r="H649" s="138" t="str">
        <f t="shared" ref="H649:I649" si="650">IF(D649="","",D649+F649)</f>
        <v/>
      </c>
      <c r="I649" s="135" t="str">
        <f t="shared" si="650"/>
        <v/>
      </c>
      <c r="J649" s="140" t="str">
        <f t="shared" si="3"/>
        <v/>
      </c>
      <c r="K649" s="140" t="str">
        <f t="shared" si="4"/>
        <v/>
      </c>
    </row>
    <row r="650" ht="22.5" customHeight="1">
      <c r="A650" s="140"/>
      <c r="B650" s="135" t="str">
        <f t="array" ref="B650">IF(A650="","",VLOOKUP(A650,INDIRECT("CXC!A2:B"&amp;COUNTA(CXC!A:A)),2,FALSE))</f>
        <v/>
      </c>
      <c r="C650" s="136" t="str">
        <f t="array" ref="C650">IF(A650="","",VLOOKUP(A650,INDIRECT("CXC!A2:C"&amp;COUNTA(CXC!A:A)),3,FALSE))</f>
        <v/>
      </c>
      <c r="D650" s="137" t="str">
        <f t="array" ref="D650">IF(A650="","",VLOOKUP(A650,INDIRECT("CXC!A2:H"&amp;COUNTA(CXC!A:A)),8,FALSE))</f>
        <v/>
      </c>
      <c r="E650" s="137" t="str">
        <f t="array" ref="E650">IFERROR(IF(A650="","",VLOOKUP(A650,INDIRECT("HISTÓRICO COBROS!A3:E"&amp;COUNTA('HISTÓRICO COBROS'!A:A)),5,FALSE)),"")</f>
        <v/>
      </c>
      <c r="F650" s="137" t="str">
        <f t="array" ref="F650">IF(A650="","",VLOOKUP(A650,INDIRECT("CXC!A2:I"&amp;COUNTA(CXC!A:A)),9,FALSE))</f>
        <v/>
      </c>
      <c r="G650" s="137" t="str">
        <f t="array" ref="G650">IFERROR(IF(A650="","",VLOOKUP(A650,INDIRECT("HISTÓRICO COBROS!A3:F"&amp;COUNTA('HISTÓRICO COBROS'!A:A)),6,FALSE)),"")</f>
        <v/>
      </c>
      <c r="H650" s="138" t="str">
        <f t="shared" ref="H650:I650" si="651">IF(D650="","",D650+F650)</f>
        <v/>
      </c>
      <c r="I650" s="135" t="str">
        <f t="shared" si="651"/>
        <v/>
      </c>
      <c r="J650" s="140" t="str">
        <f t="shared" si="3"/>
        <v/>
      </c>
      <c r="K650" s="140" t="str">
        <f t="shared" si="4"/>
        <v/>
      </c>
    </row>
    <row r="651" ht="22.5" customHeight="1">
      <c r="A651" s="140"/>
      <c r="B651" s="135" t="str">
        <f t="array" ref="B651">IF(A651="","",VLOOKUP(A651,INDIRECT("CXC!A2:B"&amp;COUNTA(CXC!A:A)),2,FALSE))</f>
        <v/>
      </c>
      <c r="C651" s="136" t="str">
        <f t="array" ref="C651">IF(A651="","",VLOOKUP(A651,INDIRECT("CXC!A2:C"&amp;COUNTA(CXC!A:A)),3,FALSE))</f>
        <v/>
      </c>
      <c r="D651" s="137" t="str">
        <f t="array" ref="D651">IF(A651="","",VLOOKUP(A651,INDIRECT("CXC!A2:H"&amp;COUNTA(CXC!A:A)),8,FALSE))</f>
        <v/>
      </c>
      <c r="E651" s="137" t="str">
        <f t="array" ref="E651">IFERROR(IF(A651="","",VLOOKUP(A651,INDIRECT("HISTÓRICO COBROS!A3:E"&amp;COUNTA('HISTÓRICO COBROS'!A:A)),5,FALSE)),"")</f>
        <v/>
      </c>
      <c r="F651" s="137" t="str">
        <f t="array" ref="F651">IF(A651="","",VLOOKUP(A651,INDIRECT("CXC!A2:I"&amp;COUNTA(CXC!A:A)),9,FALSE))</f>
        <v/>
      </c>
      <c r="G651" s="137" t="str">
        <f t="array" ref="G651">IFERROR(IF(A651="","",VLOOKUP(A651,INDIRECT("HISTÓRICO COBROS!A3:F"&amp;COUNTA('HISTÓRICO COBROS'!A:A)),6,FALSE)),"")</f>
        <v/>
      </c>
      <c r="H651" s="138" t="str">
        <f t="shared" ref="H651:I651" si="652">IF(D651="","",D651+F651)</f>
        <v/>
      </c>
      <c r="I651" s="135" t="str">
        <f t="shared" si="652"/>
        <v/>
      </c>
      <c r="J651" s="140" t="str">
        <f t="shared" si="3"/>
        <v/>
      </c>
      <c r="K651" s="140" t="str">
        <f t="shared" si="4"/>
        <v/>
      </c>
    </row>
    <row r="652" ht="22.5" customHeight="1">
      <c r="A652" s="140"/>
      <c r="B652" s="135" t="str">
        <f t="array" ref="B652">IF(A652="","",VLOOKUP(A652,INDIRECT("CXC!A2:B"&amp;COUNTA(CXC!A:A)),2,FALSE))</f>
        <v/>
      </c>
      <c r="C652" s="136" t="str">
        <f t="array" ref="C652">IF(A652="","",VLOOKUP(A652,INDIRECT("CXC!A2:C"&amp;COUNTA(CXC!A:A)),3,FALSE))</f>
        <v/>
      </c>
      <c r="D652" s="137" t="str">
        <f t="array" ref="D652">IF(A652="","",VLOOKUP(A652,INDIRECT("CXC!A2:H"&amp;COUNTA(CXC!A:A)),8,FALSE))</f>
        <v/>
      </c>
      <c r="E652" s="137" t="str">
        <f t="array" ref="E652">IFERROR(IF(A652="","",VLOOKUP(A652,INDIRECT("HISTÓRICO COBROS!A3:E"&amp;COUNTA('HISTÓRICO COBROS'!A:A)),5,FALSE)),"")</f>
        <v/>
      </c>
      <c r="F652" s="137" t="str">
        <f t="array" ref="F652">IF(A652="","",VLOOKUP(A652,INDIRECT("CXC!A2:I"&amp;COUNTA(CXC!A:A)),9,FALSE))</f>
        <v/>
      </c>
      <c r="G652" s="137" t="str">
        <f t="array" ref="G652">IFERROR(IF(A652="","",VLOOKUP(A652,INDIRECT("HISTÓRICO COBROS!A3:F"&amp;COUNTA('HISTÓRICO COBROS'!A:A)),6,FALSE)),"")</f>
        <v/>
      </c>
      <c r="H652" s="138" t="str">
        <f t="shared" ref="H652:I652" si="653">IF(D652="","",D652+F652)</f>
        <v/>
      </c>
      <c r="I652" s="135" t="str">
        <f t="shared" si="653"/>
        <v/>
      </c>
      <c r="J652" s="140" t="str">
        <f t="shared" si="3"/>
        <v/>
      </c>
      <c r="K652" s="140" t="str">
        <f t="shared" si="4"/>
        <v/>
      </c>
    </row>
    <row r="653" ht="22.5" customHeight="1">
      <c r="A653" s="140"/>
      <c r="B653" s="135" t="str">
        <f t="array" ref="B653">IF(A653="","",VLOOKUP(A653,INDIRECT("CXC!A2:B"&amp;COUNTA(CXC!A:A)),2,FALSE))</f>
        <v/>
      </c>
      <c r="C653" s="136" t="str">
        <f t="array" ref="C653">IF(A653="","",VLOOKUP(A653,INDIRECT("CXC!A2:C"&amp;COUNTA(CXC!A:A)),3,FALSE))</f>
        <v/>
      </c>
      <c r="D653" s="137" t="str">
        <f t="array" ref="D653">IF(A653="","",VLOOKUP(A653,INDIRECT("CXC!A2:H"&amp;COUNTA(CXC!A:A)),8,FALSE))</f>
        <v/>
      </c>
      <c r="E653" s="137" t="str">
        <f t="array" ref="E653">IFERROR(IF(A653="","",VLOOKUP(A653,INDIRECT("HISTÓRICO COBROS!A3:E"&amp;COUNTA('HISTÓRICO COBROS'!A:A)),5,FALSE)),"")</f>
        <v/>
      </c>
      <c r="F653" s="137" t="str">
        <f t="array" ref="F653">IF(A653="","",VLOOKUP(A653,INDIRECT("CXC!A2:I"&amp;COUNTA(CXC!A:A)),9,FALSE))</f>
        <v/>
      </c>
      <c r="G653" s="137" t="str">
        <f t="array" ref="G653">IFERROR(IF(A653="","",VLOOKUP(A653,INDIRECT("HISTÓRICO COBROS!A3:F"&amp;COUNTA('HISTÓRICO COBROS'!A:A)),6,FALSE)),"")</f>
        <v/>
      </c>
      <c r="H653" s="138" t="str">
        <f t="shared" ref="H653:I653" si="654">IF(D653="","",D653+F653)</f>
        <v/>
      </c>
      <c r="I653" s="135" t="str">
        <f t="shared" si="654"/>
        <v/>
      </c>
      <c r="J653" s="140" t="str">
        <f t="shared" si="3"/>
        <v/>
      </c>
      <c r="K653" s="140" t="str">
        <f t="shared" si="4"/>
        <v/>
      </c>
    </row>
    <row r="654" ht="22.5" customHeight="1">
      <c r="A654" s="140"/>
      <c r="B654" s="135" t="str">
        <f t="array" ref="B654">IF(A654="","",VLOOKUP(A654,INDIRECT("CXC!A2:B"&amp;COUNTA(CXC!A:A)),2,FALSE))</f>
        <v/>
      </c>
      <c r="C654" s="136" t="str">
        <f t="array" ref="C654">IF(A654="","",VLOOKUP(A654,INDIRECT("CXC!A2:C"&amp;COUNTA(CXC!A:A)),3,FALSE))</f>
        <v/>
      </c>
      <c r="D654" s="137" t="str">
        <f t="array" ref="D654">IF(A654="","",VLOOKUP(A654,INDIRECT("CXC!A2:H"&amp;COUNTA(CXC!A:A)),8,FALSE))</f>
        <v/>
      </c>
      <c r="E654" s="137" t="str">
        <f t="array" ref="E654">IFERROR(IF(A654="","",VLOOKUP(A654,INDIRECT("HISTÓRICO COBROS!A3:E"&amp;COUNTA('HISTÓRICO COBROS'!A:A)),5,FALSE)),"")</f>
        <v/>
      </c>
      <c r="F654" s="137" t="str">
        <f t="array" ref="F654">IF(A654="","",VLOOKUP(A654,INDIRECT("CXC!A2:I"&amp;COUNTA(CXC!A:A)),9,FALSE))</f>
        <v/>
      </c>
      <c r="G654" s="137" t="str">
        <f t="array" ref="G654">IFERROR(IF(A654="","",VLOOKUP(A654,INDIRECT("HISTÓRICO COBROS!A3:F"&amp;COUNTA('HISTÓRICO COBROS'!A:A)),6,FALSE)),"")</f>
        <v/>
      </c>
      <c r="H654" s="138" t="str">
        <f t="shared" ref="H654:I654" si="655">IF(D654="","",D654+F654)</f>
        <v/>
      </c>
      <c r="I654" s="135" t="str">
        <f t="shared" si="655"/>
        <v/>
      </c>
      <c r="J654" s="140" t="str">
        <f t="shared" si="3"/>
        <v/>
      </c>
      <c r="K654" s="140" t="str">
        <f t="shared" si="4"/>
        <v/>
      </c>
    </row>
    <row r="655" ht="22.5" customHeight="1">
      <c r="A655" s="140"/>
      <c r="B655" s="135" t="str">
        <f t="array" ref="B655">IF(A655="","",VLOOKUP(A655,INDIRECT("CXC!A2:B"&amp;COUNTA(CXC!A:A)),2,FALSE))</f>
        <v/>
      </c>
      <c r="C655" s="136" t="str">
        <f t="array" ref="C655">IF(A655="","",VLOOKUP(A655,INDIRECT("CXC!A2:C"&amp;COUNTA(CXC!A:A)),3,FALSE))</f>
        <v/>
      </c>
      <c r="D655" s="137" t="str">
        <f t="array" ref="D655">IF(A655="","",VLOOKUP(A655,INDIRECT("CXC!A2:H"&amp;COUNTA(CXC!A:A)),8,FALSE))</f>
        <v/>
      </c>
      <c r="E655" s="137" t="str">
        <f t="array" ref="E655">IFERROR(IF(A655="","",VLOOKUP(A655,INDIRECT("HISTÓRICO COBROS!A3:E"&amp;COUNTA('HISTÓRICO COBROS'!A:A)),5,FALSE)),"")</f>
        <v/>
      </c>
      <c r="F655" s="137" t="str">
        <f t="array" ref="F655">IF(A655="","",VLOOKUP(A655,INDIRECT("CXC!A2:I"&amp;COUNTA(CXC!A:A)),9,FALSE))</f>
        <v/>
      </c>
      <c r="G655" s="137" t="str">
        <f t="array" ref="G655">IFERROR(IF(A655="","",VLOOKUP(A655,INDIRECT("HISTÓRICO COBROS!A3:F"&amp;COUNTA('HISTÓRICO COBROS'!A:A)),6,FALSE)),"")</f>
        <v/>
      </c>
      <c r="H655" s="138" t="str">
        <f t="shared" ref="H655:I655" si="656">IF(D655="","",D655+F655)</f>
        <v/>
      </c>
      <c r="I655" s="135" t="str">
        <f t="shared" si="656"/>
        <v/>
      </c>
      <c r="J655" s="140" t="str">
        <f t="shared" si="3"/>
        <v/>
      </c>
      <c r="K655" s="140" t="str">
        <f t="shared" si="4"/>
        <v/>
      </c>
    </row>
    <row r="656" ht="22.5" customHeight="1">
      <c r="A656" s="140"/>
      <c r="B656" s="135" t="str">
        <f t="array" ref="B656">IF(A656="","",VLOOKUP(A656,INDIRECT("CXC!A2:B"&amp;COUNTA(CXC!A:A)),2,FALSE))</f>
        <v/>
      </c>
      <c r="C656" s="136" t="str">
        <f t="array" ref="C656">IF(A656="","",VLOOKUP(A656,INDIRECT("CXC!A2:C"&amp;COUNTA(CXC!A:A)),3,FALSE))</f>
        <v/>
      </c>
      <c r="D656" s="137" t="str">
        <f t="array" ref="D656">IF(A656="","",VLOOKUP(A656,INDIRECT("CXC!A2:H"&amp;COUNTA(CXC!A:A)),8,FALSE))</f>
        <v/>
      </c>
      <c r="E656" s="137" t="str">
        <f t="array" ref="E656">IFERROR(IF(A656="","",VLOOKUP(A656,INDIRECT("HISTÓRICO COBROS!A3:E"&amp;COUNTA('HISTÓRICO COBROS'!A:A)),5,FALSE)),"")</f>
        <v/>
      </c>
      <c r="F656" s="137" t="str">
        <f t="array" ref="F656">IF(A656="","",VLOOKUP(A656,INDIRECT("CXC!A2:I"&amp;COUNTA(CXC!A:A)),9,FALSE))</f>
        <v/>
      </c>
      <c r="G656" s="137" t="str">
        <f t="array" ref="G656">IFERROR(IF(A656="","",VLOOKUP(A656,INDIRECT("HISTÓRICO COBROS!A3:F"&amp;COUNTA('HISTÓRICO COBROS'!A:A)),6,FALSE)),"")</f>
        <v/>
      </c>
      <c r="H656" s="138" t="str">
        <f t="shared" ref="H656:I656" si="657">IF(D656="","",D656+F656)</f>
        <v/>
      </c>
      <c r="I656" s="135" t="str">
        <f t="shared" si="657"/>
        <v/>
      </c>
      <c r="J656" s="140" t="str">
        <f t="shared" si="3"/>
        <v/>
      </c>
      <c r="K656" s="140" t="str">
        <f t="shared" si="4"/>
        <v/>
      </c>
    </row>
    <row r="657" ht="22.5" customHeight="1">
      <c r="A657" s="140"/>
      <c r="B657" s="135" t="str">
        <f t="array" ref="B657">IF(A657="","",VLOOKUP(A657,INDIRECT("CXC!A2:B"&amp;COUNTA(CXC!A:A)),2,FALSE))</f>
        <v/>
      </c>
      <c r="C657" s="136" t="str">
        <f t="array" ref="C657">IF(A657="","",VLOOKUP(A657,INDIRECT("CXC!A2:C"&amp;COUNTA(CXC!A:A)),3,FALSE))</f>
        <v/>
      </c>
      <c r="D657" s="137" t="str">
        <f t="array" ref="D657">IF(A657="","",VLOOKUP(A657,INDIRECT("CXC!A2:H"&amp;COUNTA(CXC!A:A)),8,FALSE))</f>
        <v/>
      </c>
      <c r="E657" s="137" t="str">
        <f t="array" ref="E657">IFERROR(IF(A657="","",VLOOKUP(A657,INDIRECT("HISTÓRICO COBROS!A3:E"&amp;COUNTA('HISTÓRICO COBROS'!A:A)),5,FALSE)),"")</f>
        <v/>
      </c>
      <c r="F657" s="137" t="str">
        <f t="array" ref="F657">IF(A657="","",VLOOKUP(A657,INDIRECT("CXC!A2:I"&amp;COUNTA(CXC!A:A)),9,FALSE))</f>
        <v/>
      </c>
      <c r="G657" s="137" t="str">
        <f t="array" ref="G657">IFERROR(IF(A657="","",VLOOKUP(A657,INDIRECT("HISTÓRICO COBROS!A3:F"&amp;COUNTA('HISTÓRICO COBROS'!A:A)),6,FALSE)),"")</f>
        <v/>
      </c>
      <c r="H657" s="138" t="str">
        <f t="shared" ref="H657:I657" si="658">IF(D657="","",D657+F657)</f>
        <v/>
      </c>
      <c r="I657" s="135" t="str">
        <f t="shared" si="658"/>
        <v/>
      </c>
      <c r="J657" s="140" t="str">
        <f t="shared" si="3"/>
        <v/>
      </c>
      <c r="K657" s="140" t="str">
        <f t="shared" si="4"/>
        <v/>
      </c>
    </row>
    <row r="658" ht="22.5" customHeight="1">
      <c r="A658" s="140"/>
      <c r="B658" s="135" t="str">
        <f t="array" ref="B658">IF(A658="","",VLOOKUP(A658,INDIRECT("CXC!A2:B"&amp;COUNTA(CXC!A:A)),2,FALSE))</f>
        <v/>
      </c>
      <c r="C658" s="136" t="str">
        <f t="array" ref="C658">IF(A658="","",VLOOKUP(A658,INDIRECT("CXC!A2:C"&amp;COUNTA(CXC!A:A)),3,FALSE))</f>
        <v/>
      </c>
      <c r="D658" s="137" t="str">
        <f t="array" ref="D658">IF(A658="","",VLOOKUP(A658,INDIRECT("CXC!A2:H"&amp;COUNTA(CXC!A:A)),8,FALSE))</f>
        <v/>
      </c>
      <c r="E658" s="137" t="str">
        <f t="array" ref="E658">IFERROR(IF(A658="","",VLOOKUP(A658,INDIRECT("HISTÓRICO COBROS!A3:E"&amp;COUNTA('HISTÓRICO COBROS'!A:A)),5,FALSE)),"")</f>
        <v/>
      </c>
      <c r="F658" s="137" t="str">
        <f t="array" ref="F658">IF(A658="","",VLOOKUP(A658,INDIRECT("CXC!A2:I"&amp;COUNTA(CXC!A:A)),9,FALSE))</f>
        <v/>
      </c>
      <c r="G658" s="137" t="str">
        <f t="array" ref="G658">IFERROR(IF(A658="","",VLOOKUP(A658,INDIRECT("HISTÓRICO COBROS!A3:F"&amp;COUNTA('HISTÓRICO COBROS'!A:A)),6,FALSE)),"")</f>
        <v/>
      </c>
      <c r="H658" s="138" t="str">
        <f t="shared" ref="H658:I658" si="659">IF(D658="","",D658+F658)</f>
        <v/>
      </c>
      <c r="I658" s="135" t="str">
        <f t="shared" si="659"/>
        <v/>
      </c>
      <c r="J658" s="140" t="str">
        <f t="shared" si="3"/>
        <v/>
      </c>
      <c r="K658" s="140" t="str">
        <f t="shared" si="4"/>
        <v/>
      </c>
    </row>
    <row r="659" ht="22.5" customHeight="1">
      <c r="A659" s="140"/>
      <c r="B659" s="135" t="str">
        <f t="array" ref="B659">IF(A659="","",VLOOKUP(A659,INDIRECT("CXC!A2:B"&amp;COUNTA(CXC!A:A)),2,FALSE))</f>
        <v/>
      </c>
      <c r="C659" s="136" t="str">
        <f t="array" ref="C659">IF(A659="","",VLOOKUP(A659,INDIRECT("CXC!A2:C"&amp;COUNTA(CXC!A:A)),3,FALSE))</f>
        <v/>
      </c>
      <c r="D659" s="137" t="str">
        <f t="array" ref="D659">IF(A659="","",VLOOKUP(A659,INDIRECT("CXC!A2:H"&amp;COUNTA(CXC!A:A)),8,FALSE))</f>
        <v/>
      </c>
      <c r="E659" s="137" t="str">
        <f t="array" ref="E659">IFERROR(IF(A659="","",VLOOKUP(A659,INDIRECT("HISTÓRICO COBROS!A3:E"&amp;COUNTA('HISTÓRICO COBROS'!A:A)),5,FALSE)),"")</f>
        <v/>
      </c>
      <c r="F659" s="137" t="str">
        <f t="array" ref="F659">IF(A659="","",VLOOKUP(A659,INDIRECT("CXC!A2:I"&amp;COUNTA(CXC!A:A)),9,FALSE))</f>
        <v/>
      </c>
      <c r="G659" s="137" t="str">
        <f t="array" ref="G659">IFERROR(IF(A659="","",VLOOKUP(A659,INDIRECT("HISTÓRICO COBROS!A3:F"&amp;COUNTA('HISTÓRICO COBROS'!A:A)),6,FALSE)),"")</f>
        <v/>
      </c>
      <c r="H659" s="138" t="str">
        <f t="shared" ref="H659:I659" si="660">IF(D659="","",D659+F659)</f>
        <v/>
      </c>
      <c r="I659" s="135" t="str">
        <f t="shared" si="660"/>
        <v/>
      </c>
      <c r="J659" s="140" t="str">
        <f t="shared" si="3"/>
        <v/>
      </c>
      <c r="K659" s="140" t="str">
        <f t="shared" si="4"/>
        <v/>
      </c>
    </row>
    <row r="660" ht="22.5" customHeight="1">
      <c r="A660" s="140"/>
      <c r="B660" s="135" t="str">
        <f t="array" ref="B660">IF(A660="","",VLOOKUP(A660,INDIRECT("CXC!A2:B"&amp;COUNTA(CXC!A:A)),2,FALSE))</f>
        <v/>
      </c>
      <c r="C660" s="136" t="str">
        <f t="array" ref="C660">IF(A660="","",VLOOKUP(A660,INDIRECT("CXC!A2:C"&amp;COUNTA(CXC!A:A)),3,FALSE))</f>
        <v/>
      </c>
      <c r="D660" s="137" t="str">
        <f t="array" ref="D660">IF(A660="","",VLOOKUP(A660,INDIRECT("CXC!A2:H"&amp;COUNTA(CXC!A:A)),8,FALSE))</f>
        <v/>
      </c>
      <c r="E660" s="137" t="str">
        <f t="array" ref="E660">IFERROR(IF(A660="","",VLOOKUP(A660,INDIRECT("HISTÓRICO COBROS!A3:E"&amp;COUNTA('HISTÓRICO COBROS'!A:A)),5,FALSE)),"")</f>
        <v/>
      </c>
      <c r="F660" s="137" t="str">
        <f t="array" ref="F660">IF(A660="","",VLOOKUP(A660,INDIRECT("CXC!A2:I"&amp;COUNTA(CXC!A:A)),9,FALSE))</f>
        <v/>
      </c>
      <c r="G660" s="137" t="str">
        <f t="array" ref="G660">IFERROR(IF(A660="","",VLOOKUP(A660,INDIRECT("HISTÓRICO COBROS!A3:F"&amp;COUNTA('HISTÓRICO COBROS'!A:A)),6,FALSE)),"")</f>
        <v/>
      </c>
      <c r="H660" s="138" t="str">
        <f t="shared" ref="H660:I660" si="661">IF(D660="","",D660+F660)</f>
        <v/>
      </c>
      <c r="I660" s="135" t="str">
        <f t="shared" si="661"/>
        <v/>
      </c>
      <c r="J660" s="140" t="str">
        <f t="shared" si="3"/>
        <v/>
      </c>
      <c r="K660" s="140" t="str">
        <f t="shared" si="4"/>
        <v/>
      </c>
    </row>
    <row r="661" ht="22.5" customHeight="1">
      <c r="A661" s="140"/>
      <c r="B661" s="135" t="str">
        <f t="array" ref="B661">IF(A661="","",VLOOKUP(A661,INDIRECT("CXC!A2:B"&amp;COUNTA(CXC!A:A)),2,FALSE))</f>
        <v/>
      </c>
      <c r="C661" s="136" t="str">
        <f t="array" ref="C661">IF(A661="","",VLOOKUP(A661,INDIRECT("CXC!A2:C"&amp;COUNTA(CXC!A:A)),3,FALSE))</f>
        <v/>
      </c>
      <c r="D661" s="137" t="str">
        <f t="array" ref="D661">IF(A661="","",VLOOKUP(A661,INDIRECT("CXC!A2:H"&amp;COUNTA(CXC!A:A)),8,FALSE))</f>
        <v/>
      </c>
      <c r="E661" s="137" t="str">
        <f t="array" ref="E661">IFERROR(IF(A661="","",VLOOKUP(A661,INDIRECT("HISTÓRICO COBROS!A3:E"&amp;COUNTA('HISTÓRICO COBROS'!A:A)),5,FALSE)),"")</f>
        <v/>
      </c>
      <c r="F661" s="137" t="str">
        <f t="array" ref="F661">IF(A661="","",VLOOKUP(A661,INDIRECT("CXC!A2:I"&amp;COUNTA(CXC!A:A)),9,FALSE))</f>
        <v/>
      </c>
      <c r="G661" s="137" t="str">
        <f t="array" ref="G661">IFERROR(IF(A661="","",VLOOKUP(A661,INDIRECT("HISTÓRICO COBROS!A3:F"&amp;COUNTA('HISTÓRICO COBROS'!A:A)),6,FALSE)),"")</f>
        <v/>
      </c>
      <c r="H661" s="138" t="str">
        <f t="shared" ref="H661:I661" si="662">IF(D661="","",D661+F661)</f>
        <v/>
      </c>
      <c r="I661" s="135" t="str">
        <f t="shared" si="662"/>
        <v/>
      </c>
      <c r="J661" s="140" t="str">
        <f t="shared" si="3"/>
        <v/>
      </c>
      <c r="K661" s="140" t="str">
        <f t="shared" si="4"/>
        <v/>
      </c>
    </row>
    <row r="662" ht="22.5" customHeight="1">
      <c r="A662" s="140"/>
      <c r="B662" s="135" t="str">
        <f t="array" ref="B662">IF(A662="","",VLOOKUP(A662,INDIRECT("CXC!A2:B"&amp;COUNTA(CXC!A:A)),2,FALSE))</f>
        <v/>
      </c>
      <c r="C662" s="136" t="str">
        <f t="array" ref="C662">IF(A662="","",VLOOKUP(A662,INDIRECT("CXC!A2:C"&amp;COUNTA(CXC!A:A)),3,FALSE))</f>
        <v/>
      </c>
      <c r="D662" s="137" t="str">
        <f t="array" ref="D662">IF(A662="","",VLOOKUP(A662,INDIRECT("CXC!A2:H"&amp;COUNTA(CXC!A:A)),8,FALSE))</f>
        <v/>
      </c>
      <c r="E662" s="137" t="str">
        <f t="array" ref="E662">IFERROR(IF(A662="","",VLOOKUP(A662,INDIRECT("HISTÓRICO COBROS!A3:E"&amp;COUNTA('HISTÓRICO COBROS'!A:A)),5,FALSE)),"")</f>
        <v/>
      </c>
      <c r="F662" s="137" t="str">
        <f t="array" ref="F662">IF(A662="","",VLOOKUP(A662,INDIRECT("CXC!A2:I"&amp;COUNTA(CXC!A:A)),9,FALSE))</f>
        <v/>
      </c>
      <c r="G662" s="137" t="str">
        <f t="array" ref="G662">IFERROR(IF(A662="","",VLOOKUP(A662,INDIRECT("HISTÓRICO COBROS!A3:F"&amp;COUNTA('HISTÓRICO COBROS'!A:A)),6,FALSE)),"")</f>
        <v/>
      </c>
      <c r="H662" s="138" t="str">
        <f t="shared" ref="H662:I662" si="663">IF(D662="","",D662+F662)</f>
        <v/>
      </c>
      <c r="I662" s="135" t="str">
        <f t="shared" si="663"/>
        <v/>
      </c>
      <c r="J662" s="140" t="str">
        <f t="shared" si="3"/>
        <v/>
      </c>
      <c r="K662" s="140" t="str">
        <f t="shared" si="4"/>
        <v/>
      </c>
    </row>
    <row r="663" ht="22.5" customHeight="1">
      <c r="A663" s="140"/>
      <c r="B663" s="135" t="str">
        <f t="array" ref="B663">IF(A663="","",VLOOKUP(A663,INDIRECT("CXC!A2:B"&amp;COUNTA(CXC!A:A)),2,FALSE))</f>
        <v/>
      </c>
      <c r="C663" s="136" t="str">
        <f t="array" ref="C663">IF(A663="","",VLOOKUP(A663,INDIRECT("CXC!A2:C"&amp;COUNTA(CXC!A:A)),3,FALSE))</f>
        <v/>
      </c>
      <c r="D663" s="137" t="str">
        <f t="array" ref="D663">IF(A663="","",VLOOKUP(A663,INDIRECT("CXC!A2:H"&amp;COUNTA(CXC!A:A)),8,FALSE))</f>
        <v/>
      </c>
      <c r="E663" s="137" t="str">
        <f t="array" ref="E663">IFERROR(IF(A663="","",VLOOKUP(A663,INDIRECT("HISTÓRICO COBROS!A3:E"&amp;COUNTA('HISTÓRICO COBROS'!A:A)),5,FALSE)),"")</f>
        <v/>
      </c>
      <c r="F663" s="137" t="str">
        <f t="array" ref="F663">IF(A663="","",VLOOKUP(A663,INDIRECT("CXC!A2:I"&amp;COUNTA(CXC!A:A)),9,FALSE))</f>
        <v/>
      </c>
      <c r="G663" s="137" t="str">
        <f t="array" ref="G663">IFERROR(IF(A663="","",VLOOKUP(A663,INDIRECT("HISTÓRICO COBROS!A3:F"&amp;COUNTA('HISTÓRICO COBROS'!A:A)),6,FALSE)),"")</f>
        <v/>
      </c>
      <c r="H663" s="138" t="str">
        <f t="shared" ref="H663:I663" si="664">IF(D663="","",D663+F663)</f>
        <v/>
      </c>
      <c r="I663" s="135" t="str">
        <f t="shared" si="664"/>
        <v/>
      </c>
      <c r="J663" s="140" t="str">
        <f t="shared" si="3"/>
        <v/>
      </c>
      <c r="K663" s="140" t="str">
        <f t="shared" si="4"/>
        <v/>
      </c>
    </row>
    <row r="664" ht="22.5" customHeight="1">
      <c r="A664" s="140"/>
      <c r="B664" s="135" t="str">
        <f t="array" ref="B664">IF(A664="","",VLOOKUP(A664,INDIRECT("CXC!A2:B"&amp;COUNTA(CXC!A:A)),2,FALSE))</f>
        <v/>
      </c>
      <c r="C664" s="136" t="str">
        <f t="array" ref="C664">IF(A664="","",VLOOKUP(A664,INDIRECT("CXC!A2:C"&amp;COUNTA(CXC!A:A)),3,FALSE))</f>
        <v/>
      </c>
      <c r="D664" s="137" t="str">
        <f t="array" ref="D664">IF(A664="","",VLOOKUP(A664,INDIRECT("CXC!A2:H"&amp;COUNTA(CXC!A:A)),8,FALSE))</f>
        <v/>
      </c>
      <c r="E664" s="137" t="str">
        <f t="array" ref="E664">IFERROR(IF(A664="","",VLOOKUP(A664,INDIRECT("HISTÓRICO COBROS!A3:E"&amp;COUNTA('HISTÓRICO COBROS'!A:A)),5,FALSE)),"")</f>
        <v/>
      </c>
      <c r="F664" s="137" t="str">
        <f t="array" ref="F664">IF(A664="","",VLOOKUP(A664,INDIRECT("CXC!A2:I"&amp;COUNTA(CXC!A:A)),9,FALSE))</f>
        <v/>
      </c>
      <c r="G664" s="137" t="str">
        <f t="array" ref="G664">IFERROR(IF(A664="","",VLOOKUP(A664,INDIRECT("HISTÓRICO COBROS!A3:F"&amp;COUNTA('HISTÓRICO COBROS'!A:A)),6,FALSE)),"")</f>
        <v/>
      </c>
      <c r="H664" s="138" t="str">
        <f t="shared" ref="H664:I664" si="665">IF(D664="","",D664+F664)</f>
        <v/>
      </c>
      <c r="I664" s="135" t="str">
        <f t="shared" si="665"/>
        <v/>
      </c>
      <c r="J664" s="140" t="str">
        <f t="shared" si="3"/>
        <v/>
      </c>
      <c r="K664" s="140" t="str">
        <f t="shared" si="4"/>
        <v/>
      </c>
    </row>
    <row r="665" ht="22.5" customHeight="1">
      <c r="A665" s="140"/>
      <c r="B665" s="135" t="str">
        <f t="array" ref="B665">IF(A665="","",VLOOKUP(A665,INDIRECT("CXC!A2:B"&amp;COUNTA(CXC!A:A)),2,FALSE))</f>
        <v/>
      </c>
      <c r="C665" s="136" t="str">
        <f t="array" ref="C665">IF(A665="","",VLOOKUP(A665,INDIRECT("CXC!A2:C"&amp;COUNTA(CXC!A:A)),3,FALSE))</f>
        <v/>
      </c>
      <c r="D665" s="137" t="str">
        <f t="array" ref="D665">IF(A665="","",VLOOKUP(A665,INDIRECT("CXC!A2:H"&amp;COUNTA(CXC!A:A)),8,FALSE))</f>
        <v/>
      </c>
      <c r="E665" s="137" t="str">
        <f t="array" ref="E665">IFERROR(IF(A665="","",VLOOKUP(A665,INDIRECT("HISTÓRICO COBROS!A3:E"&amp;COUNTA('HISTÓRICO COBROS'!A:A)),5,FALSE)),"")</f>
        <v/>
      </c>
      <c r="F665" s="137" t="str">
        <f t="array" ref="F665">IF(A665="","",VLOOKUP(A665,INDIRECT("CXC!A2:I"&amp;COUNTA(CXC!A:A)),9,FALSE))</f>
        <v/>
      </c>
      <c r="G665" s="137" t="str">
        <f t="array" ref="G665">IFERROR(IF(A665="","",VLOOKUP(A665,INDIRECT("HISTÓRICO COBROS!A3:F"&amp;COUNTA('HISTÓRICO COBROS'!A:A)),6,FALSE)),"")</f>
        <v/>
      </c>
      <c r="H665" s="138" t="str">
        <f t="shared" ref="H665:I665" si="666">IF(D665="","",D665+F665)</f>
        <v/>
      </c>
      <c r="I665" s="135" t="str">
        <f t="shared" si="666"/>
        <v/>
      </c>
      <c r="J665" s="140" t="str">
        <f t="shared" si="3"/>
        <v/>
      </c>
      <c r="K665" s="140" t="str">
        <f t="shared" si="4"/>
        <v/>
      </c>
    </row>
    <row r="666" ht="22.5" customHeight="1">
      <c r="A666" s="140"/>
      <c r="B666" s="135" t="str">
        <f t="array" ref="B666">IF(A666="","",VLOOKUP(A666,INDIRECT("CXC!A2:B"&amp;COUNTA(CXC!A:A)),2,FALSE))</f>
        <v/>
      </c>
      <c r="C666" s="136" t="str">
        <f t="array" ref="C666">IF(A666="","",VLOOKUP(A666,INDIRECT("CXC!A2:C"&amp;COUNTA(CXC!A:A)),3,FALSE))</f>
        <v/>
      </c>
      <c r="D666" s="137" t="str">
        <f t="array" ref="D666">IF(A666="","",VLOOKUP(A666,INDIRECT("CXC!A2:H"&amp;COUNTA(CXC!A:A)),8,FALSE))</f>
        <v/>
      </c>
      <c r="E666" s="137" t="str">
        <f t="array" ref="E666">IFERROR(IF(A666="","",VLOOKUP(A666,INDIRECT("HISTÓRICO COBROS!A3:E"&amp;COUNTA('HISTÓRICO COBROS'!A:A)),5,FALSE)),"")</f>
        <v/>
      </c>
      <c r="F666" s="137" t="str">
        <f t="array" ref="F666">IF(A666="","",VLOOKUP(A666,INDIRECT("CXC!A2:I"&amp;COUNTA(CXC!A:A)),9,FALSE))</f>
        <v/>
      </c>
      <c r="G666" s="137" t="str">
        <f t="array" ref="G666">IFERROR(IF(A666="","",VLOOKUP(A666,INDIRECT("HISTÓRICO COBROS!A3:F"&amp;COUNTA('HISTÓRICO COBROS'!A:A)),6,FALSE)),"")</f>
        <v/>
      </c>
      <c r="H666" s="138" t="str">
        <f t="shared" ref="H666:I666" si="667">IF(D666="","",D666+F666)</f>
        <v/>
      </c>
      <c r="I666" s="135" t="str">
        <f t="shared" si="667"/>
        <v/>
      </c>
      <c r="J666" s="140" t="str">
        <f t="shared" si="3"/>
        <v/>
      </c>
      <c r="K666" s="140" t="str">
        <f t="shared" si="4"/>
        <v/>
      </c>
    </row>
    <row r="667" ht="22.5" customHeight="1">
      <c r="A667" s="140"/>
      <c r="B667" s="135" t="str">
        <f t="array" ref="B667">IF(A667="","",VLOOKUP(A667,INDIRECT("CXC!A2:B"&amp;COUNTA(CXC!A:A)),2,FALSE))</f>
        <v/>
      </c>
      <c r="C667" s="136" t="str">
        <f t="array" ref="C667">IF(A667="","",VLOOKUP(A667,INDIRECT("CXC!A2:C"&amp;COUNTA(CXC!A:A)),3,FALSE))</f>
        <v/>
      </c>
      <c r="D667" s="137" t="str">
        <f t="array" ref="D667">IF(A667="","",VLOOKUP(A667,INDIRECT("CXC!A2:H"&amp;COUNTA(CXC!A:A)),8,FALSE))</f>
        <v/>
      </c>
      <c r="E667" s="137" t="str">
        <f t="array" ref="E667">IFERROR(IF(A667="","",VLOOKUP(A667,INDIRECT("HISTÓRICO COBROS!A3:E"&amp;COUNTA('HISTÓRICO COBROS'!A:A)),5,FALSE)),"")</f>
        <v/>
      </c>
      <c r="F667" s="137" t="str">
        <f t="array" ref="F667">IF(A667="","",VLOOKUP(A667,INDIRECT("CXC!A2:I"&amp;COUNTA(CXC!A:A)),9,FALSE))</f>
        <v/>
      </c>
      <c r="G667" s="137" t="str">
        <f t="array" ref="G667">IFERROR(IF(A667="","",VLOOKUP(A667,INDIRECT("HISTÓRICO COBROS!A3:F"&amp;COUNTA('HISTÓRICO COBROS'!A:A)),6,FALSE)),"")</f>
        <v/>
      </c>
      <c r="H667" s="138" t="str">
        <f t="shared" ref="H667:I667" si="668">IF(D667="","",D667+F667)</f>
        <v/>
      </c>
      <c r="I667" s="135" t="str">
        <f t="shared" si="668"/>
        <v/>
      </c>
      <c r="J667" s="140" t="str">
        <f t="shared" si="3"/>
        <v/>
      </c>
      <c r="K667" s="140" t="str">
        <f t="shared" si="4"/>
        <v/>
      </c>
    </row>
    <row r="668" ht="22.5" customHeight="1">
      <c r="A668" s="140"/>
      <c r="B668" s="135" t="str">
        <f t="array" ref="B668">IF(A668="","",VLOOKUP(A668,INDIRECT("CXC!A2:B"&amp;COUNTA(CXC!A:A)),2,FALSE))</f>
        <v/>
      </c>
      <c r="C668" s="136" t="str">
        <f t="array" ref="C668">IF(A668="","",VLOOKUP(A668,INDIRECT("CXC!A2:C"&amp;COUNTA(CXC!A:A)),3,FALSE))</f>
        <v/>
      </c>
      <c r="D668" s="137" t="str">
        <f t="array" ref="D668">IF(A668="","",VLOOKUP(A668,INDIRECT("CXC!A2:H"&amp;COUNTA(CXC!A:A)),8,FALSE))</f>
        <v/>
      </c>
      <c r="E668" s="137" t="str">
        <f t="array" ref="E668">IFERROR(IF(A668="","",VLOOKUP(A668,INDIRECT("HISTÓRICO COBROS!A3:E"&amp;COUNTA('HISTÓRICO COBROS'!A:A)),5,FALSE)),"")</f>
        <v/>
      </c>
      <c r="F668" s="137" t="str">
        <f t="array" ref="F668">IF(A668="","",VLOOKUP(A668,INDIRECT("CXC!A2:I"&amp;COUNTA(CXC!A:A)),9,FALSE))</f>
        <v/>
      </c>
      <c r="G668" s="137" t="str">
        <f t="array" ref="G668">IFERROR(IF(A668="","",VLOOKUP(A668,INDIRECT("HISTÓRICO COBROS!A3:F"&amp;COUNTA('HISTÓRICO COBROS'!A:A)),6,FALSE)),"")</f>
        <v/>
      </c>
      <c r="H668" s="138" t="str">
        <f t="shared" ref="H668:I668" si="669">IF(D668="","",D668+F668)</f>
        <v/>
      </c>
      <c r="I668" s="135" t="str">
        <f t="shared" si="669"/>
        <v/>
      </c>
      <c r="J668" s="140" t="str">
        <f t="shared" si="3"/>
        <v/>
      </c>
      <c r="K668" s="140" t="str">
        <f t="shared" si="4"/>
        <v/>
      </c>
    </row>
    <row r="669" ht="22.5" customHeight="1">
      <c r="A669" s="140"/>
      <c r="B669" s="135" t="str">
        <f t="array" ref="B669">IF(A669="","",VLOOKUP(A669,INDIRECT("CXC!A2:B"&amp;COUNTA(CXC!A:A)),2,FALSE))</f>
        <v/>
      </c>
      <c r="C669" s="136" t="str">
        <f t="array" ref="C669">IF(A669="","",VLOOKUP(A669,INDIRECT("CXC!A2:C"&amp;COUNTA(CXC!A:A)),3,FALSE))</f>
        <v/>
      </c>
      <c r="D669" s="137" t="str">
        <f t="array" ref="D669">IF(A669="","",VLOOKUP(A669,INDIRECT("CXC!A2:H"&amp;COUNTA(CXC!A:A)),8,FALSE))</f>
        <v/>
      </c>
      <c r="E669" s="137" t="str">
        <f t="array" ref="E669">IFERROR(IF(A669="","",VLOOKUP(A669,INDIRECT("HISTÓRICO COBROS!A3:E"&amp;COUNTA('HISTÓRICO COBROS'!A:A)),5,FALSE)),"")</f>
        <v/>
      </c>
      <c r="F669" s="137" t="str">
        <f t="array" ref="F669">IF(A669="","",VLOOKUP(A669,INDIRECT("CXC!A2:I"&amp;COUNTA(CXC!A:A)),9,FALSE))</f>
        <v/>
      </c>
      <c r="G669" s="137" t="str">
        <f t="array" ref="G669">IFERROR(IF(A669="","",VLOOKUP(A669,INDIRECT("HISTÓRICO COBROS!A3:F"&amp;COUNTA('HISTÓRICO COBROS'!A:A)),6,FALSE)),"")</f>
        <v/>
      </c>
      <c r="H669" s="138" t="str">
        <f t="shared" ref="H669:I669" si="670">IF(D669="","",D669+F669)</f>
        <v/>
      </c>
      <c r="I669" s="135" t="str">
        <f t="shared" si="670"/>
        <v/>
      </c>
      <c r="J669" s="140" t="str">
        <f t="shared" si="3"/>
        <v/>
      </c>
      <c r="K669" s="140" t="str">
        <f t="shared" si="4"/>
        <v/>
      </c>
    </row>
    <row r="670" ht="22.5" customHeight="1">
      <c r="A670" s="140"/>
      <c r="B670" s="135" t="str">
        <f t="array" ref="B670">IF(A670="","",VLOOKUP(A670,INDIRECT("CXC!A2:B"&amp;COUNTA(CXC!A:A)),2,FALSE))</f>
        <v/>
      </c>
      <c r="C670" s="136" t="str">
        <f t="array" ref="C670">IF(A670="","",VLOOKUP(A670,INDIRECT("CXC!A2:C"&amp;COUNTA(CXC!A:A)),3,FALSE))</f>
        <v/>
      </c>
      <c r="D670" s="137" t="str">
        <f t="array" ref="D670">IF(A670="","",VLOOKUP(A670,INDIRECT("CXC!A2:H"&amp;COUNTA(CXC!A:A)),8,FALSE))</f>
        <v/>
      </c>
      <c r="E670" s="137" t="str">
        <f t="array" ref="E670">IFERROR(IF(A670="","",VLOOKUP(A670,INDIRECT("HISTÓRICO COBROS!A3:E"&amp;COUNTA('HISTÓRICO COBROS'!A:A)),5,FALSE)),"")</f>
        <v/>
      </c>
      <c r="F670" s="137" t="str">
        <f t="array" ref="F670">IF(A670="","",VLOOKUP(A670,INDIRECT("CXC!A2:I"&amp;COUNTA(CXC!A:A)),9,FALSE))</f>
        <v/>
      </c>
      <c r="G670" s="137" t="str">
        <f t="array" ref="G670">IFERROR(IF(A670="","",VLOOKUP(A670,INDIRECT("HISTÓRICO COBROS!A3:F"&amp;COUNTA('HISTÓRICO COBROS'!A:A)),6,FALSE)),"")</f>
        <v/>
      </c>
      <c r="H670" s="138" t="str">
        <f t="shared" ref="H670:I670" si="671">IF(D670="","",D670+F670)</f>
        <v/>
      </c>
      <c r="I670" s="135" t="str">
        <f t="shared" si="671"/>
        <v/>
      </c>
      <c r="J670" s="140" t="str">
        <f t="shared" si="3"/>
        <v/>
      </c>
      <c r="K670" s="140" t="str">
        <f t="shared" si="4"/>
        <v/>
      </c>
    </row>
    <row r="671" ht="22.5" customHeight="1">
      <c r="A671" s="140"/>
      <c r="B671" s="135" t="str">
        <f t="array" ref="B671">IF(A671="","",VLOOKUP(A671,INDIRECT("CXC!A2:B"&amp;COUNTA(CXC!A:A)),2,FALSE))</f>
        <v/>
      </c>
      <c r="C671" s="136" t="str">
        <f t="array" ref="C671">IF(A671="","",VLOOKUP(A671,INDIRECT("CXC!A2:C"&amp;COUNTA(CXC!A:A)),3,FALSE))</f>
        <v/>
      </c>
      <c r="D671" s="137" t="str">
        <f t="array" ref="D671">IF(A671="","",VLOOKUP(A671,INDIRECT("CXC!A2:H"&amp;COUNTA(CXC!A:A)),8,FALSE))</f>
        <v/>
      </c>
      <c r="E671" s="137" t="str">
        <f t="array" ref="E671">IFERROR(IF(A671="","",VLOOKUP(A671,INDIRECT("HISTÓRICO COBROS!A3:E"&amp;COUNTA('HISTÓRICO COBROS'!A:A)),5,FALSE)),"")</f>
        <v/>
      </c>
      <c r="F671" s="137" t="str">
        <f t="array" ref="F671">IF(A671="","",VLOOKUP(A671,INDIRECT("CXC!A2:I"&amp;COUNTA(CXC!A:A)),9,FALSE))</f>
        <v/>
      </c>
      <c r="G671" s="137" t="str">
        <f t="array" ref="G671">IFERROR(IF(A671="","",VLOOKUP(A671,INDIRECT("HISTÓRICO COBROS!A3:F"&amp;COUNTA('HISTÓRICO COBROS'!A:A)),6,FALSE)),"")</f>
        <v/>
      </c>
      <c r="H671" s="138" t="str">
        <f t="shared" ref="H671:I671" si="672">IF(D671="","",D671+F671)</f>
        <v/>
      </c>
      <c r="I671" s="135" t="str">
        <f t="shared" si="672"/>
        <v/>
      </c>
      <c r="J671" s="140" t="str">
        <f t="shared" si="3"/>
        <v/>
      </c>
      <c r="K671" s="140" t="str">
        <f t="shared" si="4"/>
        <v/>
      </c>
    </row>
    <row r="672" ht="22.5" customHeight="1">
      <c r="A672" s="140"/>
      <c r="B672" s="135" t="str">
        <f t="array" ref="B672">IF(A672="","",VLOOKUP(A672,INDIRECT("CXC!A2:B"&amp;COUNTA(CXC!A:A)),2,FALSE))</f>
        <v/>
      </c>
      <c r="C672" s="136" t="str">
        <f t="array" ref="C672">IF(A672="","",VLOOKUP(A672,INDIRECT("CXC!A2:C"&amp;COUNTA(CXC!A:A)),3,FALSE))</f>
        <v/>
      </c>
      <c r="D672" s="137" t="str">
        <f t="array" ref="D672">IF(A672="","",VLOOKUP(A672,INDIRECT("CXC!A2:H"&amp;COUNTA(CXC!A:A)),8,FALSE))</f>
        <v/>
      </c>
      <c r="E672" s="137" t="str">
        <f t="array" ref="E672">IFERROR(IF(A672="","",VLOOKUP(A672,INDIRECT("HISTÓRICO COBROS!A3:E"&amp;COUNTA('HISTÓRICO COBROS'!A:A)),5,FALSE)),"")</f>
        <v/>
      </c>
      <c r="F672" s="137" t="str">
        <f t="array" ref="F672">IF(A672="","",VLOOKUP(A672,INDIRECT("CXC!A2:I"&amp;COUNTA(CXC!A:A)),9,FALSE))</f>
        <v/>
      </c>
      <c r="G672" s="137" t="str">
        <f t="array" ref="G672">IFERROR(IF(A672="","",VLOOKUP(A672,INDIRECT("HISTÓRICO COBROS!A3:F"&amp;COUNTA('HISTÓRICO COBROS'!A:A)),6,FALSE)),"")</f>
        <v/>
      </c>
      <c r="H672" s="138" t="str">
        <f t="shared" ref="H672:I672" si="673">IF(D672="","",D672+F672)</f>
        <v/>
      </c>
      <c r="I672" s="135" t="str">
        <f t="shared" si="673"/>
        <v/>
      </c>
      <c r="J672" s="140" t="str">
        <f t="shared" si="3"/>
        <v/>
      </c>
      <c r="K672" s="140" t="str">
        <f t="shared" si="4"/>
        <v/>
      </c>
    </row>
    <row r="673" ht="22.5" customHeight="1">
      <c r="A673" s="140"/>
      <c r="B673" s="135" t="str">
        <f t="array" ref="B673">IF(A673="","",VLOOKUP(A673,INDIRECT("CXC!A2:B"&amp;COUNTA(CXC!A:A)),2,FALSE))</f>
        <v/>
      </c>
      <c r="C673" s="136" t="str">
        <f t="array" ref="C673">IF(A673="","",VLOOKUP(A673,INDIRECT("CXC!A2:C"&amp;COUNTA(CXC!A:A)),3,FALSE))</f>
        <v/>
      </c>
      <c r="D673" s="137" t="str">
        <f t="array" ref="D673">IF(A673="","",VLOOKUP(A673,INDIRECT("CXC!A2:H"&amp;COUNTA(CXC!A:A)),8,FALSE))</f>
        <v/>
      </c>
      <c r="E673" s="137" t="str">
        <f t="array" ref="E673">IFERROR(IF(A673="","",VLOOKUP(A673,INDIRECT("HISTÓRICO COBROS!A3:E"&amp;COUNTA('HISTÓRICO COBROS'!A:A)),5,FALSE)),"")</f>
        <v/>
      </c>
      <c r="F673" s="137" t="str">
        <f t="array" ref="F673">IF(A673="","",VLOOKUP(A673,INDIRECT("CXC!A2:I"&amp;COUNTA(CXC!A:A)),9,FALSE))</f>
        <v/>
      </c>
      <c r="G673" s="137" t="str">
        <f t="array" ref="G673">IFERROR(IF(A673="","",VLOOKUP(A673,INDIRECT("HISTÓRICO COBROS!A3:F"&amp;COUNTA('HISTÓRICO COBROS'!A:A)),6,FALSE)),"")</f>
        <v/>
      </c>
      <c r="H673" s="138" t="str">
        <f t="shared" ref="H673:I673" si="674">IF(D673="","",D673+F673)</f>
        <v/>
      </c>
      <c r="I673" s="135" t="str">
        <f t="shared" si="674"/>
        <v/>
      </c>
      <c r="J673" s="140" t="str">
        <f t="shared" si="3"/>
        <v/>
      </c>
      <c r="K673" s="140" t="str">
        <f t="shared" si="4"/>
        <v/>
      </c>
    </row>
    <row r="674" ht="22.5" customHeight="1">
      <c r="A674" s="140"/>
      <c r="B674" s="135" t="str">
        <f t="array" ref="B674">IF(A674="","",VLOOKUP(A674,INDIRECT("CXC!A2:B"&amp;COUNTA(CXC!A:A)),2,FALSE))</f>
        <v/>
      </c>
      <c r="C674" s="136" t="str">
        <f t="array" ref="C674">IF(A674="","",VLOOKUP(A674,INDIRECT("CXC!A2:C"&amp;COUNTA(CXC!A:A)),3,FALSE))</f>
        <v/>
      </c>
      <c r="D674" s="137" t="str">
        <f t="array" ref="D674">IF(A674="","",VLOOKUP(A674,INDIRECT("CXC!A2:H"&amp;COUNTA(CXC!A:A)),8,FALSE))</f>
        <v/>
      </c>
      <c r="E674" s="137" t="str">
        <f t="array" ref="E674">IFERROR(IF(A674="","",VLOOKUP(A674,INDIRECT("HISTÓRICO COBROS!A3:E"&amp;COUNTA('HISTÓRICO COBROS'!A:A)),5,FALSE)),"")</f>
        <v/>
      </c>
      <c r="F674" s="137" t="str">
        <f t="array" ref="F674">IF(A674="","",VLOOKUP(A674,INDIRECT("CXC!A2:I"&amp;COUNTA(CXC!A:A)),9,FALSE))</f>
        <v/>
      </c>
      <c r="G674" s="137" t="str">
        <f t="array" ref="G674">IFERROR(IF(A674="","",VLOOKUP(A674,INDIRECT("HISTÓRICO COBROS!A3:F"&amp;COUNTA('HISTÓRICO COBROS'!A:A)),6,FALSE)),"")</f>
        <v/>
      </c>
      <c r="H674" s="138" t="str">
        <f t="shared" ref="H674:I674" si="675">IF(D674="","",D674+F674)</f>
        <v/>
      </c>
      <c r="I674" s="135" t="str">
        <f t="shared" si="675"/>
        <v/>
      </c>
      <c r="J674" s="140" t="str">
        <f t="shared" si="3"/>
        <v/>
      </c>
      <c r="K674" s="140" t="str">
        <f t="shared" si="4"/>
        <v/>
      </c>
    </row>
    <row r="675" ht="22.5" customHeight="1">
      <c r="A675" s="140"/>
      <c r="B675" s="135" t="str">
        <f t="array" ref="B675">IF(A675="","",VLOOKUP(A675,INDIRECT("CXC!A2:B"&amp;COUNTA(CXC!A:A)),2,FALSE))</f>
        <v/>
      </c>
      <c r="C675" s="136" t="str">
        <f t="array" ref="C675">IF(A675="","",VLOOKUP(A675,INDIRECT("CXC!A2:C"&amp;COUNTA(CXC!A:A)),3,FALSE))</f>
        <v/>
      </c>
      <c r="D675" s="137" t="str">
        <f t="array" ref="D675">IF(A675="","",VLOOKUP(A675,INDIRECT("CXC!A2:H"&amp;COUNTA(CXC!A:A)),8,FALSE))</f>
        <v/>
      </c>
      <c r="E675" s="137" t="str">
        <f t="array" ref="E675">IFERROR(IF(A675="","",VLOOKUP(A675,INDIRECT("HISTÓRICO COBROS!A3:E"&amp;COUNTA('HISTÓRICO COBROS'!A:A)),5,FALSE)),"")</f>
        <v/>
      </c>
      <c r="F675" s="137" t="str">
        <f t="array" ref="F675">IF(A675="","",VLOOKUP(A675,INDIRECT("CXC!A2:I"&amp;COUNTA(CXC!A:A)),9,FALSE))</f>
        <v/>
      </c>
      <c r="G675" s="137" t="str">
        <f t="array" ref="G675">IFERROR(IF(A675="","",VLOOKUP(A675,INDIRECT("HISTÓRICO COBROS!A3:F"&amp;COUNTA('HISTÓRICO COBROS'!A:A)),6,FALSE)),"")</f>
        <v/>
      </c>
      <c r="H675" s="138" t="str">
        <f t="shared" ref="H675:I675" si="676">IF(D675="","",D675+F675)</f>
        <v/>
      </c>
      <c r="I675" s="135" t="str">
        <f t="shared" si="676"/>
        <v/>
      </c>
      <c r="J675" s="140" t="str">
        <f t="shared" si="3"/>
        <v/>
      </c>
      <c r="K675" s="140" t="str">
        <f t="shared" si="4"/>
        <v/>
      </c>
    </row>
    <row r="676" ht="22.5" customHeight="1">
      <c r="A676" s="140"/>
      <c r="B676" s="135" t="str">
        <f t="array" ref="B676">IF(A676="","",VLOOKUP(A676,INDIRECT("CXC!A2:B"&amp;COUNTA(CXC!A:A)),2,FALSE))</f>
        <v/>
      </c>
      <c r="C676" s="136" t="str">
        <f t="array" ref="C676">IF(A676="","",VLOOKUP(A676,INDIRECT("CXC!A2:C"&amp;COUNTA(CXC!A:A)),3,FALSE))</f>
        <v/>
      </c>
      <c r="D676" s="137" t="str">
        <f t="array" ref="D676">IF(A676="","",VLOOKUP(A676,INDIRECT("CXC!A2:H"&amp;COUNTA(CXC!A:A)),8,FALSE))</f>
        <v/>
      </c>
      <c r="E676" s="137" t="str">
        <f t="array" ref="E676">IFERROR(IF(A676="","",VLOOKUP(A676,INDIRECT("HISTÓRICO COBROS!A3:E"&amp;COUNTA('HISTÓRICO COBROS'!A:A)),5,FALSE)),"")</f>
        <v/>
      </c>
      <c r="F676" s="137" t="str">
        <f t="array" ref="F676">IF(A676="","",VLOOKUP(A676,INDIRECT("CXC!A2:I"&amp;COUNTA(CXC!A:A)),9,FALSE))</f>
        <v/>
      </c>
      <c r="G676" s="137" t="str">
        <f t="array" ref="G676">IFERROR(IF(A676="","",VLOOKUP(A676,INDIRECT("HISTÓRICO COBROS!A3:F"&amp;COUNTA('HISTÓRICO COBROS'!A:A)),6,FALSE)),"")</f>
        <v/>
      </c>
      <c r="H676" s="138" t="str">
        <f t="shared" ref="H676:I676" si="677">IF(D676="","",D676+F676)</f>
        <v/>
      </c>
      <c r="I676" s="135" t="str">
        <f t="shared" si="677"/>
        <v/>
      </c>
      <c r="J676" s="140" t="str">
        <f t="shared" si="3"/>
        <v/>
      </c>
      <c r="K676" s="140" t="str">
        <f t="shared" si="4"/>
        <v/>
      </c>
    </row>
    <row r="677" ht="22.5" customHeight="1">
      <c r="A677" s="140"/>
      <c r="B677" s="135" t="str">
        <f t="array" ref="B677">IF(A677="","",VLOOKUP(A677,INDIRECT("CXC!A2:B"&amp;COUNTA(CXC!A:A)),2,FALSE))</f>
        <v/>
      </c>
      <c r="C677" s="136" t="str">
        <f t="array" ref="C677">IF(A677="","",VLOOKUP(A677,INDIRECT("CXC!A2:C"&amp;COUNTA(CXC!A:A)),3,FALSE))</f>
        <v/>
      </c>
      <c r="D677" s="137" t="str">
        <f t="array" ref="D677">IF(A677="","",VLOOKUP(A677,INDIRECT("CXC!A2:H"&amp;COUNTA(CXC!A:A)),8,FALSE))</f>
        <v/>
      </c>
      <c r="E677" s="137" t="str">
        <f t="array" ref="E677">IFERROR(IF(A677="","",VLOOKUP(A677,INDIRECT("HISTÓRICO COBROS!A3:E"&amp;COUNTA('HISTÓRICO COBROS'!A:A)),5,FALSE)),"")</f>
        <v/>
      </c>
      <c r="F677" s="137" t="str">
        <f t="array" ref="F677">IF(A677="","",VLOOKUP(A677,INDIRECT("CXC!A2:I"&amp;COUNTA(CXC!A:A)),9,FALSE))</f>
        <v/>
      </c>
      <c r="G677" s="137" t="str">
        <f t="array" ref="G677">IFERROR(IF(A677="","",VLOOKUP(A677,INDIRECT("HISTÓRICO COBROS!A3:F"&amp;COUNTA('HISTÓRICO COBROS'!A:A)),6,FALSE)),"")</f>
        <v/>
      </c>
      <c r="H677" s="138" t="str">
        <f t="shared" ref="H677:I677" si="678">IF(D677="","",D677+F677)</f>
        <v/>
      </c>
      <c r="I677" s="135" t="str">
        <f t="shared" si="678"/>
        <v/>
      </c>
      <c r="J677" s="140" t="str">
        <f t="shared" si="3"/>
        <v/>
      </c>
      <c r="K677" s="140" t="str">
        <f t="shared" si="4"/>
        <v/>
      </c>
    </row>
    <row r="678" ht="22.5" customHeight="1">
      <c r="A678" s="140"/>
      <c r="B678" s="135" t="str">
        <f t="array" ref="B678">IF(A678="","",VLOOKUP(A678,INDIRECT("CXC!A2:B"&amp;COUNTA(CXC!A:A)),2,FALSE))</f>
        <v/>
      </c>
      <c r="C678" s="136" t="str">
        <f t="array" ref="C678">IF(A678="","",VLOOKUP(A678,INDIRECT("CXC!A2:C"&amp;COUNTA(CXC!A:A)),3,FALSE))</f>
        <v/>
      </c>
      <c r="D678" s="137" t="str">
        <f t="array" ref="D678">IF(A678="","",VLOOKUP(A678,INDIRECT("CXC!A2:H"&amp;COUNTA(CXC!A:A)),8,FALSE))</f>
        <v/>
      </c>
      <c r="E678" s="137" t="str">
        <f t="array" ref="E678">IFERROR(IF(A678="","",VLOOKUP(A678,INDIRECT("HISTÓRICO COBROS!A3:E"&amp;COUNTA('HISTÓRICO COBROS'!A:A)),5,FALSE)),"")</f>
        <v/>
      </c>
      <c r="F678" s="137" t="str">
        <f t="array" ref="F678">IF(A678="","",VLOOKUP(A678,INDIRECT("CXC!A2:I"&amp;COUNTA(CXC!A:A)),9,FALSE))</f>
        <v/>
      </c>
      <c r="G678" s="137" t="str">
        <f t="array" ref="G678">IFERROR(IF(A678="","",VLOOKUP(A678,INDIRECT("HISTÓRICO COBROS!A3:F"&amp;COUNTA('HISTÓRICO COBROS'!A:A)),6,FALSE)),"")</f>
        <v/>
      </c>
      <c r="H678" s="138" t="str">
        <f t="shared" ref="H678:I678" si="679">IF(D678="","",D678+F678)</f>
        <v/>
      </c>
      <c r="I678" s="135" t="str">
        <f t="shared" si="679"/>
        <v/>
      </c>
      <c r="J678" s="140" t="str">
        <f t="shared" si="3"/>
        <v/>
      </c>
      <c r="K678" s="140" t="str">
        <f t="shared" si="4"/>
        <v/>
      </c>
    </row>
    <row r="679" ht="22.5" customHeight="1">
      <c r="A679" s="140"/>
      <c r="B679" s="135" t="str">
        <f t="array" ref="B679">IF(A679="","",VLOOKUP(A679,INDIRECT("CXC!A2:B"&amp;COUNTA(CXC!A:A)),2,FALSE))</f>
        <v/>
      </c>
      <c r="C679" s="136" t="str">
        <f t="array" ref="C679">IF(A679="","",VLOOKUP(A679,INDIRECT("CXC!A2:C"&amp;COUNTA(CXC!A:A)),3,FALSE))</f>
        <v/>
      </c>
      <c r="D679" s="137" t="str">
        <f t="array" ref="D679">IF(A679="","",VLOOKUP(A679,INDIRECT("CXC!A2:H"&amp;COUNTA(CXC!A:A)),8,FALSE))</f>
        <v/>
      </c>
      <c r="E679" s="137" t="str">
        <f t="array" ref="E679">IFERROR(IF(A679="","",VLOOKUP(A679,INDIRECT("HISTÓRICO COBROS!A3:E"&amp;COUNTA('HISTÓRICO COBROS'!A:A)),5,FALSE)),"")</f>
        <v/>
      </c>
      <c r="F679" s="137" t="str">
        <f t="array" ref="F679">IF(A679="","",VLOOKUP(A679,INDIRECT("CXC!A2:I"&amp;COUNTA(CXC!A:A)),9,FALSE))</f>
        <v/>
      </c>
      <c r="G679" s="137" t="str">
        <f t="array" ref="G679">IFERROR(IF(A679="","",VLOOKUP(A679,INDIRECT("HISTÓRICO COBROS!A3:F"&amp;COUNTA('HISTÓRICO COBROS'!A:A)),6,FALSE)),"")</f>
        <v/>
      </c>
      <c r="H679" s="138" t="str">
        <f t="shared" ref="H679:I679" si="680">IF(D679="","",D679+F679)</f>
        <v/>
      </c>
      <c r="I679" s="135" t="str">
        <f t="shared" si="680"/>
        <v/>
      </c>
      <c r="J679" s="140" t="str">
        <f t="shared" si="3"/>
        <v/>
      </c>
      <c r="K679" s="140" t="str">
        <f t="shared" si="4"/>
        <v/>
      </c>
    </row>
    <row r="680" ht="22.5" customHeight="1">
      <c r="A680" s="140"/>
      <c r="B680" s="135" t="str">
        <f t="array" ref="B680">IF(A680="","",VLOOKUP(A680,INDIRECT("CXC!A2:B"&amp;COUNTA(CXC!A:A)),2,FALSE))</f>
        <v/>
      </c>
      <c r="C680" s="136" t="str">
        <f t="array" ref="C680">IF(A680="","",VLOOKUP(A680,INDIRECT("CXC!A2:C"&amp;COUNTA(CXC!A:A)),3,FALSE))</f>
        <v/>
      </c>
      <c r="D680" s="137" t="str">
        <f t="array" ref="D680">IF(A680="","",VLOOKUP(A680,INDIRECT("CXC!A2:H"&amp;COUNTA(CXC!A:A)),8,FALSE))</f>
        <v/>
      </c>
      <c r="E680" s="137" t="str">
        <f t="array" ref="E680">IFERROR(IF(A680="","",VLOOKUP(A680,INDIRECT("HISTÓRICO COBROS!A3:E"&amp;COUNTA('HISTÓRICO COBROS'!A:A)),5,FALSE)),"")</f>
        <v/>
      </c>
      <c r="F680" s="137" t="str">
        <f t="array" ref="F680">IF(A680="","",VLOOKUP(A680,INDIRECT("CXC!A2:I"&amp;COUNTA(CXC!A:A)),9,FALSE))</f>
        <v/>
      </c>
      <c r="G680" s="137" t="str">
        <f t="array" ref="G680">IFERROR(IF(A680="","",VLOOKUP(A680,INDIRECT("HISTÓRICO COBROS!A3:F"&amp;COUNTA('HISTÓRICO COBROS'!A:A)),6,FALSE)),"")</f>
        <v/>
      </c>
      <c r="H680" s="138" t="str">
        <f t="shared" ref="H680:I680" si="681">IF(D680="","",D680+F680)</f>
        <v/>
      </c>
      <c r="I680" s="135" t="str">
        <f t="shared" si="681"/>
        <v/>
      </c>
      <c r="J680" s="140" t="str">
        <f t="shared" si="3"/>
        <v/>
      </c>
      <c r="K680" s="140" t="str">
        <f t="shared" si="4"/>
        <v/>
      </c>
    </row>
    <row r="681" ht="22.5" customHeight="1">
      <c r="A681" s="140"/>
      <c r="B681" s="135" t="str">
        <f t="array" ref="B681">IF(A681="","",VLOOKUP(A681,INDIRECT("CXC!A2:B"&amp;COUNTA(CXC!A:A)),2,FALSE))</f>
        <v/>
      </c>
      <c r="C681" s="136" t="str">
        <f t="array" ref="C681">IF(A681="","",VLOOKUP(A681,INDIRECT("CXC!A2:C"&amp;COUNTA(CXC!A:A)),3,FALSE))</f>
        <v/>
      </c>
      <c r="D681" s="137" t="str">
        <f t="array" ref="D681">IF(A681="","",VLOOKUP(A681,INDIRECT("CXC!A2:H"&amp;COUNTA(CXC!A:A)),8,FALSE))</f>
        <v/>
      </c>
      <c r="E681" s="137" t="str">
        <f t="array" ref="E681">IFERROR(IF(A681="","",VLOOKUP(A681,INDIRECT("HISTÓRICO COBROS!A3:E"&amp;COUNTA('HISTÓRICO COBROS'!A:A)),5,FALSE)),"")</f>
        <v/>
      </c>
      <c r="F681" s="137" t="str">
        <f t="array" ref="F681">IF(A681="","",VLOOKUP(A681,INDIRECT("CXC!A2:I"&amp;COUNTA(CXC!A:A)),9,FALSE))</f>
        <v/>
      </c>
      <c r="G681" s="137" t="str">
        <f t="array" ref="G681">IFERROR(IF(A681="","",VLOOKUP(A681,INDIRECT("HISTÓRICO COBROS!A3:F"&amp;COUNTA('HISTÓRICO COBROS'!A:A)),6,FALSE)),"")</f>
        <v/>
      </c>
      <c r="H681" s="138" t="str">
        <f t="shared" ref="H681:I681" si="682">IF(D681="","",D681+F681)</f>
        <v/>
      </c>
      <c r="I681" s="135" t="str">
        <f t="shared" si="682"/>
        <v/>
      </c>
      <c r="J681" s="140" t="str">
        <f t="shared" si="3"/>
        <v/>
      </c>
      <c r="K681" s="140" t="str">
        <f t="shared" si="4"/>
        <v/>
      </c>
    </row>
    <row r="682" ht="22.5" customHeight="1">
      <c r="A682" s="140"/>
      <c r="B682" s="135" t="str">
        <f t="array" ref="B682">IF(A682="","",VLOOKUP(A682,INDIRECT("CXC!A2:B"&amp;COUNTA(CXC!A:A)),2,FALSE))</f>
        <v/>
      </c>
      <c r="C682" s="136" t="str">
        <f t="array" ref="C682">IF(A682="","",VLOOKUP(A682,INDIRECT("CXC!A2:C"&amp;COUNTA(CXC!A:A)),3,FALSE))</f>
        <v/>
      </c>
      <c r="D682" s="137" t="str">
        <f t="array" ref="D682">IF(A682="","",VLOOKUP(A682,INDIRECT("CXC!A2:H"&amp;COUNTA(CXC!A:A)),8,FALSE))</f>
        <v/>
      </c>
      <c r="E682" s="137" t="str">
        <f t="array" ref="E682">IFERROR(IF(A682="","",VLOOKUP(A682,INDIRECT("HISTÓRICO COBROS!A3:E"&amp;COUNTA('HISTÓRICO COBROS'!A:A)),5,FALSE)),"")</f>
        <v/>
      </c>
      <c r="F682" s="137" t="str">
        <f t="array" ref="F682">IF(A682="","",VLOOKUP(A682,INDIRECT("CXC!A2:I"&amp;COUNTA(CXC!A:A)),9,FALSE))</f>
        <v/>
      </c>
      <c r="G682" s="137" t="str">
        <f t="array" ref="G682">IFERROR(IF(A682="","",VLOOKUP(A682,INDIRECT("HISTÓRICO COBROS!A3:F"&amp;COUNTA('HISTÓRICO COBROS'!A:A)),6,FALSE)),"")</f>
        <v/>
      </c>
      <c r="H682" s="138" t="str">
        <f t="shared" ref="H682:I682" si="683">IF(D682="","",D682+F682)</f>
        <v/>
      </c>
      <c r="I682" s="135" t="str">
        <f t="shared" si="683"/>
        <v/>
      </c>
      <c r="J682" s="140" t="str">
        <f t="shared" si="3"/>
        <v/>
      </c>
      <c r="K682" s="140" t="str">
        <f t="shared" si="4"/>
        <v/>
      </c>
    </row>
    <row r="683" ht="22.5" customHeight="1">
      <c r="A683" s="140"/>
      <c r="B683" s="135" t="str">
        <f t="array" ref="B683">IF(A683="","",VLOOKUP(A683,INDIRECT("CXC!A2:B"&amp;COUNTA(CXC!A:A)),2,FALSE))</f>
        <v/>
      </c>
      <c r="C683" s="136" t="str">
        <f t="array" ref="C683">IF(A683="","",VLOOKUP(A683,INDIRECT("CXC!A2:C"&amp;COUNTA(CXC!A:A)),3,FALSE))</f>
        <v/>
      </c>
      <c r="D683" s="137" t="str">
        <f t="array" ref="D683">IF(A683="","",VLOOKUP(A683,INDIRECT("CXC!A2:H"&amp;COUNTA(CXC!A:A)),8,FALSE))</f>
        <v/>
      </c>
      <c r="E683" s="137" t="str">
        <f t="array" ref="E683">IFERROR(IF(A683="","",VLOOKUP(A683,INDIRECT("HISTÓRICO COBROS!A3:E"&amp;COUNTA('HISTÓRICO COBROS'!A:A)),5,FALSE)),"")</f>
        <v/>
      </c>
      <c r="F683" s="137" t="str">
        <f t="array" ref="F683">IF(A683="","",VLOOKUP(A683,INDIRECT("CXC!A2:I"&amp;COUNTA(CXC!A:A)),9,FALSE))</f>
        <v/>
      </c>
      <c r="G683" s="137" t="str">
        <f t="array" ref="G683">IFERROR(IF(A683="","",VLOOKUP(A683,INDIRECT("HISTÓRICO COBROS!A3:F"&amp;COUNTA('HISTÓRICO COBROS'!A:A)),6,FALSE)),"")</f>
        <v/>
      </c>
      <c r="H683" s="138" t="str">
        <f t="shared" ref="H683:I683" si="684">IF(D683="","",D683+F683)</f>
        <v/>
      </c>
      <c r="I683" s="135" t="str">
        <f t="shared" si="684"/>
        <v/>
      </c>
      <c r="J683" s="140" t="str">
        <f t="shared" si="3"/>
        <v/>
      </c>
      <c r="K683" s="140" t="str">
        <f t="shared" si="4"/>
        <v/>
      </c>
    </row>
    <row r="684" ht="22.5" customHeight="1">
      <c r="A684" s="140"/>
      <c r="B684" s="135" t="str">
        <f t="array" ref="B684">IF(A684="","",VLOOKUP(A684,INDIRECT("CXC!A2:B"&amp;COUNTA(CXC!A:A)),2,FALSE))</f>
        <v/>
      </c>
      <c r="C684" s="136" t="str">
        <f t="array" ref="C684">IF(A684="","",VLOOKUP(A684,INDIRECT("CXC!A2:C"&amp;COUNTA(CXC!A:A)),3,FALSE))</f>
        <v/>
      </c>
      <c r="D684" s="137" t="str">
        <f t="array" ref="D684">IF(A684="","",VLOOKUP(A684,INDIRECT("CXC!A2:H"&amp;COUNTA(CXC!A:A)),8,FALSE))</f>
        <v/>
      </c>
      <c r="E684" s="137" t="str">
        <f t="array" ref="E684">IFERROR(IF(A684="","",VLOOKUP(A684,INDIRECT("HISTÓRICO COBROS!A3:E"&amp;COUNTA('HISTÓRICO COBROS'!A:A)),5,FALSE)),"")</f>
        <v/>
      </c>
      <c r="F684" s="137" t="str">
        <f t="array" ref="F684">IF(A684="","",VLOOKUP(A684,INDIRECT("CXC!A2:I"&amp;COUNTA(CXC!A:A)),9,FALSE))</f>
        <v/>
      </c>
      <c r="G684" s="137" t="str">
        <f t="array" ref="G684">IFERROR(IF(A684="","",VLOOKUP(A684,INDIRECT("HISTÓRICO COBROS!A3:F"&amp;COUNTA('HISTÓRICO COBROS'!A:A)),6,FALSE)),"")</f>
        <v/>
      </c>
      <c r="H684" s="138" t="str">
        <f t="shared" ref="H684:I684" si="685">IF(D684="","",D684+F684)</f>
        <v/>
      </c>
      <c r="I684" s="135" t="str">
        <f t="shared" si="685"/>
        <v/>
      </c>
      <c r="J684" s="140" t="str">
        <f t="shared" si="3"/>
        <v/>
      </c>
      <c r="K684" s="140" t="str">
        <f t="shared" si="4"/>
        <v/>
      </c>
    </row>
    <row r="685" ht="22.5" customHeight="1">
      <c r="A685" s="140"/>
      <c r="B685" s="135" t="str">
        <f t="array" ref="B685">IF(A685="","",VLOOKUP(A685,INDIRECT("CXC!A2:B"&amp;COUNTA(CXC!A:A)),2,FALSE))</f>
        <v/>
      </c>
      <c r="C685" s="136" t="str">
        <f t="array" ref="C685">IF(A685="","",VLOOKUP(A685,INDIRECT("CXC!A2:C"&amp;COUNTA(CXC!A:A)),3,FALSE))</f>
        <v/>
      </c>
      <c r="D685" s="137" t="str">
        <f t="array" ref="D685">IF(A685="","",VLOOKUP(A685,INDIRECT("CXC!A2:H"&amp;COUNTA(CXC!A:A)),8,FALSE))</f>
        <v/>
      </c>
      <c r="E685" s="137" t="str">
        <f t="array" ref="E685">IFERROR(IF(A685="","",VLOOKUP(A685,INDIRECT("HISTÓRICO COBROS!A3:E"&amp;COUNTA('HISTÓRICO COBROS'!A:A)),5,FALSE)),"")</f>
        <v/>
      </c>
      <c r="F685" s="137" t="str">
        <f t="array" ref="F685">IF(A685="","",VLOOKUP(A685,INDIRECT("CXC!A2:I"&amp;COUNTA(CXC!A:A)),9,FALSE))</f>
        <v/>
      </c>
      <c r="G685" s="137" t="str">
        <f t="array" ref="G685">IFERROR(IF(A685="","",VLOOKUP(A685,INDIRECT("HISTÓRICO COBROS!A3:F"&amp;COUNTA('HISTÓRICO COBROS'!A:A)),6,FALSE)),"")</f>
        <v/>
      </c>
      <c r="H685" s="138" t="str">
        <f t="shared" ref="H685:I685" si="686">IF(D685="","",D685+F685)</f>
        <v/>
      </c>
      <c r="I685" s="135" t="str">
        <f t="shared" si="686"/>
        <v/>
      </c>
      <c r="J685" s="140" t="str">
        <f t="shared" si="3"/>
        <v/>
      </c>
      <c r="K685" s="140" t="str">
        <f t="shared" si="4"/>
        <v/>
      </c>
    </row>
    <row r="686" ht="22.5" customHeight="1">
      <c r="A686" s="140"/>
      <c r="B686" s="135" t="str">
        <f t="array" ref="B686">IF(A686="","",VLOOKUP(A686,INDIRECT("CXC!A2:B"&amp;COUNTA(CXC!A:A)),2,FALSE))</f>
        <v/>
      </c>
      <c r="C686" s="136" t="str">
        <f t="array" ref="C686">IF(A686="","",VLOOKUP(A686,INDIRECT("CXC!A2:C"&amp;COUNTA(CXC!A:A)),3,FALSE))</f>
        <v/>
      </c>
      <c r="D686" s="137" t="str">
        <f t="array" ref="D686">IF(A686="","",VLOOKUP(A686,INDIRECT("CXC!A2:H"&amp;COUNTA(CXC!A:A)),8,FALSE))</f>
        <v/>
      </c>
      <c r="E686" s="137" t="str">
        <f t="array" ref="E686">IFERROR(IF(A686="","",VLOOKUP(A686,INDIRECT("HISTÓRICO COBROS!A3:E"&amp;COUNTA('HISTÓRICO COBROS'!A:A)),5,FALSE)),"")</f>
        <v/>
      </c>
      <c r="F686" s="137" t="str">
        <f t="array" ref="F686">IF(A686="","",VLOOKUP(A686,INDIRECT("CXC!A2:I"&amp;COUNTA(CXC!A:A)),9,FALSE))</f>
        <v/>
      </c>
      <c r="G686" s="137" t="str">
        <f t="array" ref="G686">IFERROR(IF(A686="","",VLOOKUP(A686,INDIRECT("HISTÓRICO COBROS!A3:F"&amp;COUNTA('HISTÓRICO COBROS'!A:A)),6,FALSE)),"")</f>
        <v/>
      </c>
      <c r="H686" s="138" t="str">
        <f t="shared" ref="H686:I686" si="687">IF(D686="","",D686+F686)</f>
        <v/>
      </c>
      <c r="I686" s="135" t="str">
        <f t="shared" si="687"/>
        <v/>
      </c>
      <c r="J686" s="140" t="str">
        <f t="shared" si="3"/>
        <v/>
      </c>
      <c r="K686" s="140" t="str">
        <f t="shared" si="4"/>
        <v/>
      </c>
    </row>
    <row r="687" ht="22.5" customHeight="1">
      <c r="A687" s="140"/>
      <c r="B687" s="135" t="str">
        <f t="array" ref="B687">IF(A687="","",VLOOKUP(A687,INDIRECT("CXC!A2:B"&amp;COUNTA(CXC!A:A)),2,FALSE))</f>
        <v/>
      </c>
      <c r="C687" s="136" t="str">
        <f t="array" ref="C687">IF(A687="","",VLOOKUP(A687,INDIRECT("CXC!A2:C"&amp;COUNTA(CXC!A:A)),3,FALSE))</f>
        <v/>
      </c>
      <c r="D687" s="137" t="str">
        <f t="array" ref="D687">IF(A687="","",VLOOKUP(A687,INDIRECT("CXC!A2:H"&amp;COUNTA(CXC!A:A)),8,FALSE))</f>
        <v/>
      </c>
      <c r="E687" s="137" t="str">
        <f t="array" ref="E687">IFERROR(IF(A687="","",VLOOKUP(A687,INDIRECT("HISTÓRICO COBROS!A3:E"&amp;COUNTA('HISTÓRICO COBROS'!A:A)),5,FALSE)),"")</f>
        <v/>
      </c>
      <c r="F687" s="137" t="str">
        <f t="array" ref="F687">IF(A687="","",VLOOKUP(A687,INDIRECT("CXC!A2:I"&amp;COUNTA(CXC!A:A)),9,FALSE))</f>
        <v/>
      </c>
      <c r="G687" s="137" t="str">
        <f t="array" ref="G687">IFERROR(IF(A687="","",VLOOKUP(A687,INDIRECT("HISTÓRICO COBROS!A3:F"&amp;COUNTA('HISTÓRICO COBROS'!A:A)),6,FALSE)),"")</f>
        <v/>
      </c>
      <c r="H687" s="138" t="str">
        <f t="shared" ref="H687:I687" si="688">IF(D687="","",D687+F687)</f>
        <v/>
      </c>
      <c r="I687" s="135" t="str">
        <f t="shared" si="688"/>
        <v/>
      </c>
      <c r="J687" s="140" t="str">
        <f t="shared" si="3"/>
        <v/>
      </c>
      <c r="K687" s="140" t="str">
        <f t="shared" si="4"/>
        <v/>
      </c>
    </row>
    <row r="688" ht="22.5" customHeight="1">
      <c r="A688" s="140"/>
      <c r="B688" s="135" t="str">
        <f t="array" ref="B688">IF(A688="","",VLOOKUP(A688,INDIRECT("CXC!A2:B"&amp;COUNTA(CXC!A:A)),2,FALSE))</f>
        <v/>
      </c>
      <c r="C688" s="136" t="str">
        <f t="array" ref="C688">IF(A688="","",VLOOKUP(A688,INDIRECT("CXC!A2:C"&amp;COUNTA(CXC!A:A)),3,FALSE))</f>
        <v/>
      </c>
      <c r="D688" s="137" t="str">
        <f t="array" ref="D688">IF(A688="","",VLOOKUP(A688,INDIRECT("CXC!A2:H"&amp;COUNTA(CXC!A:A)),8,FALSE))</f>
        <v/>
      </c>
      <c r="E688" s="137" t="str">
        <f t="array" ref="E688">IFERROR(IF(A688="","",VLOOKUP(A688,INDIRECT("HISTÓRICO COBROS!A3:E"&amp;COUNTA('HISTÓRICO COBROS'!A:A)),5,FALSE)),"")</f>
        <v/>
      </c>
      <c r="F688" s="137" t="str">
        <f t="array" ref="F688">IF(A688="","",VLOOKUP(A688,INDIRECT("CXC!A2:I"&amp;COUNTA(CXC!A:A)),9,FALSE))</f>
        <v/>
      </c>
      <c r="G688" s="137" t="str">
        <f t="array" ref="G688">IFERROR(IF(A688="","",VLOOKUP(A688,INDIRECT("HISTÓRICO COBROS!A3:F"&amp;COUNTA('HISTÓRICO COBROS'!A:A)),6,FALSE)),"")</f>
        <v/>
      </c>
      <c r="H688" s="138" t="str">
        <f t="shared" ref="H688:I688" si="689">IF(D688="","",D688+F688)</f>
        <v/>
      </c>
      <c r="I688" s="135" t="str">
        <f t="shared" si="689"/>
        <v/>
      </c>
      <c r="J688" s="140" t="str">
        <f t="shared" si="3"/>
        <v/>
      </c>
      <c r="K688" s="140" t="str">
        <f t="shared" si="4"/>
        <v/>
      </c>
    </row>
    <row r="689" ht="22.5" customHeight="1">
      <c r="A689" s="140"/>
      <c r="B689" s="135" t="str">
        <f t="array" ref="B689">IF(A689="","",VLOOKUP(A689,INDIRECT("CXC!A2:B"&amp;COUNTA(CXC!A:A)),2,FALSE))</f>
        <v/>
      </c>
      <c r="C689" s="136" t="str">
        <f t="array" ref="C689">IF(A689="","",VLOOKUP(A689,INDIRECT("CXC!A2:C"&amp;COUNTA(CXC!A:A)),3,FALSE))</f>
        <v/>
      </c>
      <c r="D689" s="137" t="str">
        <f t="array" ref="D689">IF(A689="","",VLOOKUP(A689,INDIRECT("CXC!A2:H"&amp;COUNTA(CXC!A:A)),8,FALSE))</f>
        <v/>
      </c>
      <c r="E689" s="137" t="str">
        <f t="array" ref="E689">IFERROR(IF(A689="","",VLOOKUP(A689,INDIRECT("HISTÓRICO COBROS!A3:E"&amp;COUNTA('HISTÓRICO COBROS'!A:A)),5,FALSE)),"")</f>
        <v/>
      </c>
      <c r="F689" s="137" t="str">
        <f t="array" ref="F689">IF(A689="","",VLOOKUP(A689,INDIRECT("CXC!A2:I"&amp;COUNTA(CXC!A:A)),9,FALSE))</f>
        <v/>
      </c>
      <c r="G689" s="137" t="str">
        <f t="array" ref="G689">IFERROR(IF(A689="","",VLOOKUP(A689,INDIRECT("HISTÓRICO COBROS!A3:F"&amp;COUNTA('HISTÓRICO COBROS'!A:A)),6,FALSE)),"")</f>
        <v/>
      </c>
      <c r="H689" s="138" t="str">
        <f t="shared" ref="H689:I689" si="690">IF(D689="","",D689+F689)</f>
        <v/>
      </c>
      <c r="I689" s="135" t="str">
        <f t="shared" si="690"/>
        <v/>
      </c>
      <c r="J689" s="140" t="str">
        <f t="shared" si="3"/>
        <v/>
      </c>
      <c r="K689" s="140" t="str">
        <f t="shared" si="4"/>
        <v/>
      </c>
    </row>
    <row r="690" ht="22.5" customHeight="1">
      <c r="A690" s="140"/>
      <c r="B690" s="135" t="str">
        <f t="array" ref="B690">IF(A690="","",VLOOKUP(A690,INDIRECT("CXC!A2:B"&amp;COUNTA(CXC!A:A)),2,FALSE))</f>
        <v/>
      </c>
      <c r="C690" s="136" t="str">
        <f t="array" ref="C690">IF(A690="","",VLOOKUP(A690,INDIRECT("CXC!A2:C"&amp;COUNTA(CXC!A:A)),3,FALSE))</f>
        <v/>
      </c>
      <c r="D690" s="137" t="str">
        <f t="array" ref="D690">IF(A690="","",VLOOKUP(A690,INDIRECT("CXC!A2:H"&amp;COUNTA(CXC!A:A)),8,FALSE))</f>
        <v/>
      </c>
      <c r="E690" s="137" t="str">
        <f t="array" ref="E690">IFERROR(IF(A690="","",VLOOKUP(A690,INDIRECT("HISTÓRICO COBROS!A3:E"&amp;COUNTA('HISTÓRICO COBROS'!A:A)),5,FALSE)),"")</f>
        <v/>
      </c>
      <c r="F690" s="137" t="str">
        <f t="array" ref="F690">IF(A690="","",VLOOKUP(A690,INDIRECT("CXC!A2:I"&amp;COUNTA(CXC!A:A)),9,FALSE))</f>
        <v/>
      </c>
      <c r="G690" s="137" t="str">
        <f t="array" ref="G690">IFERROR(IF(A690="","",VLOOKUP(A690,INDIRECT("HISTÓRICO COBROS!A3:F"&amp;COUNTA('HISTÓRICO COBROS'!A:A)),6,FALSE)),"")</f>
        <v/>
      </c>
      <c r="H690" s="138" t="str">
        <f t="shared" ref="H690:I690" si="691">IF(D690="","",D690+F690)</f>
        <v/>
      </c>
      <c r="I690" s="135" t="str">
        <f t="shared" si="691"/>
        <v/>
      </c>
      <c r="J690" s="140" t="str">
        <f t="shared" si="3"/>
        <v/>
      </c>
      <c r="K690" s="140" t="str">
        <f t="shared" si="4"/>
        <v/>
      </c>
    </row>
    <row r="691" ht="22.5" customHeight="1">
      <c r="A691" s="140"/>
      <c r="B691" s="135" t="str">
        <f t="array" ref="B691">IF(A691="","",VLOOKUP(A691,INDIRECT("CXC!A2:B"&amp;COUNTA(CXC!A:A)),2,FALSE))</f>
        <v/>
      </c>
      <c r="C691" s="136" t="str">
        <f t="array" ref="C691">IF(A691="","",VLOOKUP(A691,INDIRECT("CXC!A2:C"&amp;COUNTA(CXC!A:A)),3,FALSE))</f>
        <v/>
      </c>
      <c r="D691" s="137" t="str">
        <f t="array" ref="D691">IF(A691="","",VLOOKUP(A691,INDIRECT("CXC!A2:H"&amp;COUNTA(CXC!A:A)),8,FALSE))</f>
        <v/>
      </c>
      <c r="E691" s="137" t="str">
        <f t="array" ref="E691">IFERROR(IF(A691="","",VLOOKUP(A691,INDIRECT("HISTÓRICO COBROS!A3:E"&amp;COUNTA('HISTÓRICO COBROS'!A:A)),5,FALSE)),"")</f>
        <v/>
      </c>
      <c r="F691" s="137" t="str">
        <f t="array" ref="F691">IF(A691="","",VLOOKUP(A691,INDIRECT("CXC!A2:I"&amp;COUNTA(CXC!A:A)),9,FALSE))</f>
        <v/>
      </c>
      <c r="G691" s="137" t="str">
        <f t="array" ref="G691">IFERROR(IF(A691="","",VLOOKUP(A691,INDIRECT("HISTÓRICO COBROS!A3:F"&amp;COUNTA('HISTÓRICO COBROS'!A:A)),6,FALSE)),"")</f>
        <v/>
      </c>
      <c r="H691" s="138" t="str">
        <f t="shared" ref="H691:I691" si="692">IF(D691="","",D691+F691)</f>
        <v/>
      </c>
      <c r="I691" s="135" t="str">
        <f t="shared" si="692"/>
        <v/>
      </c>
      <c r="J691" s="140" t="str">
        <f t="shared" si="3"/>
        <v/>
      </c>
      <c r="K691" s="140" t="str">
        <f t="shared" si="4"/>
        <v/>
      </c>
    </row>
    <row r="692" ht="22.5" customHeight="1">
      <c r="A692" s="140"/>
      <c r="B692" s="135" t="str">
        <f t="array" ref="B692">IF(A692="","",VLOOKUP(A692,INDIRECT("CXC!A2:B"&amp;COUNTA(CXC!A:A)),2,FALSE))</f>
        <v/>
      </c>
      <c r="C692" s="136" t="str">
        <f t="array" ref="C692">IF(A692="","",VLOOKUP(A692,INDIRECT("CXC!A2:C"&amp;COUNTA(CXC!A:A)),3,FALSE))</f>
        <v/>
      </c>
      <c r="D692" s="137" t="str">
        <f t="array" ref="D692">IF(A692="","",VLOOKUP(A692,INDIRECT("CXC!A2:H"&amp;COUNTA(CXC!A:A)),8,FALSE))</f>
        <v/>
      </c>
      <c r="E692" s="137" t="str">
        <f t="array" ref="E692">IFERROR(IF(A692="","",VLOOKUP(A692,INDIRECT("HISTÓRICO COBROS!A3:E"&amp;COUNTA('HISTÓRICO COBROS'!A:A)),5,FALSE)),"")</f>
        <v/>
      </c>
      <c r="F692" s="137" t="str">
        <f t="array" ref="F692">IF(A692="","",VLOOKUP(A692,INDIRECT("CXC!A2:I"&amp;COUNTA(CXC!A:A)),9,FALSE))</f>
        <v/>
      </c>
      <c r="G692" s="137" t="str">
        <f t="array" ref="G692">IFERROR(IF(A692="","",VLOOKUP(A692,INDIRECT("HISTÓRICO COBROS!A3:F"&amp;COUNTA('HISTÓRICO COBROS'!A:A)),6,FALSE)),"")</f>
        <v/>
      </c>
      <c r="H692" s="138" t="str">
        <f t="shared" ref="H692:I692" si="693">IF(D692="","",D692+F692)</f>
        <v/>
      </c>
      <c r="I692" s="135" t="str">
        <f t="shared" si="693"/>
        <v/>
      </c>
      <c r="J692" s="140" t="str">
        <f t="shared" si="3"/>
        <v/>
      </c>
      <c r="K692" s="140" t="str">
        <f t="shared" si="4"/>
        <v/>
      </c>
    </row>
    <row r="693" ht="22.5" customHeight="1">
      <c r="A693" s="140"/>
      <c r="B693" s="135" t="str">
        <f t="array" ref="B693">IF(A693="","",VLOOKUP(A693,INDIRECT("CXC!A2:B"&amp;COUNTA(CXC!A:A)),2,FALSE))</f>
        <v/>
      </c>
      <c r="C693" s="136" t="str">
        <f t="array" ref="C693">IF(A693="","",VLOOKUP(A693,INDIRECT("CXC!A2:C"&amp;COUNTA(CXC!A:A)),3,FALSE))</f>
        <v/>
      </c>
      <c r="D693" s="137" t="str">
        <f t="array" ref="D693">IF(A693="","",VLOOKUP(A693,INDIRECT("CXC!A2:H"&amp;COUNTA(CXC!A:A)),8,FALSE))</f>
        <v/>
      </c>
      <c r="E693" s="137" t="str">
        <f t="array" ref="E693">IFERROR(IF(A693="","",VLOOKUP(A693,INDIRECT("HISTÓRICO COBROS!A3:E"&amp;COUNTA('HISTÓRICO COBROS'!A:A)),5,FALSE)),"")</f>
        <v/>
      </c>
      <c r="F693" s="137" t="str">
        <f t="array" ref="F693">IF(A693="","",VLOOKUP(A693,INDIRECT("CXC!A2:I"&amp;COUNTA(CXC!A:A)),9,FALSE))</f>
        <v/>
      </c>
      <c r="G693" s="137" t="str">
        <f t="array" ref="G693">IFERROR(IF(A693="","",VLOOKUP(A693,INDIRECT("HISTÓRICO COBROS!A3:F"&amp;COUNTA('HISTÓRICO COBROS'!A:A)),6,FALSE)),"")</f>
        <v/>
      </c>
      <c r="H693" s="138" t="str">
        <f t="shared" ref="H693:I693" si="694">IF(D693="","",D693+F693)</f>
        <v/>
      </c>
      <c r="I693" s="135" t="str">
        <f t="shared" si="694"/>
        <v/>
      </c>
      <c r="J693" s="140" t="str">
        <f t="shared" si="3"/>
        <v/>
      </c>
      <c r="K693" s="140" t="str">
        <f t="shared" si="4"/>
        <v/>
      </c>
    </row>
    <row r="694" ht="22.5" customHeight="1">
      <c r="A694" s="140"/>
      <c r="B694" s="135" t="str">
        <f t="array" ref="B694">IF(A694="","",VLOOKUP(A694,INDIRECT("CXC!A2:B"&amp;COUNTA(CXC!A:A)),2,FALSE))</f>
        <v/>
      </c>
      <c r="C694" s="136" t="str">
        <f t="array" ref="C694">IF(A694="","",VLOOKUP(A694,INDIRECT("CXC!A2:C"&amp;COUNTA(CXC!A:A)),3,FALSE))</f>
        <v/>
      </c>
      <c r="D694" s="137" t="str">
        <f t="array" ref="D694">IF(A694="","",VLOOKUP(A694,INDIRECT("CXC!A2:H"&amp;COUNTA(CXC!A:A)),8,FALSE))</f>
        <v/>
      </c>
      <c r="E694" s="137" t="str">
        <f t="array" ref="E694">IFERROR(IF(A694="","",VLOOKUP(A694,INDIRECT("HISTÓRICO COBROS!A3:E"&amp;COUNTA('HISTÓRICO COBROS'!A:A)),5,FALSE)),"")</f>
        <v/>
      </c>
      <c r="F694" s="137" t="str">
        <f t="array" ref="F694">IF(A694="","",VLOOKUP(A694,INDIRECT("CXC!A2:I"&amp;COUNTA(CXC!A:A)),9,FALSE))</f>
        <v/>
      </c>
      <c r="G694" s="137" t="str">
        <f t="array" ref="G694">IFERROR(IF(A694="","",VLOOKUP(A694,INDIRECT("HISTÓRICO COBROS!A3:F"&amp;COUNTA('HISTÓRICO COBROS'!A:A)),6,FALSE)),"")</f>
        <v/>
      </c>
      <c r="H694" s="138" t="str">
        <f t="shared" ref="H694:I694" si="695">IF(D694="","",D694+F694)</f>
        <v/>
      </c>
      <c r="I694" s="135" t="str">
        <f t="shared" si="695"/>
        <v/>
      </c>
      <c r="J694" s="140" t="str">
        <f t="shared" si="3"/>
        <v/>
      </c>
      <c r="K694" s="140" t="str">
        <f t="shared" si="4"/>
        <v/>
      </c>
    </row>
    <row r="695" ht="22.5" customHeight="1">
      <c r="A695" s="140"/>
      <c r="B695" s="135" t="str">
        <f t="array" ref="B695">IF(A695="","",VLOOKUP(A695,INDIRECT("CXC!A2:B"&amp;COUNTA(CXC!A:A)),2,FALSE))</f>
        <v/>
      </c>
      <c r="C695" s="136" t="str">
        <f t="array" ref="C695">IF(A695="","",VLOOKUP(A695,INDIRECT("CXC!A2:C"&amp;COUNTA(CXC!A:A)),3,FALSE))</f>
        <v/>
      </c>
      <c r="D695" s="137" t="str">
        <f t="array" ref="D695">IF(A695="","",VLOOKUP(A695,INDIRECT("CXC!A2:H"&amp;COUNTA(CXC!A:A)),8,FALSE))</f>
        <v/>
      </c>
      <c r="E695" s="137" t="str">
        <f t="array" ref="E695">IFERROR(IF(A695="","",VLOOKUP(A695,INDIRECT("HISTÓRICO COBROS!A3:E"&amp;COUNTA('HISTÓRICO COBROS'!A:A)),5,FALSE)),"")</f>
        <v/>
      </c>
      <c r="F695" s="137" t="str">
        <f t="array" ref="F695">IF(A695="","",VLOOKUP(A695,INDIRECT("CXC!A2:I"&amp;COUNTA(CXC!A:A)),9,FALSE))</f>
        <v/>
      </c>
      <c r="G695" s="137" t="str">
        <f t="array" ref="G695">IFERROR(IF(A695="","",VLOOKUP(A695,INDIRECT("HISTÓRICO COBROS!A3:F"&amp;COUNTA('HISTÓRICO COBROS'!A:A)),6,FALSE)),"")</f>
        <v/>
      </c>
      <c r="H695" s="138" t="str">
        <f t="shared" ref="H695:I695" si="696">IF(D695="","",D695+F695)</f>
        <v/>
      </c>
      <c r="I695" s="135" t="str">
        <f t="shared" si="696"/>
        <v/>
      </c>
      <c r="J695" s="140" t="str">
        <f t="shared" si="3"/>
        <v/>
      </c>
      <c r="K695" s="140" t="str">
        <f t="shared" si="4"/>
        <v/>
      </c>
    </row>
    <row r="696" ht="22.5" customHeight="1">
      <c r="A696" s="140"/>
      <c r="B696" s="135" t="str">
        <f t="array" ref="B696">IF(A696="","",VLOOKUP(A696,INDIRECT("CXC!A2:B"&amp;COUNTA(CXC!A:A)),2,FALSE))</f>
        <v/>
      </c>
      <c r="C696" s="136" t="str">
        <f t="array" ref="C696">IF(A696="","",VLOOKUP(A696,INDIRECT("CXC!A2:C"&amp;COUNTA(CXC!A:A)),3,FALSE))</f>
        <v/>
      </c>
      <c r="D696" s="137" t="str">
        <f t="array" ref="D696">IF(A696="","",VLOOKUP(A696,INDIRECT("CXC!A2:H"&amp;COUNTA(CXC!A:A)),8,FALSE))</f>
        <v/>
      </c>
      <c r="E696" s="137" t="str">
        <f t="array" ref="E696">IFERROR(IF(A696="","",VLOOKUP(A696,INDIRECT("HISTÓRICO COBROS!A3:E"&amp;COUNTA('HISTÓRICO COBROS'!A:A)),5,FALSE)),"")</f>
        <v/>
      </c>
      <c r="F696" s="137" t="str">
        <f t="array" ref="F696">IF(A696="","",VLOOKUP(A696,INDIRECT("CXC!A2:I"&amp;COUNTA(CXC!A:A)),9,FALSE))</f>
        <v/>
      </c>
      <c r="G696" s="137" t="str">
        <f t="array" ref="G696">IFERROR(IF(A696="","",VLOOKUP(A696,INDIRECT("HISTÓRICO COBROS!A3:F"&amp;COUNTA('HISTÓRICO COBROS'!A:A)),6,FALSE)),"")</f>
        <v/>
      </c>
      <c r="H696" s="138" t="str">
        <f t="shared" ref="H696:I696" si="697">IF(D696="","",D696+F696)</f>
        <v/>
      </c>
      <c r="I696" s="135" t="str">
        <f t="shared" si="697"/>
        <v/>
      </c>
      <c r="J696" s="140" t="str">
        <f t="shared" si="3"/>
        <v/>
      </c>
      <c r="K696" s="140" t="str">
        <f t="shared" si="4"/>
        <v/>
      </c>
    </row>
    <row r="697" ht="22.5" customHeight="1">
      <c r="A697" s="140"/>
      <c r="B697" s="135" t="str">
        <f t="array" ref="B697">IF(A697="","",VLOOKUP(A697,INDIRECT("CXC!A2:B"&amp;COUNTA(CXC!A:A)),2,FALSE))</f>
        <v/>
      </c>
      <c r="C697" s="136" t="str">
        <f t="array" ref="C697">IF(A697="","",VLOOKUP(A697,INDIRECT("CXC!A2:C"&amp;COUNTA(CXC!A:A)),3,FALSE))</f>
        <v/>
      </c>
      <c r="D697" s="137" t="str">
        <f t="array" ref="D697">IF(A697="","",VLOOKUP(A697,INDIRECT("CXC!A2:H"&amp;COUNTA(CXC!A:A)),8,FALSE))</f>
        <v/>
      </c>
      <c r="E697" s="137" t="str">
        <f t="array" ref="E697">IFERROR(IF(A697="","",VLOOKUP(A697,INDIRECT("HISTÓRICO COBROS!A3:E"&amp;COUNTA('HISTÓRICO COBROS'!A:A)),5,FALSE)),"")</f>
        <v/>
      </c>
      <c r="F697" s="137" t="str">
        <f t="array" ref="F697">IF(A697="","",VLOOKUP(A697,INDIRECT("CXC!A2:I"&amp;COUNTA(CXC!A:A)),9,FALSE))</f>
        <v/>
      </c>
      <c r="G697" s="137" t="str">
        <f t="array" ref="G697">IFERROR(IF(A697="","",VLOOKUP(A697,INDIRECT("HISTÓRICO COBROS!A3:F"&amp;COUNTA('HISTÓRICO COBROS'!A:A)),6,FALSE)),"")</f>
        <v/>
      </c>
      <c r="H697" s="138" t="str">
        <f t="shared" ref="H697:I697" si="698">IF(D697="","",D697+F697)</f>
        <v/>
      </c>
      <c r="I697" s="135" t="str">
        <f t="shared" si="698"/>
        <v/>
      </c>
      <c r="J697" s="140" t="str">
        <f t="shared" si="3"/>
        <v/>
      </c>
      <c r="K697" s="140" t="str">
        <f t="shared" si="4"/>
        <v/>
      </c>
    </row>
    <row r="698" ht="22.5" customHeight="1">
      <c r="A698" s="140"/>
      <c r="B698" s="135" t="str">
        <f t="array" ref="B698">IF(A698="","",VLOOKUP(A698,INDIRECT("CXC!A2:B"&amp;COUNTA(CXC!A:A)),2,FALSE))</f>
        <v/>
      </c>
      <c r="C698" s="136" t="str">
        <f t="array" ref="C698">IF(A698="","",VLOOKUP(A698,INDIRECT("CXC!A2:C"&amp;COUNTA(CXC!A:A)),3,FALSE))</f>
        <v/>
      </c>
      <c r="D698" s="137" t="str">
        <f t="array" ref="D698">IF(A698="","",VLOOKUP(A698,INDIRECT("CXC!A2:H"&amp;COUNTA(CXC!A:A)),8,FALSE))</f>
        <v/>
      </c>
      <c r="E698" s="137" t="str">
        <f t="array" ref="E698">IFERROR(IF(A698="","",VLOOKUP(A698,INDIRECT("HISTÓRICO COBROS!A3:E"&amp;COUNTA('HISTÓRICO COBROS'!A:A)),5,FALSE)),"")</f>
        <v/>
      </c>
      <c r="F698" s="137" t="str">
        <f t="array" ref="F698">IF(A698="","",VLOOKUP(A698,INDIRECT("CXC!A2:I"&amp;COUNTA(CXC!A:A)),9,FALSE))</f>
        <v/>
      </c>
      <c r="G698" s="137" t="str">
        <f t="array" ref="G698">IFERROR(IF(A698="","",VLOOKUP(A698,INDIRECT("HISTÓRICO COBROS!A3:F"&amp;COUNTA('HISTÓRICO COBROS'!A:A)),6,FALSE)),"")</f>
        <v/>
      </c>
      <c r="H698" s="138" t="str">
        <f t="shared" ref="H698:I698" si="699">IF(D698="","",D698+F698)</f>
        <v/>
      </c>
      <c r="I698" s="135" t="str">
        <f t="shared" si="699"/>
        <v/>
      </c>
      <c r="J698" s="140" t="str">
        <f t="shared" si="3"/>
        <v/>
      </c>
      <c r="K698" s="140" t="str">
        <f t="shared" si="4"/>
        <v/>
      </c>
    </row>
    <row r="699" ht="22.5" customHeight="1">
      <c r="A699" s="140"/>
      <c r="B699" s="135" t="str">
        <f t="array" ref="B699">IF(A699="","",VLOOKUP(A699,INDIRECT("CXC!A2:B"&amp;COUNTA(CXC!A:A)),2,FALSE))</f>
        <v/>
      </c>
      <c r="C699" s="136" t="str">
        <f t="array" ref="C699">IF(A699="","",VLOOKUP(A699,INDIRECT("CXC!A2:C"&amp;COUNTA(CXC!A:A)),3,FALSE))</f>
        <v/>
      </c>
      <c r="D699" s="137" t="str">
        <f t="array" ref="D699">IF(A699="","",VLOOKUP(A699,INDIRECT("CXC!A2:H"&amp;COUNTA(CXC!A:A)),8,FALSE))</f>
        <v/>
      </c>
      <c r="E699" s="137" t="str">
        <f t="array" ref="E699">IFERROR(IF(A699="","",VLOOKUP(A699,INDIRECT("HISTÓRICO COBROS!A3:E"&amp;COUNTA('HISTÓRICO COBROS'!A:A)),5,FALSE)),"")</f>
        <v/>
      </c>
      <c r="F699" s="137" t="str">
        <f t="array" ref="F699">IF(A699="","",VLOOKUP(A699,INDIRECT("CXC!A2:I"&amp;COUNTA(CXC!A:A)),9,FALSE))</f>
        <v/>
      </c>
      <c r="G699" s="137" t="str">
        <f t="array" ref="G699">IFERROR(IF(A699="","",VLOOKUP(A699,INDIRECT("HISTÓRICO COBROS!A3:F"&amp;COUNTA('HISTÓRICO COBROS'!A:A)),6,FALSE)),"")</f>
        <v/>
      </c>
      <c r="H699" s="138" t="str">
        <f t="shared" ref="H699:I699" si="700">IF(D699="","",D699+F699)</f>
        <v/>
      </c>
      <c r="I699" s="135" t="str">
        <f t="shared" si="700"/>
        <v/>
      </c>
      <c r="J699" s="140" t="str">
        <f t="shared" si="3"/>
        <v/>
      </c>
      <c r="K699" s="140" t="str">
        <f t="shared" si="4"/>
        <v/>
      </c>
    </row>
    <row r="700" ht="22.5" customHeight="1">
      <c r="A700" s="140"/>
      <c r="B700" s="135" t="str">
        <f t="array" ref="B700">IF(A700="","",VLOOKUP(A700,INDIRECT("CXC!A2:B"&amp;COUNTA(CXC!A:A)),2,FALSE))</f>
        <v/>
      </c>
      <c r="C700" s="136" t="str">
        <f t="array" ref="C700">IF(A700="","",VLOOKUP(A700,INDIRECT("CXC!A2:C"&amp;COUNTA(CXC!A:A)),3,FALSE))</f>
        <v/>
      </c>
      <c r="D700" s="137" t="str">
        <f t="array" ref="D700">IF(A700="","",VLOOKUP(A700,INDIRECT("CXC!A2:H"&amp;COUNTA(CXC!A:A)),8,FALSE))</f>
        <v/>
      </c>
      <c r="E700" s="137" t="str">
        <f t="array" ref="E700">IFERROR(IF(A700="","",VLOOKUP(A700,INDIRECT("HISTÓRICO COBROS!A3:E"&amp;COUNTA('HISTÓRICO COBROS'!A:A)),5,FALSE)),"")</f>
        <v/>
      </c>
      <c r="F700" s="137" t="str">
        <f t="array" ref="F700">IF(A700="","",VLOOKUP(A700,INDIRECT("CXC!A2:I"&amp;COUNTA(CXC!A:A)),9,FALSE))</f>
        <v/>
      </c>
      <c r="G700" s="137" t="str">
        <f t="array" ref="G700">IFERROR(IF(A700="","",VLOOKUP(A700,INDIRECT("HISTÓRICO COBROS!A3:F"&amp;COUNTA('HISTÓRICO COBROS'!A:A)),6,FALSE)),"")</f>
        <v/>
      </c>
      <c r="H700" s="138" t="str">
        <f t="shared" ref="H700:I700" si="701">IF(D700="","",D700+F700)</f>
        <v/>
      </c>
      <c r="I700" s="135" t="str">
        <f t="shared" si="701"/>
        <v/>
      </c>
      <c r="J700" s="140" t="str">
        <f t="shared" si="3"/>
        <v/>
      </c>
      <c r="K700" s="140" t="str">
        <f t="shared" si="4"/>
        <v/>
      </c>
    </row>
    <row r="701" ht="22.5" customHeight="1">
      <c r="A701" s="140"/>
      <c r="B701" s="135" t="str">
        <f t="array" ref="B701">IF(A701="","",VLOOKUP(A701,INDIRECT("CXC!A2:B"&amp;COUNTA(CXC!A:A)),2,FALSE))</f>
        <v/>
      </c>
      <c r="C701" s="136" t="str">
        <f t="array" ref="C701">IF(A701="","",VLOOKUP(A701,INDIRECT("CXC!A2:C"&amp;COUNTA(CXC!A:A)),3,FALSE))</f>
        <v/>
      </c>
      <c r="D701" s="137" t="str">
        <f t="array" ref="D701">IF(A701="","",VLOOKUP(A701,INDIRECT("CXC!A2:H"&amp;COUNTA(CXC!A:A)),8,FALSE))</f>
        <v/>
      </c>
      <c r="E701" s="137" t="str">
        <f t="array" ref="E701">IFERROR(IF(A701="","",VLOOKUP(A701,INDIRECT("HISTÓRICO COBROS!A3:E"&amp;COUNTA('HISTÓRICO COBROS'!A:A)),5,FALSE)),"")</f>
        <v/>
      </c>
      <c r="F701" s="137" t="str">
        <f t="array" ref="F701">IF(A701="","",VLOOKUP(A701,INDIRECT("CXC!A2:I"&amp;COUNTA(CXC!A:A)),9,FALSE))</f>
        <v/>
      </c>
      <c r="G701" s="137" t="str">
        <f t="array" ref="G701">IFERROR(IF(A701="","",VLOOKUP(A701,INDIRECT("HISTÓRICO COBROS!A3:F"&amp;COUNTA('HISTÓRICO COBROS'!A:A)),6,FALSE)),"")</f>
        <v/>
      </c>
      <c r="H701" s="138" t="str">
        <f t="shared" ref="H701:I701" si="702">IF(D701="","",D701+F701)</f>
        <v/>
      </c>
      <c r="I701" s="135" t="str">
        <f t="shared" si="702"/>
        <v/>
      </c>
      <c r="J701" s="140" t="str">
        <f t="shared" si="3"/>
        <v/>
      </c>
      <c r="K701" s="140" t="str">
        <f t="shared" si="4"/>
        <v/>
      </c>
    </row>
    <row r="702" ht="22.5" customHeight="1">
      <c r="A702" s="140"/>
      <c r="B702" s="135" t="str">
        <f t="array" ref="B702">IF(A702="","",VLOOKUP(A702,INDIRECT("CXC!A2:B"&amp;COUNTA(CXC!A:A)),2,FALSE))</f>
        <v/>
      </c>
      <c r="C702" s="136" t="str">
        <f t="array" ref="C702">IF(A702="","",VLOOKUP(A702,INDIRECT("CXC!A2:C"&amp;COUNTA(CXC!A:A)),3,FALSE))</f>
        <v/>
      </c>
      <c r="D702" s="137" t="str">
        <f t="array" ref="D702">IF(A702="","",VLOOKUP(A702,INDIRECT("CXC!A2:H"&amp;COUNTA(CXC!A:A)),8,FALSE))</f>
        <v/>
      </c>
      <c r="E702" s="137" t="str">
        <f t="array" ref="E702">IFERROR(IF(A702="","",VLOOKUP(A702,INDIRECT("HISTÓRICO COBROS!A3:E"&amp;COUNTA('HISTÓRICO COBROS'!A:A)),5,FALSE)),"")</f>
        <v/>
      </c>
      <c r="F702" s="137" t="str">
        <f t="array" ref="F702">IF(A702="","",VLOOKUP(A702,INDIRECT("CXC!A2:I"&amp;COUNTA(CXC!A:A)),9,FALSE))</f>
        <v/>
      </c>
      <c r="G702" s="137" t="str">
        <f t="array" ref="G702">IFERROR(IF(A702="","",VLOOKUP(A702,INDIRECT("HISTÓRICO COBROS!A3:F"&amp;COUNTA('HISTÓRICO COBROS'!A:A)),6,FALSE)),"")</f>
        <v/>
      </c>
      <c r="H702" s="138" t="str">
        <f t="shared" ref="H702:I702" si="703">IF(D702="","",D702+F702)</f>
        <v/>
      </c>
      <c r="I702" s="135" t="str">
        <f t="shared" si="703"/>
        <v/>
      </c>
      <c r="J702" s="140" t="str">
        <f t="shared" si="3"/>
        <v/>
      </c>
      <c r="K702" s="140" t="str">
        <f t="shared" si="4"/>
        <v/>
      </c>
    </row>
    <row r="703" ht="22.5" customHeight="1">
      <c r="A703" s="140"/>
      <c r="B703" s="135" t="str">
        <f t="array" ref="B703">IF(A703="","",VLOOKUP(A703,INDIRECT("CXC!A2:B"&amp;COUNTA(CXC!A:A)),2,FALSE))</f>
        <v/>
      </c>
      <c r="C703" s="136" t="str">
        <f t="array" ref="C703">IF(A703="","",VLOOKUP(A703,INDIRECT("CXC!A2:C"&amp;COUNTA(CXC!A:A)),3,FALSE))</f>
        <v/>
      </c>
      <c r="D703" s="137" t="str">
        <f t="array" ref="D703">IF(A703="","",VLOOKUP(A703,INDIRECT("CXC!A2:H"&amp;COUNTA(CXC!A:A)),8,FALSE))</f>
        <v/>
      </c>
      <c r="E703" s="137" t="str">
        <f t="array" ref="E703">IFERROR(IF(A703="","",VLOOKUP(A703,INDIRECT("HISTÓRICO COBROS!A3:E"&amp;COUNTA('HISTÓRICO COBROS'!A:A)),5,FALSE)),"")</f>
        <v/>
      </c>
      <c r="F703" s="137" t="str">
        <f t="array" ref="F703">IF(A703="","",VLOOKUP(A703,INDIRECT("CXC!A2:I"&amp;COUNTA(CXC!A:A)),9,FALSE))</f>
        <v/>
      </c>
      <c r="G703" s="137" t="str">
        <f t="array" ref="G703">IFERROR(IF(A703="","",VLOOKUP(A703,INDIRECT("HISTÓRICO COBROS!A3:F"&amp;COUNTA('HISTÓRICO COBROS'!A:A)),6,FALSE)),"")</f>
        <v/>
      </c>
      <c r="H703" s="138" t="str">
        <f t="shared" ref="H703:I703" si="704">IF(D703="","",D703+F703)</f>
        <v/>
      </c>
      <c r="I703" s="135" t="str">
        <f t="shared" si="704"/>
        <v/>
      </c>
      <c r="J703" s="140" t="str">
        <f t="shared" si="3"/>
        <v/>
      </c>
      <c r="K703" s="140" t="str">
        <f t="shared" si="4"/>
        <v/>
      </c>
    </row>
    <row r="704" ht="22.5" customHeight="1">
      <c r="A704" s="140"/>
      <c r="B704" s="135" t="str">
        <f t="array" ref="B704">IF(A704="","",VLOOKUP(A704,INDIRECT("CXC!A2:B"&amp;COUNTA(CXC!A:A)),2,FALSE))</f>
        <v/>
      </c>
      <c r="C704" s="136" t="str">
        <f t="array" ref="C704">IF(A704="","",VLOOKUP(A704,INDIRECT("CXC!A2:C"&amp;COUNTA(CXC!A:A)),3,FALSE))</f>
        <v/>
      </c>
      <c r="D704" s="137" t="str">
        <f t="array" ref="D704">IF(A704="","",VLOOKUP(A704,INDIRECT("CXC!A2:H"&amp;COUNTA(CXC!A:A)),8,FALSE))</f>
        <v/>
      </c>
      <c r="E704" s="137" t="str">
        <f t="array" ref="E704">IFERROR(IF(A704="","",VLOOKUP(A704,INDIRECT("HISTÓRICO COBROS!A3:E"&amp;COUNTA('HISTÓRICO COBROS'!A:A)),5,FALSE)),"")</f>
        <v/>
      </c>
      <c r="F704" s="137" t="str">
        <f t="array" ref="F704">IF(A704="","",VLOOKUP(A704,INDIRECT("CXC!A2:I"&amp;COUNTA(CXC!A:A)),9,FALSE))</f>
        <v/>
      </c>
      <c r="G704" s="137" t="str">
        <f t="array" ref="G704">IFERROR(IF(A704="","",VLOOKUP(A704,INDIRECT("HISTÓRICO COBROS!A3:F"&amp;COUNTA('HISTÓRICO COBROS'!A:A)),6,FALSE)),"")</f>
        <v/>
      </c>
      <c r="H704" s="138" t="str">
        <f t="shared" ref="H704:I704" si="705">IF(D704="","",D704+F704)</f>
        <v/>
      </c>
      <c r="I704" s="135" t="str">
        <f t="shared" si="705"/>
        <v/>
      </c>
      <c r="J704" s="140" t="str">
        <f t="shared" si="3"/>
        <v/>
      </c>
      <c r="K704" s="140" t="str">
        <f t="shared" si="4"/>
        <v/>
      </c>
    </row>
    <row r="705" ht="22.5" customHeight="1">
      <c r="A705" s="140"/>
      <c r="B705" s="135" t="str">
        <f t="array" ref="B705">IF(A705="","",VLOOKUP(A705,INDIRECT("CXC!A2:B"&amp;COUNTA(CXC!A:A)),2,FALSE))</f>
        <v/>
      </c>
      <c r="C705" s="136" t="str">
        <f t="array" ref="C705">IF(A705="","",VLOOKUP(A705,INDIRECT("CXC!A2:C"&amp;COUNTA(CXC!A:A)),3,FALSE))</f>
        <v/>
      </c>
      <c r="D705" s="137" t="str">
        <f t="array" ref="D705">IF(A705="","",VLOOKUP(A705,INDIRECT("CXC!A2:H"&amp;COUNTA(CXC!A:A)),8,FALSE))</f>
        <v/>
      </c>
      <c r="E705" s="137" t="str">
        <f t="array" ref="E705">IFERROR(IF(A705="","",VLOOKUP(A705,INDIRECT("HISTÓRICO COBROS!A3:E"&amp;COUNTA('HISTÓRICO COBROS'!A:A)),5,FALSE)),"")</f>
        <v/>
      </c>
      <c r="F705" s="137" t="str">
        <f t="array" ref="F705">IF(A705="","",VLOOKUP(A705,INDIRECT("CXC!A2:I"&amp;COUNTA(CXC!A:A)),9,FALSE))</f>
        <v/>
      </c>
      <c r="G705" s="137" t="str">
        <f t="array" ref="G705">IFERROR(IF(A705="","",VLOOKUP(A705,INDIRECT("HISTÓRICO COBROS!A3:F"&amp;COUNTA('HISTÓRICO COBROS'!A:A)),6,FALSE)),"")</f>
        <v/>
      </c>
      <c r="H705" s="138" t="str">
        <f t="shared" ref="H705:I705" si="706">IF(D705="","",D705+F705)</f>
        <v/>
      </c>
      <c r="I705" s="135" t="str">
        <f t="shared" si="706"/>
        <v/>
      </c>
      <c r="J705" s="140" t="str">
        <f t="shared" si="3"/>
        <v/>
      </c>
      <c r="K705" s="140" t="str">
        <f t="shared" si="4"/>
        <v/>
      </c>
    </row>
    <row r="706" ht="22.5" customHeight="1">
      <c r="A706" s="140"/>
      <c r="B706" s="135" t="str">
        <f t="array" ref="B706">IF(A706="","",VLOOKUP(A706,INDIRECT("CXC!A2:B"&amp;COUNTA(CXC!A:A)),2,FALSE))</f>
        <v/>
      </c>
      <c r="C706" s="136" t="str">
        <f t="array" ref="C706">IF(A706="","",VLOOKUP(A706,INDIRECT("CXC!A2:C"&amp;COUNTA(CXC!A:A)),3,FALSE))</f>
        <v/>
      </c>
      <c r="D706" s="137" t="str">
        <f t="array" ref="D706">IF(A706="","",VLOOKUP(A706,INDIRECT("CXC!A2:H"&amp;COUNTA(CXC!A:A)),8,FALSE))</f>
        <v/>
      </c>
      <c r="E706" s="137" t="str">
        <f t="array" ref="E706">IFERROR(IF(A706="","",VLOOKUP(A706,INDIRECT("HISTÓRICO COBROS!A3:E"&amp;COUNTA('HISTÓRICO COBROS'!A:A)),5,FALSE)),"")</f>
        <v/>
      </c>
      <c r="F706" s="137" t="str">
        <f t="array" ref="F706">IF(A706="","",VLOOKUP(A706,INDIRECT("CXC!A2:I"&amp;COUNTA(CXC!A:A)),9,FALSE))</f>
        <v/>
      </c>
      <c r="G706" s="137" t="str">
        <f t="array" ref="G706">IFERROR(IF(A706="","",VLOOKUP(A706,INDIRECT("HISTÓRICO COBROS!A3:F"&amp;COUNTA('HISTÓRICO COBROS'!A:A)),6,FALSE)),"")</f>
        <v/>
      </c>
      <c r="H706" s="138" t="str">
        <f t="shared" ref="H706:I706" si="707">IF(D706="","",D706+F706)</f>
        <v/>
      </c>
      <c r="I706" s="135" t="str">
        <f t="shared" si="707"/>
        <v/>
      </c>
      <c r="J706" s="140" t="str">
        <f t="shared" si="3"/>
        <v/>
      </c>
      <c r="K706" s="140" t="str">
        <f t="shared" si="4"/>
        <v/>
      </c>
    </row>
    <row r="707" ht="22.5" customHeight="1">
      <c r="A707" s="140"/>
      <c r="B707" s="135" t="str">
        <f t="array" ref="B707">IF(A707="","",VLOOKUP(A707,INDIRECT("CXC!A2:B"&amp;COUNTA(CXC!A:A)),2,FALSE))</f>
        <v/>
      </c>
      <c r="C707" s="136" t="str">
        <f t="array" ref="C707">IF(A707="","",VLOOKUP(A707,INDIRECT("CXC!A2:C"&amp;COUNTA(CXC!A:A)),3,FALSE))</f>
        <v/>
      </c>
      <c r="D707" s="137" t="str">
        <f t="array" ref="D707">IF(A707="","",VLOOKUP(A707,INDIRECT("CXC!A2:H"&amp;COUNTA(CXC!A:A)),8,FALSE))</f>
        <v/>
      </c>
      <c r="E707" s="137" t="str">
        <f t="array" ref="E707">IFERROR(IF(A707="","",VLOOKUP(A707,INDIRECT("HISTÓRICO COBROS!A3:E"&amp;COUNTA('HISTÓRICO COBROS'!A:A)),5,FALSE)),"")</f>
        <v/>
      </c>
      <c r="F707" s="137" t="str">
        <f t="array" ref="F707">IF(A707="","",VLOOKUP(A707,INDIRECT("CXC!A2:I"&amp;COUNTA(CXC!A:A)),9,FALSE))</f>
        <v/>
      </c>
      <c r="G707" s="137" t="str">
        <f t="array" ref="G707">IFERROR(IF(A707="","",VLOOKUP(A707,INDIRECT("HISTÓRICO COBROS!A3:F"&amp;COUNTA('HISTÓRICO COBROS'!A:A)),6,FALSE)),"")</f>
        <v/>
      </c>
      <c r="H707" s="138" t="str">
        <f t="shared" ref="H707:I707" si="708">IF(D707="","",D707+F707)</f>
        <v/>
      </c>
      <c r="I707" s="135" t="str">
        <f t="shared" si="708"/>
        <v/>
      </c>
      <c r="J707" s="140" t="str">
        <f t="shared" si="3"/>
        <v/>
      </c>
      <c r="K707" s="140" t="str">
        <f t="shared" si="4"/>
        <v/>
      </c>
    </row>
    <row r="708" ht="22.5" customHeight="1">
      <c r="A708" s="140"/>
      <c r="B708" s="135" t="str">
        <f t="array" ref="B708">IF(A708="","",VLOOKUP(A708,INDIRECT("CXC!A2:B"&amp;COUNTA(CXC!A:A)),2,FALSE))</f>
        <v/>
      </c>
      <c r="C708" s="136" t="str">
        <f t="array" ref="C708">IF(A708="","",VLOOKUP(A708,INDIRECT("CXC!A2:C"&amp;COUNTA(CXC!A:A)),3,FALSE))</f>
        <v/>
      </c>
      <c r="D708" s="137" t="str">
        <f t="array" ref="D708">IF(A708="","",VLOOKUP(A708,INDIRECT("CXC!A2:H"&amp;COUNTA(CXC!A:A)),8,FALSE))</f>
        <v/>
      </c>
      <c r="E708" s="137" t="str">
        <f t="array" ref="E708">IFERROR(IF(A708="","",VLOOKUP(A708,INDIRECT("HISTÓRICO COBROS!A3:E"&amp;COUNTA('HISTÓRICO COBROS'!A:A)),5,FALSE)),"")</f>
        <v/>
      </c>
      <c r="F708" s="137" t="str">
        <f t="array" ref="F708">IF(A708="","",VLOOKUP(A708,INDIRECT("CXC!A2:I"&amp;COUNTA(CXC!A:A)),9,FALSE))</f>
        <v/>
      </c>
      <c r="G708" s="137" t="str">
        <f t="array" ref="G708">IFERROR(IF(A708="","",VLOOKUP(A708,INDIRECT("HISTÓRICO COBROS!A3:F"&amp;COUNTA('HISTÓRICO COBROS'!A:A)),6,FALSE)),"")</f>
        <v/>
      </c>
      <c r="H708" s="138" t="str">
        <f t="shared" ref="H708:I708" si="709">IF(D708="","",D708+F708)</f>
        <v/>
      </c>
      <c r="I708" s="135" t="str">
        <f t="shared" si="709"/>
        <v/>
      </c>
      <c r="J708" s="140" t="str">
        <f t="shared" si="3"/>
        <v/>
      </c>
      <c r="K708" s="140" t="str">
        <f t="shared" si="4"/>
        <v/>
      </c>
    </row>
    <row r="709" ht="22.5" customHeight="1">
      <c r="A709" s="140"/>
      <c r="B709" s="135" t="str">
        <f t="array" ref="B709">IF(A709="","",VLOOKUP(A709,INDIRECT("CXC!A2:B"&amp;COUNTA(CXC!A:A)),2,FALSE))</f>
        <v/>
      </c>
      <c r="C709" s="136" t="str">
        <f t="array" ref="C709">IF(A709="","",VLOOKUP(A709,INDIRECT("CXC!A2:C"&amp;COUNTA(CXC!A:A)),3,FALSE))</f>
        <v/>
      </c>
      <c r="D709" s="137" t="str">
        <f t="array" ref="D709">IF(A709="","",VLOOKUP(A709,INDIRECT("CXC!A2:H"&amp;COUNTA(CXC!A:A)),8,FALSE))</f>
        <v/>
      </c>
      <c r="E709" s="137" t="str">
        <f t="array" ref="E709">IFERROR(IF(A709="","",VLOOKUP(A709,INDIRECT("HISTÓRICO COBROS!A3:E"&amp;COUNTA('HISTÓRICO COBROS'!A:A)),5,FALSE)),"")</f>
        <v/>
      </c>
      <c r="F709" s="137" t="str">
        <f t="array" ref="F709">IF(A709="","",VLOOKUP(A709,INDIRECT("CXC!A2:I"&amp;COUNTA(CXC!A:A)),9,FALSE))</f>
        <v/>
      </c>
      <c r="G709" s="137" t="str">
        <f t="array" ref="G709">IFERROR(IF(A709="","",VLOOKUP(A709,INDIRECT("HISTÓRICO COBROS!A3:F"&amp;COUNTA('HISTÓRICO COBROS'!A:A)),6,FALSE)),"")</f>
        <v/>
      </c>
      <c r="H709" s="138" t="str">
        <f t="shared" ref="H709:I709" si="710">IF(D709="","",D709+F709)</f>
        <v/>
      </c>
      <c r="I709" s="135" t="str">
        <f t="shared" si="710"/>
        <v/>
      </c>
      <c r="J709" s="140" t="str">
        <f t="shared" si="3"/>
        <v/>
      </c>
      <c r="K709" s="140" t="str">
        <f t="shared" si="4"/>
        <v/>
      </c>
    </row>
    <row r="710" ht="22.5" customHeight="1">
      <c r="A710" s="140"/>
      <c r="B710" s="135" t="str">
        <f t="array" ref="B710">IF(A710="","",VLOOKUP(A710,INDIRECT("CXC!A2:B"&amp;COUNTA(CXC!A:A)),2,FALSE))</f>
        <v/>
      </c>
      <c r="C710" s="136" t="str">
        <f t="array" ref="C710">IF(A710="","",VLOOKUP(A710,INDIRECT("CXC!A2:C"&amp;COUNTA(CXC!A:A)),3,FALSE))</f>
        <v/>
      </c>
      <c r="D710" s="137" t="str">
        <f t="array" ref="D710">IF(A710="","",VLOOKUP(A710,INDIRECT("CXC!A2:H"&amp;COUNTA(CXC!A:A)),8,FALSE))</f>
        <v/>
      </c>
      <c r="E710" s="137" t="str">
        <f t="array" ref="E710">IFERROR(IF(A710="","",VLOOKUP(A710,INDIRECT("HISTÓRICO COBROS!A3:E"&amp;COUNTA('HISTÓRICO COBROS'!A:A)),5,FALSE)),"")</f>
        <v/>
      </c>
      <c r="F710" s="137" t="str">
        <f t="array" ref="F710">IF(A710="","",VLOOKUP(A710,INDIRECT("CXC!A2:I"&amp;COUNTA(CXC!A:A)),9,FALSE))</f>
        <v/>
      </c>
      <c r="G710" s="137" t="str">
        <f t="array" ref="G710">IFERROR(IF(A710="","",VLOOKUP(A710,INDIRECT("HISTÓRICO COBROS!A3:F"&amp;COUNTA('HISTÓRICO COBROS'!A:A)),6,FALSE)),"")</f>
        <v/>
      </c>
      <c r="H710" s="138" t="str">
        <f t="shared" ref="H710:I710" si="711">IF(D710="","",D710+F710)</f>
        <v/>
      </c>
      <c r="I710" s="135" t="str">
        <f t="shared" si="711"/>
        <v/>
      </c>
      <c r="J710" s="140" t="str">
        <f t="shared" si="3"/>
        <v/>
      </c>
      <c r="K710" s="140" t="str">
        <f t="shared" si="4"/>
        <v/>
      </c>
    </row>
    <row r="711" ht="22.5" customHeight="1">
      <c r="A711" s="140"/>
      <c r="B711" s="135" t="str">
        <f t="array" ref="B711">IF(A711="","",VLOOKUP(A711,INDIRECT("CXC!A2:B"&amp;COUNTA(CXC!A:A)),2,FALSE))</f>
        <v/>
      </c>
      <c r="C711" s="136" t="str">
        <f t="array" ref="C711">IF(A711="","",VLOOKUP(A711,INDIRECT("CXC!A2:C"&amp;COUNTA(CXC!A:A)),3,FALSE))</f>
        <v/>
      </c>
      <c r="D711" s="137" t="str">
        <f t="array" ref="D711">IF(A711="","",VLOOKUP(A711,INDIRECT("CXC!A2:H"&amp;COUNTA(CXC!A:A)),8,FALSE))</f>
        <v/>
      </c>
      <c r="E711" s="137" t="str">
        <f t="array" ref="E711">IFERROR(IF(A711="","",VLOOKUP(A711,INDIRECT("HISTÓRICO COBROS!A3:E"&amp;COUNTA('HISTÓRICO COBROS'!A:A)),5,FALSE)),"")</f>
        <v/>
      </c>
      <c r="F711" s="137" t="str">
        <f t="array" ref="F711">IF(A711="","",VLOOKUP(A711,INDIRECT("CXC!A2:I"&amp;COUNTA(CXC!A:A)),9,FALSE))</f>
        <v/>
      </c>
      <c r="G711" s="137" t="str">
        <f t="array" ref="G711">IFERROR(IF(A711="","",VLOOKUP(A711,INDIRECT("HISTÓRICO COBROS!A3:F"&amp;COUNTA('HISTÓRICO COBROS'!A:A)),6,FALSE)),"")</f>
        <v/>
      </c>
      <c r="H711" s="138" t="str">
        <f t="shared" ref="H711:I711" si="712">IF(D711="","",D711+F711)</f>
        <v/>
      </c>
      <c r="I711" s="135" t="str">
        <f t="shared" si="712"/>
        <v/>
      </c>
      <c r="J711" s="140" t="str">
        <f t="shared" si="3"/>
        <v/>
      </c>
      <c r="K711" s="140" t="str">
        <f t="shared" si="4"/>
        <v/>
      </c>
    </row>
    <row r="712" ht="22.5" customHeight="1">
      <c r="A712" s="140"/>
      <c r="B712" s="135" t="str">
        <f t="array" ref="B712">IF(A712="","",VLOOKUP(A712,INDIRECT("CXC!A2:B"&amp;COUNTA(CXC!A:A)),2,FALSE))</f>
        <v/>
      </c>
      <c r="C712" s="136" t="str">
        <f t="array" ref="C712">IF(A712="","",VLOOKUP(A712,INDIRECT("CXC!A2:C"&amp;COUNTA(CXC!A:A)),3,FALSE))</f>
        <v/>
      </c>
      <c r="D712" s="137" t="str">
        <f t="array" ref="D712">IF(A712="","",VLOOKUP(A712,INDIRECT("CXC!A2:H"&amp;COUNTA(CXC!A:A)),8,FALSE))</f>
        <v/>
      </c>
      <c r="E712" s="137" t="str">
        <f t="array" ref="E712">IFERROR(IF(A712="","",VLOOKUP(A712,INDIRECT("HISTÓRICO COBROS!A3:E"&amp;COUNTA('HISTÓRICO COBROS'!A:A)),5,FALSE)),"")</f>
        <v/>
      </c>
      <c r="F712" s="137" t="str">
        <f t="array" ref="F712">IF(A712="","",VLOOKUP(A712,INDIRECT("CXC!A2:I"&amp;COUNTA(CXC!A:A)),9,FALSE))</f>
        <v/>
      </c>
      <c r="G712" s="137" t="str">
        <f t="array" ref="G712">IFERROR(IF(A712="","",VLOOKUP(A712,INDIRECT("HISTÓRICO COBROS!A3:F"&amp;COUNTA('HISTÓRICO COBROS'!A:A)),6,FALSE)),"")</f>
        <v/>
      </c>
      <c r="H712" s="138" t="str">
        <f t="shared" ref="H712:I712" si="713">IF(D712="","",D712+F712)</f>
        <v/>
      </c>
      <c r="I712" s="135" t="str">
        <f t="shared" si="713"/>
        <v/>
      </c>
      <c r="J712" s="140" t="str">
        <f t="shared" si="3"/>
        <v/>
      </c>
      <c r="K712" s="140" t="str">
        <f t="shared" si="4"/>
        <v/>
      </c>
    </row>
    <row r="713" ht="22.5" customHeight="1">
      <c r="A713" s="140"/>
      <c r="B713" s="135" t="str">
        <f t="array" ref="B713">IF(A713="","",VLOOKUP(A713,INDIRECT("CXC!A2:B"&amp;COUNTA(CXC!A:A)),2,FALSE))</f>
        <v/>
      </c>
      <c r="C713" s="136" t="str">
        <f t="array" ref="C713">IF(A713="","",VLOOKUP(A713,INDIRECT("CXC!A2:C"&amp;COUNTA(CXC!A:A)),3,FALSE))</f>
        <v/>
      </c>
      <c r="D713" s="137" t="str">
        <f t="array" ref="D713">IF(A713="","",VLOOKUP(A713,INDIRECT("CXC!A2:H"&amp;COUNTA(CXC!A:A)),8,FALSE))</f>
        <v/>
      </c>
      <c r="E713" s="137" t="str">
        <f t="array" ref="E713">IFERROR(IF(A713="","",VLOOKUP(A713,INDIRECT("HISTÓRICO COBROS!A3:E"&amp;COUNTA('HISTÓRICO COBROS'!A:A)),5,FALSE)),"")</f>
        <v/>
      </c>
      <c r="F713" s="137" t="str">
        <f t="array" ref="F713">IF(A713="","",VLOOKUP(A713,INDIRECT("CXC!A2:I"&amp;COUNTA(CXC!A:A)),9,FALSE))</f>
        <v/>
      </c>
      <c r="G713" s="137" t="str">
        <f t="array" ref="G713">IFERROR(IF(A713="","",VLOOKUP(A713,INDIRECT("HISTÓRICO COBROS!A3:F"&amp;COUNTA('HISTÓRICO COBROS'!A:A)),6,FALSE)),"")</f>
        <v/>
      </c>
      <c r="H713" s="138" t="str">
        <f t="shared" ref="H713:I713" si="714">IF(D713="","",D713+F713)</f>
        <v/>
      </c>
      <c r="I713" s="135" t="str">
        <f t="shared" si="714"/>
        <v/>
      </c>
      <c r="J713" s="140" t="str">
        <f t="shared" si="3"/>
        <v/>
      </c>
      <c r="K713" s="140" t="str">
        <f t="shared" si="4"/>
        <v/>
      </c>
    </row>
    <row r="714" ht="22.5" customHeight="1">
      <c r="A714" s="140"/>
      <c r="B714" s="135" t="str">
        <f t="array" ref="B714">IF(A714="","",VLOOKUP(A714,INDIRECT("CXC!A2:B"&amp;COUNTA(CXC!A:A)),2,FALSE))</f>
        <v/>
      </c>
      <c r="C714" s="136" t="str">
        <f t="array" ref="C714">IF(A714="","",VLOOKUP(A714,INDIRECT("CXC!A2:C"&amp;COUNTA(CXC!A:A)),3,FALSE))</f>
        <v/>
      </c>
      <c r="D714" s="137" t="str">
        <f t="array" ref="D714">IF(A714="","",VLOOKUP(A714,INDIRECT("CXC!A2:H"&amp;COUNTA(CXC!A:A)),8,FALSE))</f>
        <v/>
      </c>
      <c r="E714" s="137" t="str">
        <f t="array" ref="E714">IFERROR(IF(A714="","",VLOOKUP(A714,INDIRECT("HISTÓRICO COBROS!A3:E"&amp;COUNTA('HISTÓRICO COBROS'!A:A)),5,FALSE)),"")</f>
        <v/>
      </c>
      <c r="F714" s="137" t="str">
        <f t="array" ref="F714">IF(A714="","",VLOOKUP(A714,INDIRECT("CXC!A2:I"&amp;COUNTA(CXC!A:A)),9,FALSE))</f>
        <v/>
      </c>
      <c r="G714" s="137" t="str">
        <f t="array" ref="G714">IFERROR(IF(A714="","",VLOOKUP(A714,INDIRECT("HISTÓRICO COBROS!A3:F"&amp;COUNTA('HISTÓRICO COBROS'!A:A)),6,FALSE)),"")</f>
        <v/>
      </c>
      <c r="H714" s="138" t="str">
        <f t="shared" ref="H714:I714" si="715">IF(D714="","",D714+F714)</f>
        <v/>
      </c>
      <c r="I714" s="135" t="str">
        <f t="shared" si="715"/>
        <v/>
      </c>
      <c r="J714" s="140" t="str">
        <f t="shared" si="3"/>
        <v/>
      </c>
      <c r="K714" s="140" t="str">
        <f t="shared" si="4"/>
        <v/>
      </c>
    </row>
    <row r="715" ht="22.5" customHeight="1">
      <c r="A715" s="140"/>
      <c r="B715" s="135" t="str">
        <f t="array" ref="B715">IF(A715="","",VLOOKUP(A715,INDIRECT("CXC!A2:B"&amp;COUNTA(CXC!A:A)),2,FALSE))</f>
        <v/>
      </c>
      <c r="C715" s="136" t="str">
        <f t="array" ref="C715">IF(A715="","",VLOOKUP(A715,INDIRECT("CXC!A2:C"&amp;COUNTA(CXC!A:A)),3,FALSE))</f>
        <v/>
      </c>
      <c r="D715" s="137" t="str">
        <f t="array" ref="D715">IF(A715="","",VLOOKUP(A715,INDIRECT("CXC!A2:H"&amp;COUNTA(CXC!A:A)),8,FALSE))</f>
        <v/>
      </c>
      <c r="E715" s="137" t="str">
        <f t="array" ref="E715">IFERROR(IF(A715="","",VLOOKUP(A715,INDIRECT("HISTÓRICO COBROS!A3:E"&amp;COUNTA('HISTÓRICO COBROS'!A:A)),5,FALSE)),"")</f>
        <v/>
      </c>
      <c r="F715" s="137" t="str">
        <f t="array" ref="F715">IF(A715="","",VLOOKUP(A715,INDIRECT("CXC!A2:I"&amp;COUNTA(CXC!A:A)),9,FALSE))</f>
        <v/>
      </c>
      <c r="G715" s="137" t="str">
        <f t="array" ref="G715">IFERROR(IF(A715="","",VLOOKUP(A715,INDIRECT("HISTÓRICO COBROS!A3:F"&amp;COUNTA('HISTÓRICO COBROS'!A:A)),6,FALSE)),"")</f>
        <v/>
      </c>
      <c r="H715" s="138" t="str">
        <f t="shared" ref="H715:I715" si="716">IF(D715="","",D715+F715)</f>
        <v/>
      </c>
      <c r="I715" s="135" t="str">
        <f t="shared" si="716"/>
        <v/>
      </c>
      <c r="J715" s="140" t="str">
        <f t="shared" si="3"/>
        <v/>
      </c>
      <c r="K715" s="140" t="str">
        <f t="shared" si="4"/>
        <v/>
      </c>
    </row>
    <row r="716" ht="22.5" customHeight="1">
      <c r="A716" s="140"/>
      <c r="B716" s="135" t="str">
        <f t="array" ref="B716">IF(A716="","",VLOOKUP(A716,INDIRECT("CXC!A2:B"&amp;COUNTA(CXC!A:A)),2,FALSE))</f>
        <v/>
      </c>
      <c r="C716" s="136" t="str">
        <f t="array" ref="C716">IF(A716="","",VLOOKUP(A716,INDIRECT("CXC!A2:C"&amp;COUNTA(CXC!A:A)),3,FALSE))</f>
        <v/>
      </c>
      <c r="D716" s="137" t="str">
        <f t="array" ref="D716">IF(A716="","",VLOOKUP(A716,INDIRECT("CXC!A2:H"&amp;COUNTA(CXC!A:A)),8,FALSE))</f>
        <v/>
      </c>
      <c r="E716" s="137" t="str">
        <f t="array" ref="E716">IFERROR(IF(A716="","",VLOOKUP(A716,INDIRECT("HISTÓRICO COBROS!A3:E"&amp;COUNTA('HISTÓRICO COBROS'!A:A)),5,FALSE)),"")</f>
        <v/>
      </c>
      <c r="F716" s="137" t="str">
        <f t="array" ref="F716">IF(A716="","",VLOOKUP(A716,INDIRECT("CXC!A2:I"&amp;COUNTA(CXC!A:A)),9,FALSE))</f>
        <v/>
      </c>
      <c r="G716" s="137" t="str">
        <f t="array" ref="G716">IFERROR(IF(A716="","",VLOOKUP(A716,INDIRECT("HISTÓRICO COBROS!A3:F"&amp;COUNTA('HISTÓRICO COBROS'!A:A)),6,FALSE)),"")</f>
        <v/>
      </c>
      <c r="H716" s="138" t="str">
        <f t="shared" ref="H716:I716" si="717">IF(D716="","",D716+F716)</f>
        <v/>
      </c>
      <c r="I716" s="135" t="str">
        <f t="shared" si="717"/>
        <v/>
      </c>
      <c r="J716" s="140" t="str">
        <f t="shared" si="3"/>
        <v/>
      </c>
      <c r="K716" s="140" t="str">
        <f t="shared" si="4"/>
        <v/>
      </c>
    </row>
    <row r="717" ht="22.5" customHeight="1">
      <c r="A717" s="140"/>
      <c r="B717" s="135" t="str">
        <f t="array" ref="B717">IF(A717="","",VLOOKUP(A717,INDIRECT("CXC!A2:B"&amp;COUNTA(CXC!A:A)),2,FALSE))</f>
        <v/>
      </c>
      <c r="C717" s="136" t="str">
        <f t="array" ref="C717">IF(A717="","",VLOOKUP(A717,INDIRECT("CXC!A2:C"&amp;COUNTA(CXC!A:A)),3,FALSE))</f>
        <v/>
      </c>
      <c r="D717" s="137" t="str">
        <f t="array" ref="D717">IF(A717="","",VLOOKUP(A717,INDIRECT("CXC!A2:H"&amp;COUNTA(CXC!A:A)),8,FALSE))</f>
        <v/>
      </c>
      <c r="E717" s="137" t="str">
        <f t="array" ref="E717">IFERROR(IF(A717="","",VLOOKUP(A717,INDIRECT("HISTÓRICO COBROS!A3:E"&amp;COUNTA('HISTÓRICO COBROS'!A:A)),5,FALSE)),"")</f>
        <v/>
      </c>
      <c r="F717" s="137" t="str">
        <f t="array" ref="F717">IF(A717="","",VLOOKUP(A717,INDIRECT("CXC!A2:I"&amp;COUNTA(CXC!A:A)),9,FALSE))</f>
        <v/>
      </c>
      <c r="G717" s="137" t="str">
        <f t="array" ref="G717">IFERROR(IF(A717="","",VLOOKUP(A717,INDIRECT("HISTÓRICO COBROS!A3:F"&amp;COUNTA('HISTÓRICO COBROS'!A:A)),6,FALSE)),"")</f>
        <v/>
      </c>
      <c r="H717" s="138" t="str">
        <f t="shared" ref="H717:I717" si="718">IF(D717="","",D717+F717)</f>
        <v/>
      </c>
      <c r="I717" s="135" t="str">
        <f t="shared" si="718"/>
        <v/>
      </c>
      <c r="J717" s="140" t="str">
        <f t="shared" si="3"/>
        <v/>
      </c>
      <c r="K717" s="140" t="str">
        <f t="shared" si="4"/>
        <v/>
      </c>
    </row>
    <row r="718" ht="22.5" customHeight="1">
      <c r="A718" s="140"/>
      <c r="B718" s="135" t="str">
        <f t="array" ref="B718">IF(A718="","",VLOOKUP(A718,INDIRECT("CXC!A2:B"&amp;COUNTA(CXC!A:A)),2,FALSE))</f>
        <v/>
      </c>
      <c r="C718" s="136" t="str">
        <f t="array" ref="C718">IF(A718="","",VLOOKUP(A718,INDIRECT("CXC!A2:C"&amp;COUNTA(CXC!A:A)),3,FALSE))</f>
        <v/>
      </c>
      <c r="D718" s="137" t="str">
        <f t="array" ref="D718">IF(A718="","",VLOOKUP(A718,INDIRECT("CXC!A2:H"&amp;COUNTA(CXC!A:A)),8,FALSE))</f>
        <v/>
      </c>
      <c r="E718" s="137" t="str">
        <f t="array" ref="E718">IFERROR(IF(A718="","",VLOOKUP(A718,INDIRECT("HISTÓRICO COBROS!A3:E"&amp;COUNTA('HISTÓRICO COBROS'!A:A)),5,FALSE)),"")</f>
        <v/>
      </c>
      <c r="F718" s="137" t="str">
        <f t="array" ref="F718">IF(A718="","",VLOOKUP(A718,INDIRECT("CXC!A2:I"&amp;COUNTA(CXC!A:A)),9,FALSE))</f>
        <v/>
      </c>
      <c r="G718" s="137" t="str">
        <f t="array" ref="G718">IFERROR(IF(A718="","",VLOOKUP(A718,INDIRECT("HISTÓRICO COBROS!A3:F"&amp;COUNTA('HISTÓRICO COBROS'!A:A)),6,FALSE)),"")</f>
        <v/>
      </c>
      <c r="H718" s="138" t="str">
        <f t="shared" ref="H718:I718" si="719">IF(D718="","",D718+F718)</f>
        <v/>
      </c>
      <c r="I718" s="135" t="str">
        <f t="shared" si="719"/>
        <v/>
      </c>
      <c r="J718" s="140" t="str">
        <f t="shared" si="3"/>
        <v/>
      </c>
      <c r="K718" s="140" t="str">
        <f t="shared" si="4"/>
        <v/>
      </c>
    </row>
    <row r="719" ht="22.5" customHeight="1">
      <c r="A719" s="140"/>
      <c r="B719" s="135" t="str">
        <f t="array" ref="B719">IF(A719="","",VLOOKUP(A719,INDIRECT("CXC!A2:B"&amp;COUNTA(CXC!A:A)),2,FALSE))</f>
        <v/>
      </c>
      <c r="C719" s="136" t="str">
        <f t="array" ref="C719">IF(A719="","",VLOOKUP(A719,INDIRECT("CXC!A2:C"&amp;COUNTA(CXC!A:A)),3,FALSE))</f>
        <v/>
      </c>
      <c r="D719" s="137" t="str">
        <f t="array" ref="D719">IF(A719="","",VLOOKUP(A719,INDIRECT("CXC!A2:H"&amp;COUNTA(CXC!A:A)),8,FALSE))</f>
        <v/>
      </c>
      <c r="E719" s="137" t="str">
        <f t="array" ref="E719">IFERROR(IF(A719="","",VLOOKUP(A719,INDIRECT("HISTÓRICO COBROS!A3:E"&amp;COUNTA('HISTÓRICO COBROS'!A:A)),5,FALSE)),"")</f>
        <v/>
      </c>
      <c r="F719" s="137" t="str">
        <f t="array" ref="F719">IF(A719="","",VLOOKUP(A719,INDIRECT("CXC!A2:I"&amp;COUNTA(CXC!A:A)),9,FALSE))</f>
        <v/>
      </c>
      <c r="G719" s="137" t="str">
        <f t="array" ref="G719">IFERROR(IF(A719="","",VLOOKUP(A719,INDIRECT("HISTÓRICO COBROS!A3:F"&amp;COUNTA('HISTÓRICO COBROS'!A:A)),6,FALSE)),"")</f>
        <v/>
      </c>
      <c r="H719" s="138" t="str">
        <f t="shared" ref="H719:I719" si="720">IF(D719="","",D719+F719)</f>
        <v/>
      </c>
      <c r="I719" s="135" t="str">
        <f t="shared" si="720"/>
        <v/>
      </c>
      <c r="J719" s="140" t="str">
        <f t="shared" si="3"/>
        <v/>
      </c>
      <c r="K719" s="140" t="str">
        <f t="shared" si="4"/>
        <v/>
      </c>
    </row>
    <row r="720" ht="22.5" customHeight="1">
      <c r="A720" s="140"/>
      <c r="B720" s="135" t="str">
        <f t="array" ref="B720">IF(A720="","",VLOOKUP(A720,INDIRECT("CXC!A2:B"&amp;COUNTA(CXC!A:A)),2,FALSE))</f>
        <v/>
      </c>
      <c r="C720" s="136" t="str">
        <f t="array" ref="C720">IF(A720="","",VLOOKUP(A720,INDIRECT("CXC!A2:C"&amp;COUNTA(CXC!A:A)),3,FALSE))</f>
        <v/>
      </c>
      <c r="D720" s="137" t="str">
        <f t="array" ref="D720">IF(A720="","",VLOOKUP(A720,INDIRECT("CXC!A2:H"&amp;COUNTA(CXC!A:A)),8,FALSE))</f>
        <v/>
      </c>
      <c r="E720" s="137" t="str">
        <f t="array" ref="E720">IFERROR(IF(A720="","",VLOOKUP(A720,INDIRECT("HISTÓRICO COBROS!A3:E"&amp;COUNTA('HISTÓRICO COBROS'!A:A)),5,FALSE)),"")</f>
        <v/>
      </c>
      <c r="F720" s="137" t="str">
        <f t="array" ref="F720">IF(A720="","",VLOOKUP(A720,INDIRECT("CXC!A2:I"&amp;COUNTA(CXC!A:A)),9,FALSE))</f>
        <v/>
      </c>
      <c r="G720" s="137" t="str">
        <f t="array" ref="G720">IFERROR(IF(A720="","",VLOOKUP(A720,INDIRECT("HISTÓRICO COBROS!A3:F"&amp;COUNTA('HISTÓRICO COBROS'!A:A)),6,FALSE)),"")</f>
        <v/>
      </c>
      <c r="H720" s="138" t="str">
        <f t="shared" ref="H720:I720" si="721">IF(D720="","",D720+F720)</f>
        <v/>
      </c>
      <c r="I720" s="135" t="str">
        <f t="shared" si="721"/>
        <v/>
      </c>
      <c r="J720" s="140" t="str">
        <f t="shared" si="3"/>
        <v/>
      </c>
      <c r="K720" s="140" t="str">
        <f t="shared" si="4"/>
        <v/>
      </c>
    </row>
    <row r="721" ht="22.5" customHeight="1">
      <c r="A721" s="140"/>
      <c r="B721" s="135" t="str">
        <f t="array" ref="B721">IF(A721="","",VLOOKUP(A721,INDIRECT("CXC!A2:B"&amp;COUNTA(CXC!A:A)),2,FALSE))</f>
        <v/>
      </c>
      <c r="C721" s="136" t="str">
        <f t="array" ref="C721">IF(A721="","",VLOOKUP(A721,INDIRECT("CXC!A2:C"&amp;COUNTA(CXC!A:A)),3,FALSE))</f>
        <v/>
      </c>
      <c r="D721" s="137" t="str">
        <f t="array" ref="D721">IF(A721="","",VLOOKUP(A721,INDIRECT("CXC!A2:H"&amp;COUNTA(CXC!A:A)),8,FALSE))</f>
        <v/>
      </c>
      <c r="E721" s="137" t="str">
        <f t="array" ref="E721">IFERROR(IF(A721="","",VLOOKUP(A721,INDIRECT("HISTÓRICO COBROS!A3:E"&amp;COUNTA('HISTÓRICO COBROS'!A:A)),5,FALSE)),"")</f>
        <v/>
      </c>
      <c r="F721" s="137" t="str">
        <f t="array" ref="F721">IF(A721="","",VLOOKUP(A721,INDIRECT("CXC!A2:I"&amp;COUNTA(CXC!A:A)),9,FALSE))</f>
        <v/>
      </c>
      <c r="G721" s="137" t="str">
        <f t="array" ref="G721">IFERROR(IF(A721="","",VLOOKUP(A721,INDIRECT("HISTÓRICO COBROS!A3:F"&amp;COUNTA('HISTÓRICO COBROS'!A:A)),6,FALSE)),"")</f>
        <v/>
      </c>
      <c r="H721" s="138" t="str">
        <f t="shared" ref="H721:I721" si="722">IF(D721="","",D721+F721)</f>
        <v/>
      </c>
      <c r="I721" s="135" t="str">
        <f t="shared" si="722"/>
        <v/>
      </c>
      <c r="J721" s="140" t="str">
        <f t="shared" si="3"/>
        <v/>
      </c>
      <c r="K721" s="140" t="str">
        <f t="shared" si="4"/>
        <v/>
      </c>
    </row>
    <row r="722" ht="22.5" customHeight="1">
      <c r="A722" s="140"/>
      <c r="B722" s="135" t="str">
        <f t="array" ref="B722">IF(A722="","",VLOOKUP(A722,INDIRECT("CXC!A2:B"&amp;COUNTA(CXC!A:A)),2,FALSE))</f>
        <v/>
      </c>
      <c r="C722" s="136" t="str">
        <f t="array" ref="C722">IF(A722="","",VLOOKUP(A722,INDIRECT("CXC!A2:C"&amp;COUNTA(CXC!A:A)),3,FALSE))</f>
        <v/>
      </c>
      <c r="D722" s="137" t="str">
        <f t="array" ref="D722">IF(A722="","",VLOOKUP(A722,INDIRECT("CXC!A2:H"&amp;COUNTA(CXC!A:A)),8,FALSE))</f>
        <v/>
      </c>
      <c r="E722" s="137" t="str">
        <f t="array" ref="E722">IFERROR(IF(A722="","",VLOOKUP(A722,INDIRECT("HISTÓRICO COBROS!A3:E"&amp;COUNTA('HISTÓRICO COBROS'!A:A)),5,FALSE)),"")</f>
        <v/>
      </c>
      <c r="F722" s="137" t="str">
        <f t="array" ref="F722">IF(A722="","",VLOOKUP(A722,INDIRECT("CXC!A2:I"&amp;COUNTA(CXC!A:A)),9,FALSE))</f>
        <v/>
      </c>
      <c r="G722" s="137" t="str">
        <f t="array" ref="G722">IFERROR(IF(A722="","",VLOOKUP(A722,INDIRECT("HISTÓRICO COBROS!A3:F"&amp;COUNTA('HISTÓRICO COBROS'!A:A)),6,FALSE)),"")</f>
        <v/>
      </c>
      <c r="H722" s="138" t="str">
        <f t="shared" ref="H722:I722" si="723">IF(D722="","",D722+F722)</f>
        <v/>
      </c>
      <c r="I722" s="135" t="str">
        <f t="shared" si="723"/>
        <v/>
      </c>
      <c r="J722" s="140" t="str">
        <f t="shared" si="3"/>
        <v/>
      </c>
      <c r="K722" s="140" t="str">
        <f t="shared" si="4"/>
        <v/>
      </c>
    </row>
    <row r="723" ht="22.5" customHeight="1">
      <c r="A723" s="140"/>
      <c r="B723" s="135" t="str">
        <f t="array" ref="B723">IF(A723="","",VLOOKUP(A723,INDIRECT("CXC!A2:B"&amp;COUNTA(CXC!A:A)),2,FALSE))</f>
        <v/>
      </c>
      <c r="C723" s="136" t="str">
        <f t="array" ref="C723">IF(A723="","",VLOOKUP(A723,INDIRECT("CXC!A2:C"&amp;COUNTA(CXC!A:A)),3,FALSE))</f>
        <v/>
      </c>
      <c r="D723" s="137" t="str">
        <f t="array" ref="D723">IF(A723="","",VLOOKUP(A723,INDIRECT("CXC!A2:H"&amp;COUNTA(CXC!A:A)),8,FALSE))</f>
        <v/>
      </c>
      <c r="E723" s="137" t="str">
        <f t="array" ref="E723">IFERROR(IF(A723="","",VLOOKUP(A723,INDIRECT("HISTÓRICO COBROS!A3:E"&amp;COUNTA('HISTÓRICO COBROS'!A:A)),5,FALSE)),"")</f>
        <v/>
      </c>
      <c r="F723" s="137" t="str">
        <f t="array" ref="F723">IF(A723="","",VLOOKUP(A723,INDIRECT("CXC!A2:I"&amp;COUNTA(CXC!A:A)),9,FALSE))</f>
        <v/>
      </c>
      <c r="G723" s="137" t="str">
        <f t="array" ref="G723">IFERROR(IF(A723="","",VLOOKUP(A723,INDIRECT("HISTÓRICO COBROS!A3:F"&amp;COUNTA('HISTÓRICO COBROS'!A:A)),6,FALSE)),"")</f>
        <v/>
      </c>
      <c r="H723" s="138" t="str">
        <f t="shared" ref="H723:I723" si="724">IF(D723="","",D723+F723)</f>
        <v/>
      </c>
      <c r="I723" s="135" t="str">
        <f t="shared" si="724"/>
        <v/>
      </c>
      <c r="J723" s="140" t="str">
        <f t="shared" si="3"/>
        <v/>
      </c>
      <c r="K723" s="140" t="str">
        <f t="shared" si="4"/>
        <v/>
      </c>
    </row>
    <row r="724" ht="22.5" customHeight="1">
      <c r="A724" s="140"/>
      <c r="B724" s="135" t="str">
        <f t="array" ref="B724">IF(A724="","",VLOOKUP(A724,INDIRECT("CXC!A2:B"&amp;COUNTA(CXC!A:A)),2,FALSE))</f>
        <v/>
      </c>
      <c r="C724" s="136" t="str">
        <f t="array" ref="C724">IF(A724="","",VLOOKUP(A724,INDIRECT("CXC!A2:C"&amp;COUNTA(CXC!A:A)),3,FALSE))</f>
        <v/>
      </c>
      <c r="D724" s="137" t="str">
        <f t="array" ref="D724">IF(A724="","",VLOOKUP(A724,INDIRECT("CXC!A2:H"&amp;COUNTA(CXC!A:A)),8,FALSE))</f>
        <v/>
      </c>
      <c r="E724" s="137" t="str">
        <f t="array" ref="E724">IFERROR(IF(A724="","",VLOOKUP(A724,INDIRECT("HISTÓRICO COBROS!A3:E"&amp;COUNTA('HISTÓRICO COBROS'!A:A)),5,FALSE)),"")</f>
        <v/>
      </c>
      <c r="F724" s="137" t="str">
        <f t="array" ref="F724">IF(A724="","",VLOOKUP(A724,INDIRECT("CXC!A2:I"&amp;COUNTA(CXC!A:A)),9,FALSE))</f>
        <v/>
      </c>
      <c r="G724" s="137" t="str">
        <f t="array" ref="G724">IFERROR(IF(A724="","",VLOOKUP(A724,INDIRECT("HISTÓRICO COBROS!A3:F"&amp;COUNTA('HISTÓRICO COBROS'!A:A)),6,FALSE)),"")</f>
        <v/>
      </c>
      <c r="H724" s="138" t="str">
        <f t="shared" ref="H724:I724" si="725">IF(D724="","",D724+F724)</f>
        <v/>
      </c>
      <c r="I724" s="135" t="str">
        <f t="shared" si="725"/>
        <v/>
      </c>
      <c r="J724" s="140" t="str">
        <f t="shared" si="3"/>
        <v/>
      </c>
      <c r="K724" s="140" t="str">
        <f t="shared" si="4"/>
        <v/>
      </c>
    </row>
    <row r="725" ht="22.5" customHeight="1">
      <c r="A725" s="140"/>
      <c r="B725" s="135" t="str">
        <f t="array" ref="B725">IF(A725="","",VLOOKUP(A725,INDIRECT("CXC!A2:B"&amp;COUNTA(CXC!A:A)),2,FALSE))</f>
        <v/>
      </c>
      <c r="C725" s="136" t="str">
        <f t="array" ref="C725">IF(A725="","",VLOOKUP(A725,INDIRECT("CXC!A2:C"&amp;COUNTA(CXC!A:A)),3,FALSE))</f>
        <v/>
      </c>
      <c r="D725" s="137" t="str">
        <f t="array" ref="D725">IF(A725="","",VLOOKUP(A725,INDIRECT("CXC!A2:H"&amp;COUNTA(CXC!A:A)),8,FALSE))</f>
        <v/>
      </c>
      <c r="E725" s="137" t="str">
        <f t="array" ref="E725">IFERROR(IF(A725="","",VLOOKUP(A725,INDIRECT("HISTÓRICO COBROS!A3:E"&amp;COUNTA('HISTÓRICO COBROS'!A:A)),5,FALSE)),"")</f>
        <v/>
      </c>
      <c r="F725" s="137" t="str">
        <f t="array" ref="F725">IF(A725="","",VLOOKUP(A725,INDIRECT("CXC!A2:I"&amp;COUNTA(CXC!A:A)),9,FALSE))</f>
        <v/>
      </c>
      <c r="G725" s="137" t="str">
        <f t="array" ref="G725">IFERROR(IF(A725="","",VLOOKUP(A725,INDIRECT("HISTÓRICO COBROS!A3:F"&amp;COUNTA('HISTÓRICO COBROS'!A:A)),6,FALSE)),"")</f>
        <v/>
      </c>
      <c r="H725" s="138" t="str">
        <f t="shared" ref="H725:I725" si="726">IF(D725="","",D725+F725)</f>
        <v/>
      </c>
      <c r="I725" s="135" t="str">
        <f t="shared" si="726"/>
        <v/>
      </c>
      <c r="J725" s="140" t="str">
        <f t="shared" si="3"/>
        <v/>
      </c>
      <c r="K725" s="140" t="str">
        <f t="shared" si="4"/>
        <v/>
      </c>
    </row>
    <row r="726" ht="22.5" customHeight="1">
      <c r="A726" s="140"/>
      <c r="B726" s="135" t="str">
        <f t="array" ref="B726">IF(A726="","",VLOOKUP(A726,INDIRECT("CXC!A2:B"&amp;COUNTA(CXC!A:A)),2,FALSE))</f>
        <v/>
      </c>
      <c r="C726" s="136" t="str">
        <f t="array" ref="C726">IF(A726="","",VLOOKUP(A726,INDIRECT("CXC!A2:C"&amp;COUNTA(CXC!A:A)),3,FALSE))</f>
        <v/>
      </c>
      <c r="D726" s="137" t="str">
        <f t="array" ref="D726">IF(A726="","",VLOOKUP(A726,INDIRECT("CXC!A2:H"&amp;COUNTA(CXC!A:A)),8,FALSE))</f>
        <v/>
      </c>
      <c r="E726" s="137" t="str">
        <f t="array" ref="E726">IFERROR(IF(A726="","",VLOOKUP(A726,INDIRECT("HISTÓRICO COBROS!A3:E"&amp;COUNTA('HISTÓRICO COBROS'!A:A)),5,FALSE)),"")</f>
        <v/>
      </c>
      <c r="F726" s="137" t="str">
        <f t="array" ref="F726">IF(A726="","",VLOOKUP(A726,INDIRECT("CXC!A2:I"&amp;COUNTA(CXC!A:A)),9,FALSE))</f>
        <v/>
      </c>
      <c r="G726" s="137" t="str">
        <f t="array" ref="G726">IFERROR(IF(A726="","",VLOOKUP(A726,INDIRECT("HISTÓRICO COBROS!A3:F"&amp;COUNTA('HISTÓRICO COBROS'!A:A)),6,FALSE)),"")</f>
        <v/>
      </c>
      <c r="H726" s="138" t="str">
        <f t="shared" ref="H726:I726" si="727">IF(D726="","",D726+F726)</f>
        <v/>
      </c>
      <c r="I726" s="135" t="str">
        <f t="shared" si="727"/>
        <v/>
      </c>
      <c r="J726" s="140" t="str">
        <f t="shared" si="3"/>
        <v/>
      </c>
      <c r="K726" s="140" t="str">
        <f t="shared" si="4"/>
        <v/>
      </c>
    </row>
    <row r="727" ht="22.5" customHeight="1">
      <c r="A727" s="140"/>
      <c r="B727" s="135" t="str">
        <f t="array" ref="B727">IF(A727="","",VLOOKUP(A727,INDIRECT("CXC!A2:B"&amp;COUNTA(CXC!A:A)),2,FALSE))</f>
        <v/>
      </c>
      <c r="C727" s="136" t="str">
        <f t="array" ref="C727">IF(A727="","",VLOOKUP(A727,INDIRECT("CXC!A2:C"&amp;COUNTA(CXC!A:A)),3,FALSE))</f>
        <v/>
      </c>
      <c r="D727" s="137" t="str">
        <f t="array" ref="D727">IF(A727="","",VLOOKUP(A727,INDIRECT("CXC!A2:H"&amp;COUNTA(CXC!A:A)),8,FALSE))</f>
        <v/>
      </c>
      <c r="E727" s="137" t="str">
        <f t="array" ref="E727">IFERROR(IF(A727="","",VLOOKUP(A727,INDIRECT("HISTÓRICO COBROS!A3:E"&amp;COUNTA('HISTÓRICO COBROS'!A:A)),5,FALSE)),"")</f>
        <v/>
      </c>
      <c r="F727" s="137" t="str">
        <f t="array" ref="F727">IF(A727="","",VLOOKUP(A727,INDIRECT("CXC!A2:I"&amp;COUNTA(CXC!A:A)),9,FALSE))</f>
        <v/>
      </c>
      <c r="G727" s="137" t="str">
        <f t="array" ref="G727">IFERROR(IF(A727="","",VLOOKUP(A727,INDIRECT("HISTÓRICO COBROS!A3:F"&amp;COUNTA('HISTÓRICO COBROS'!A:A)),6,FALSE)),"")</f>
        <v/>
      </c>
      <c r="H727" s="138" t="str">
        <f t="shared" ref="H727:I727" si="728">IF(D727="","",D727+F727)</f>
        <v/>
      </c>
      <c r="I727" s="135" t="str">
        <f t="shared" si="728"/>
        <v/>
      </c>
      <c r="J727" s="140" t="str">
        <f t="shared" si="3"/>
        <v/>
      </c>
      <c r="K727" s="140" t="str">
        <f t="shared" si="4"/>
        <v/>
      </c>
    </row>
    <row r="728" ht="22.5" customHeight="1">
      <c r="A728" s="140"/>
      <c r="B728" s="135" t="str">
        <f t="array" ref="B728">IF(A728="","",VLOOKUP(A728,INDIRECT("CXC!A2:B"&amp;COUNTA(CXC!A:A)),2,FALSE))</f>
        <v/>
      </c>
      <c r="C728" s="136" t="str">
        <f t="array" ref="C728">IF(A728="","",VLOOKUP(A728,INDIRECT("CXC!A2:C"&amp;COUNTA(CXC!A:A)),3,FALSE))</f>
        <v/>
      </c>
      <c r="D728" s="137" t="str">
        <f t="array" ref="D728">IF(A728="","",VLOOKUP(A728,INDIRECT("CXC!A2:H"&amp;COUNTA(CXC!A:A)),8,FALSE))</f>
        <v/>
      </c>
      <c r="E728" s="137" t="str">
        <f t="array" ref="E728">IFERROR(IF(A728="","",VLOOKUP(A728,INDIRECT("HISTÓRICO COBROS!A3:E"&amp;COUNTA('HISTÓRICO COBROS'!A:A)),5,FALSE)),"")</f>
        <v/>
      </c>
      <c r="F728" s="137" t="str">
        <f t="array" ref="F728">IF(A728="","",VLOOKUP(A728,INDIRECT("CXC!A2:I"&amp;COUNTA(CXC!A:A)),9,FALSE))</f>
        <v/>
      </c>
      <c r="G728" s="137" t="str">
        <f t="array" ref="G728">IFERROR(IF(A728="","",VLOOKUP(A728,INDIRECT("HISTÓRICO COBROS!A3:F"&amp;COUNTA('HISTÓRICO COBROS'!A:A)),6,FALSE)),"")</f>
        <v/>
      </c>
      <c r="H728" s="138" t="str">
        <f t="shared" ref="H728:I728" si="729">IF(D728="","",D728+F728)</f>
        <v/>
      </c>
      <c r="I728" s="135" t="str">
        <f t="shared" si="729"/>
        <v/>
      </c>
      <c r="J728" s="140" t="str">
        <f t="shared" si="3"/>
        <v/>
      </c>
      <c r="K728" s="140" t="str">
        <f t="shared" si="4"/>
        <v/>
      </c>
    </row>
    <row r="729" ht="22.5" customHeight="1">
      <c r="A729" s="140"/>
      <c r="B729" s="135" t="str">
        <f t="array" ref="B729">IF(A729="","",VLOOKUP(A729,INDIRECT("CXC!A2:B"&amp;COUNTA(CXC!A:A)),2,FALSE))</f>
        <v/>
      </c>
      <c r="C729" s="136" t="str">
        <f t="array" ref="C729">IF(A729="","",VLOOKUP(A729,INDIRECT("CXC!A2:C"&amp;COUNTA(CXC!A:A)),3,FALSE))</f>
        <v/>
      </c>
      <c r="D729" s="137" t="str">
        <f t="array" ref="D729">IF(A729="","",VLOOKUP(A729,INDIRECT("CXC!A2:H"&amp;COUNTA(CXC!A:A)),8,FALSE))</f>
        <v/>
      </c>
      <c r="E729" s="137" t="str">
        <f t="array" ref="E729">IFERROR(IF(A729="","",VLOOKUP(A729,INDIRECT("HISTÓRICO COBROS!A3:E"&amp;COUNTA('HISTÓRICO COBROS'!A:A)),5,FALSE)),"")</f>
        <v/>
      </c>
      <c r="F729" s="137" t="str">
        <f t="array" ref="F729">IF(A729="","",VLOOKUP(A729,INDIRECT("CXC!A2:I"&amp;COUNTA(CXC!A:A)),9,FALSE))</f>
        <v/>
      </c>
      <c r="G729" s="137" t="str">
        <f t="array" ref="G729">IFERROR(IF(A729="","",VLOOKUP(A729,INDIRECT("HISTÓRICO COBROS!A3:F"&amp;COUNTA('HISTÓRICO COBROS'!A:A)),6,FALSE)),"")</f>
        <v/>
      </c>
      <c r="H729" s="138" t="str">
        <f t="shared" ref="H729:I729" si="730">IF(D729="","",D729+F729)</f>
        <v/>
      </c>
      <c r="I729" s="135" t="str">
        <f t="shared" si="730"/>
        <v/>
      </c>
      <c r="J729" s="140" t="str">
        <f t="shared" si="3"/>
        <v/>
      </c>
      <c r="K729" s="140" t="str">
        <f t="shared" si="4"/>
        <v/>
      </c>
    </row>
    <row r="730" ht="22.5" customHeight="1">
      <c r="A730" s="140"/>
      <c r="B730" s="135" t="str">
        <f t="array" ref="B730">IF(A730="","",VLOOKUP(A730,INDIRECT("CXC!A2:B"&amp;COUNTA(CXC!A:A)),2,FALSE))</f>
        <v/>
      </c>
      <c r="C730" s="136" t="str">
        <f t="array" ref="C730">IF(A730="","",VLOOKUP(A730,INDIRECT("CXC!A2:C"&amp;COUNTA(CXC!A:A)),3,FALSE))</f>
        <v/>
      </c>
      <c r="D730" s="137" t="str">
        <f t="array" ref="D730">IF(A730="","",VLOOKUP(A730,INDIRECT("CXC!A2:H"&amp;COUNTA(CXC!A:A)),8,FALSE))</f>
        <v/>
      </c>
      <c r="E730" s="137" t="str">
        <f t="array" ref="E730">IFERROR(IF(A730="","",VLOOKUP(A730,INDIRECT("HISTÓRICO COBROS!A3:E"&amp;COUNTA('HISTÓRICO COBROS'!A:A)),5,FALSE)),"")</f>
        <v/>
      </c>
      <c r="F730" s="137" t="str">
        <f t="array" ref="F730">IF(A730="","",VLOOKUP(A730,INDIRECT("CXC!A2:I"&amp;COUNTA(CXC!A:A)),9,FALSE))</f>
        <v/>
      </c>
      <c r="G730" s="137" t="str">
        <f t="array" ref="G730">IFERROR(IF(A730="","",VLOOKUP(A730,INDIRECT("HISTÓRICO COBROS!A3:F"&amp;COUNTA('HISTÓRICO COBROS'!A:A)),6,FALSE)),"")</f>
        <v/>
      </c>
      <c r="H730" s="138" t="str">
        <f t="shared" ref="H730:I730" si="731">IF(D730="","",D730+F730)</f>
        <v/>
      </c>
      <c r="I730" s="135" t="str">
        <f t="shared" si="731"/>
        <v/>
      </c>
      <c r="J730" s="140" t="str">
        <f t="shared" si="3"/>
        <v/>
      </c>
      <c r="K730" s="140" t="str">
        <f t="shared" si="4"/>
        <v/>
      </c>
    </row>
    <row r="731" ht="22.5" customHeight="1">
      <c r="A731" s="140"/>
      <c r="B731" s="135" t="str">
        <f t="array" ref="B731">IF(A731="","",VLOOKUP(A731,INDIRECT("CXC!A2:B"&amp;COUNTA(CXC!A:A)),2,FALSE))</f>
        <v/>
      </c>
      <c r="C731" s="136" t="str">
        <f t="array" ref="C731">IF(A731="","",VLOOKUP(A731,INDIRECT("CXC!A2:C"&amp;COUNTA(CXC!A:A)),3,FALSE))</f>
        <v/>
      </c>
      <c r="D731" s="137" t="str">
        <f t="array" ref="D731">IF(A731="","",VLOOKUP(A731,INDIRECT("CXC!A2:H"&amp;COUNTA(CXC!A:A)),8,FALSE))</f>
        <v/>
      </c>
      <c r="E731" s="137" t="str">
        <f t="array" ref="E731">IFERROR(IF(A731="","",VLOOKUP(A731,INDIRECT("HISTÓRICO COBROS!A3:E"&amp;COUNTA('HISTÓRICO COBROS'!A:A)),5,FALSE)),"")</f>
        <v/>
      </c>
      <c r="F731" s="137" t="str">
        <f t="array" ref="F731">IF(A731="","",VLOOKUP(A731,INDIRECT("CXC!A2:I"&amp;COUNTA(CXC!A:A)),9,FALSE))</f>
        <v/>
      </c>
      <c r="G731" s="137" t="str">
        <f t="array" ref="G731">IFERROR(IF(A731="","",VLOOKUP(A731,INDIRECT("HISTÓRICO COBROS!A3:F"&amp;COUNTA('HISTÓRICO COBROS'!A:A)),6,FALSE)),"")</f>
        <v/>
      </c>
      <c r="H731" s="138" t="str">
        <f t="shared" ref="H731:I731" si="732">IF(D731="","",D731+F731)</f>
        <v/>
      </c>
      <c r="I731" s="135" t="str">
        <f t="shared" si="732"/>
        <v/>
      </c>
      <c r="J731" s="140" t="str">
        <f t="shared" si="3"/>
        <v/>
      </c>
      <c r="K731" s="140" t="str">
        <f t="shared" si="4"/>
        <v/>
      </c>
    </row>
    <row r="732" ht="22.5" customHeight="1">
      <c r="A732" s="140"/>
      <c r="B732" s="135" t="str">
        <f t="array" ref="B732">IF(A732="","",VLOOKUP(A732,INDIRECT("CXC!A2:B"&amp;COUNTA(CXC!A:A)),2,FALSE))</f>
        <v/>
      </c>
      <c r="C732" s="136" t="str">
        <f t="array" ref="C732">IF(A732="","",VLOOKUP(A732,INDIRECT("CXC!A2:C"&amp;COUNTA(CXC!A:A)),3,FALSE))</f>
        <v/>
      </c>
      <c r="D732" s="137" t="str">
        <f t="array" ref="D732">IF(A732="","",VLOOKUP(A732,INDIRECT("CXC!A2:H"&amp;COUNTA(CXC!A:A)),8,FALSE))</f>
        <v/>
      </c>
      <c r="E732" s="137" t="str">
        <f t="array" ref="E732">IFERROR(IF(A732="","",VLOOKUP(A732,INDIRECT("HISTÓRICO COBROS!A3:E"&amp;COUNTA('HISTÓRICO COBROS'!A:A)),5,FALSE)),"")</f>
        <v/>
      </c>
      <c r="F732" s="137" t="str">
        <f t="array" ref="F732">IF(A732="","",VLOOKUP(A732,INDIRECT("CXC!A2:I"&amp;COUNTA(CXC!A:A)),9,FALSE))</f>
        <v/>
      </c>
      <c r="G732" s="137" t="str">
        <f t="array" ref="G732">IFERROR(IF(A732="","",VLOOKUP(A732,INDIRECT("HISTÓRICO COBROS!A3:F"&amp;COUNTA('HISTÓRICO COBROS'!A:A)),6,FALSE)),"")</f>
        <v/>
      </c>
      <c r="H732" s="138" t="str">
        <f t="shared" ref="H732:I732" si="733">IF(D732="","",D732+F732)</f>
        <v/>
      </c>
      <c r="I732" s="135" t="str">
        <f t="shared" si="733"/>
        <v/>
      </c>
      <c r="J732" s="140" t="str">
        <f t="shared" si="3"/>
        <v/>
      </c>
      <c r="K732" s="140" t="str">
        <f t="shared" si="4"/>
        <v/>
      </c>
    </row>
    <row r="733" ht="22.5" customHeight="1">
      <c r="A733" s="140"/>
      <c r="B733" s="135" t="str">
        <f t="array" ref="B733">IF(A733="","",VLOOKUP(A733,INDIRECT("CXC!A2:B"&amp;COUNTA(CXC!A:A)),2,FALSE))</f>
        <v/>
      </c>
      <c r="C733" s="136" t="str">
        <f t="array" ref="C733">IF(A733="","",VLOOKUP(A733,INDIRECT("CXC!A2:C"&amp;COUNTA(CXC!A:A)),3,FALSE))</f>
        <v/>
      </c>
      <c r="D733" s="137" t="str">
        <f t="array" ref="D733">IF(A733="","",VLOOKUP(A733,INDIRECT("CXC!A2:H"&amp;COUNTA(CXC!A:A)),8,FALSE))</f>
        <v/>
      </c>
      <c r="E733" s="137" t="str">
        <f t="array" ref="E733">IFERROR(IF(A733="","",VLOOKUP(A733,INDIRECT("HISTÓRICO COBROS!A3:E"&amp;COUNTA('HISTÓRICO COBROS'!A:A)),5,FALSE)),"")</f>
        <v/>
      </c>
      <c r="F733" s="137" t="str">
        <f t="array" ref="F733">IF(A733="","",VLOOKUP(A733,INDIRECT("CXC!A2:I"&amp;COUNTA(CXC!A:A)),9,FALSE))</f>
        <v/>
      </c>
      <c r="G733" s="137" t="str">
        <f t="array" ref="G733">IFERROR(IF(A733="","",VLOOKUP(A733,INDIRECT("HISTÓRICO COBROS!A3:F"&amp;COUNTA('HISTÓRICO COBROS'!A:A)),6,FALSE)),"")</f>
        <v/>
      </c>
      <c r="H733" s="138" t="str">
        <f t="shared" ref="H733:I733" si="734">IF(D733="","",D733+F733)</f>
        <v/>
      </c>
      <c r="I733" s="135" t="str">
        <f t="shared" si="734"/>
        <v/>
      </c>
      <c r="J733" s="140" t="str">
        <f t="shared" si="3"/>
        <v/>
      </c>
      <c r="K733" s="140" t="str">
        <f t="shared" si="4"/>
        <v/>
      </c>
    </row>
    <row r="734" ht="22.5" customHeight="1">
      <c r="A734" s="140"/>
      <c r="B734" s="135" t="str">
        <f t="array" ref="B734">IF(A734="","",VLOOKUP(A734,INDIRECT("CXC!A2:B"&amp;COUNTA(CXC!A:A)),2,FALSE))</f>
        <v/>
      </c>
      <c r="C734" s="136" t="str">
        <f t="array" ref="C734">IF(A734="","",VLOOKUP(A734,INDIRECT("CXC!A2:C"&amp;COUNTA(CXC!A:A)),3,FALSE))</f>
        <v/>
      </c>
      <c r="D734" s="137" t="str">
        <f t="array" ref="D734">IF(A734="","",VLOOKUP(A734,INDIRECT("CXC!A2:H"&amp;COUNTA(CXC!A:A)),8,FALSE))</f>
        <v/>
      </c>
      <c r="E734" s="137" t="str">
        <f t="array" ref="E734">IFERROR(IF(A734="","",VLOOKUP(A734,INDIRECT("HISTÓRICO COBROS!A3:E"&amp;COUNTA('HISTÓRICO COBROS'!A:A)),5,FALSE)),"")</f>
        <v/>
      </c>
      <c r="F734" s="137" t="str">
        <f t="array" ref="F734">IF(A734="","",VLOOKUP(A734,INDIRECT("CXC!A2:I"&amp;COUNTA(CXC!A:A)),9,FALSE))</f>
        <v/>
      </c>
      <c r="G734" s="137" t="str">
        <f t="array" ref="G734">IFERROR(IF(A734="","",VLOOKUP(A734,INDIRECT("HISTÓRICO COBROS!A3:F"&amp;COUNTA('HISTÓRICO COBROS'!A:A)),6,FALSE)),"")</f>
        <v/>
      </c>
      <c r="H734" s="138" t="str">
        <f t="shared" ref="H734:I734" si="735">IF(D734="","",D734+F734)</f>
        <v/>
      </c>
      <c r="I734" s="135" t="str">
        <f t="shared" si="735"/>
        <v/>
      </c>
      <c r="J734" s="140" t="str">
        <f t="shared" si="3"/>
        <v/>
      </c>
      <c r="K734" s="140" t="str">
        <f t="shared" si="4"/>
        <v/>
      </c>
    </row>
    <row r="735" ht="22.5" customHeight="1">
      <c r="A735" s="140"/>
      <c r="B735" s="135" t="str">
        <f t="array" ref="B735">IF(A735="","",VLOOKUP(A735,INDIRECT("CXC!A2:B"&amp;COUNTA(CXC!A:A)),2,FALSE))</f>
        <v/>
      </c>
      <c r="C735" s="136" t="str">
        <f t="array" ref="C735">IF(A735="","",VLOOKUP(A735,INDIRECT("CXC!A2:C"&amp;COUNTA(CXC!A:A)),3,FALSE))</f>
        <v/>
      </c>
      <c r="D735" s="137" t="str">
        <f t="array" ref="D735">IF(A735="","",VLOOKUP(A735,INDIRECT("CXC!A2:H"&amp;COUNTA(CXC!A:A)),8,FALSE))</f>
        <v/>
      </c>
      <c r="E735" s="137" t="str">
        <f t="array" ref="E735">IFERROR(IF(A735="","",VLOOKUP(A735,INDIRECT("HISTÓRICO COBROS!A3:E"&amp;COUNTA('HISTÓRICO COBROS'!A:A)),5,FALSE)),"")</f>
        <v/>
      </c>
      <c r="F735" s="137" t="str">
        <f t="array" ref="F735">IF(A735="","",VLOOKUP(A735,INDIRECT("CXC!A2:I"&amp;COUNTA(CXC!A:A)),9,FALSE))</f>
        <v/>
      </c>
      <c r="G735" s="137" t="str">
        <f t="array" ref="G735">IFERROR(IF(A735="","",VLOOKUP(A735,INDIRECT("HISTÓRICO COBROS!A3:F"&amp;COUNTA('HISTÓRICO COBROS'!A:A)),6,FALSE)),"")</f>
        <v/>
      </c>
      <c r="H735" s="138" t="str">
        <f t="shared" ref="H735:I735" si="736">IF(D735="","",D735+F735)</f>
        <v/>
      </c>
      <c r="I735" s="135" t="str">
        <f t="shared" si="736"/>
        <v/>
      </c>
      <c r="J735" s="140" t="str">
        <f t="shared" si="3"/>
        <v/>
      </c>
      <c r="K735" s="140" t="str">
        <f t="shared" si="4"/>
        <v/>
      </c>
    </row>
    <row r="736" ht="22.5" customHeight="1">
      <c r="A736" s="140"/>
      <c r="B736" s="135" t="str">
        <f t="array" ref="B736">IF(A736="","",VLOOKUP(A736,INDIRECT("CXC!A2:B"&amp;COUNTA(CXC!A:A)),2,FALSE))</f>
        <v/>
      </c>
      <c r="C736" s="136" t="str">
        <f t="array" ref="C736">IF(A736="","",VLOOKUP(A736,INDIRECT("CXC!A2:C"&amp;COUNTA(CXC!A:A)),3,FALSE))</f>
        <v/>
      </c>
      <c r="D736" s="137" t="str">
        <f t="array" ref="D736">IF(A736="","",VLOOKUP(A736,INDIRECT("CXC!A2:H"&amp;COUNTA(CXC!A:A)),8,FALSE))</f>
        <v/>
      </c>
      <c r="E736" s="137" t="str">
        <f t="array" ref="E736">IFERROR(IF(A736="","",VLOOKUP(A736,INDIRECT("HISTÓRICO COBROS!A3:E"&amp;COUNTA('HISTÓRICO COBROS'!A:A)),5,FALSE)),"")</f>
        <v/>
      </c>
      <c r="F736" s="137" t="str">
        <f t="array" ref="F736">IF(A736="","",VLOOKUP(A736,INDIRECT("CXC!A2:I"&amp;COUNTA(CXC!A:A)),9,FALSE))</f>
        <v/>
      </c>
      <c r="G736" s="137" t="str">
        <f t="array" ref="G736">IFERROR(IF(A736="","",VLOOKUP(A736,INDIRECT("HISTÓRICO COBROS!A3:F"&amp;COUNTA('HISTÓRICO COBROS'!A:A)),6,FALSE)),"")</f>
        <v/>
      </c>
      <c r="H736" s="138" t="str">
        <f t="shared" ref="H736:I736" si="737">IF(D736="","",D736+F736)</f>
        <v/>
      </c>
      <c r="I736" s="135" t="str">
        <f t="shared" si="737"/>
        <v/>
      </c>
      <c r="J736" s="140" t="str">
        <f t="shared" si="3"/>
        <v/>
      </c>
      <c r="K736" s="140" t="str">
        <f t="shared" si="4"/>
        <v/>
      </c>
    </row>
    <row r="737" ht="22.5" customHeight="1">
      <c r="A737" s="140"/>
      <c r="B737" s="135" t="str">
        <f t="array" ref="B737">IF(A737="","",VLOOKUP(A737,INDIRECT("CXC!A2:B"&amp;COUNTA(CXC!A:A)),2,FALSE))</f>
        <v/>
      </c>
      <c r="C737" s="136" t="str">
        <f t="array" ref="C737">IF(A737="","",VLOOKUP(A737,INDIRECT("CXC!A2:C"&amp;COUNTA(CXC!A:A)),3,FALSE))</f>
        <v/>
      </c>
      <c r="D737" s="137" t="str">
        <f t="array" ref="D737">IF(A737="","",VLOOKUP(A737,INDIRECT("CXC!A2:H"&amp;COUNTA(CXC!A:A)),8,FALSE))</f>
        <v/>
      </c>
      <c r="E737" s="137" t="str">
        <f t="array" ref="E737">IFERROR(IF(A737="","",VLOOKUP(A737,INDIRECT("HISTÓRICO COBROS!A3:E"&amp;COUNTA('HISTÓRICO COBROS'!A:A)),5,FALSE)),"")</f>
        <v/>
      </c>
      <c r="F737" s="137" t="str">
        <f t="array" ref="F737">IF(A737="","",VLOOKUP(A737,INDIRECT("CXC!A2:I"&amp;COUNTA(CXC!A:A)),9,FALSE))</f>
        <v/>
      </c>
      <c r="G737" s="137" t="str">
        <f t="array" ref="G737">IFERROR(IF(A737="","",VLOOKUP(A737,INDIRECT("HISTÓRICO COBROS!A3:F"&amp;COUNTA('HISTÓRICO COBROS'!A:A)),6,FALSE)),"")</f>
        <v/>
      </c>
      <c r="H737" s="138" t="str">
        <f t="shared" ref="H737:I737" si="738">IF(D737="","",D737+F737)</f>
        <v/>
      </c>
      <c r="I737" s="135" t="str">
        <f t="shared" si="738"/>
        <v/>
      </c>
      <c r="J737" s="140" t="str">
        <f t="shared" si="3"/>
        <v/>
      </c>
      <c r="K737" s="140" t="str">
        <f t="shared" si="4"/>
        <v/>
      </c>
    </row>
    <row r="738" ht="22.5" customHeight="1">
      <c r="A738" s="140"/>
      <c r="B738" s="135" t="str">
        <f t="array" ref="B738">IF(A738="","",VLOOKUP(A738,INDIRECT("CXC!A2:B"&amp;COUNTA(CXC!A:A)),2,FALSE))</f>
        <v/>
      </c>
      <c r="C738" s="136" t="str">
        <f t="array" ref="C738">IF(A738="","",VLOOKUP(A738,INDIRECT("CXC!A2:C"&amp;COUNTA(CXC!A:A)),3,FALSE))</f>
        <v/>
      </c>
      <c r="D738" s="137" t="str">
        <f t="array" ref="D738">IF(A738="","",VLOOKUP(A738,INDIRECT("CXC!A2:H"&amp;COUNTA(CXC!A:A)),8,FALSE))</f>
        <v/>
      </c>
      <c r="E738" s="137" t="str">
        <f t="array" ref="E738">IFERROR(IF(A738="","",VLOOKUP(A738,INDIRECT("HISTÓRICO COBROS!A3:E"&amp;COUNTA('HISTÓRICO COBROS'!A:A)),5,FALSE)),"")</f>
        <v/>
      </c>
      <c r="F738" s="137" t="str">
        <f t="array" ref="F738">IF(A738="","",VLOOKUP(A738,INDIRECT("CXC!A2:I"&amp;COUNTA(CXC!A:A)),9,FALSE))</f>
        <v/>
      </c>
      <c r="G738" s="137" t="str">
        <f t="array" ref="G738">IFERROR(IF(A738="","",VLOOKUP(A738,INDIRECT("HISTÓRICO COBROS!A3:F"&amp;COUNTA('HISTÓRICO COBROS'!A:A)),6,FALSE)),"")</f>
        <v/>
      </c>
      <c r="H738" s="138" t="str">
        <f t="shared" ref="H738:I738" si="739">IF(D738="","",D738+F738)</f>
        <v/>
      </c>
      <c r="I738" s="135" t="str">
        <f t="shared" si="739"/>
        <v/>
      </c>
      <c r="J738" s="140" t="str">
        <f t="shared" si="3"/>
        <v/>
      </c>
      <c r="K738" s="140" t="str">
        <f t="shared" si="4"/>
        <v/>
      </c>
    </row>
    <row r="739" ht="22.5" customHeight="1">
      <c r="A739" s="140"/>
      <c r="B739" s="135" t="str">
        <f t="array" ref="B739">IF(A739="","",VLOOKUP(A739,INDIRECT("CXC!A2:B"&amp;COUNTA(CXC!A:A)),2,FALSE))</f>
        <v/>
      </c>
      <c r="C739" s="136" t="str">
        <f t="array" ref="C739">IF(A739="","",VLOOKUP(A739,INDIRECT("CXC!A2:C"&amp;COUNTA(CXC!A:A)),3,FALSE))</f>
        <v/>
      </c>
      <c r="D739" s="137" t="str">
        <f t="array" ref="D739">IF(A739="","",VLOOKUP(A739,INDIRECT("CXC!A2:H"&amp;COUNTA(CXC!A:A)),8,FALSE))</f>
        <v/>
      </c>
      <c r="E739" s="137" t="str">
        <f t="array" ref="E739">IFERROR(IF(A739="","",VLOOKUP(A739,INDIRECT("HISTÓRICO COBROS!A3:E"&amp;COUNTA('HISTÓRICO COBROS'!A:A)),5,FALSE)),"")</f>
        <v/>
      </c>
      <c r="F739" s="137" t="str">
        <f t="array" ref="F739">IF(A739="","",VLOOKUP(A739,INDIRECT("CXC!A2:I"&amp;COUNTA(CXC!A:A)),9,FALSE))</f>
        <v/>
      </c>
      <c r="G739" s="137" t="str">
        <f t="array" ref="G739">IFERROR(IF(A739="","",VLOOKUP(A739,INDIRECT("HISTÓRICO COBROS!A3:F"&amp;COUNTA('HISTÓRICO COBROS'!A:A)),6,FALSE)),"")</f>
        <v/>
      </c>
      <c r="H739" s="138" t="str">
        <f t="shared" ref="H739:I739" si="740">IF(D739="","",D739+F739)</f>
        <v/>
      </c>
      <c r="I739" s="135" t="str">
        <f t="shared" si="740"/>
        <v/>
      </c>
      <c r="J739" s="140" t="str">
        <f t="shared" si="3"/>
        <v/>
      </c>
      <c r="K739" s="140" t="str">
        <f t="shared" si="4"/>
        <v/>
      </c>
    </row>
    <row r="740" ht="22.5" customHeight="1">
      <c r="A740" s="140"/>
      <c r="B740" s="135" t="str">
        <f t="array" ref="B740">IF(A740="","",VLOOKUP(A740,INDIRECT("CXC!A2:B"&amp;COUNTA(CXC!A:A)),2,FALSE))</f>
        <v/>
      </c>
      <c r="C740" s="136" t="str">
        <f t="array" ref="C740">IF(A740="","",VLOOKUP(A740,INDIRECT("CXC!A2:C"&amp;COUNTA(CXC!A:A)),3,FALSE))</f>
        <v/>
      </c>
      <c r="D740" s="137" t="str">
        <f t="array" ref="D740">IF(A740="","",VLOOKUP(A740,INDIRECT("CXC!A2:H"&amp;COUNTA(CXC!A:A)),8,FALSE))</f>
        <v/>
      </c>
      <c r="E740" s="137" t="str">
        <f t="array" ref="E740">IFERROR(IF(A740="","",VLOOKUP(A740,INDIRECT("HISTÓRICO COBROS!A3:E"&amp;COUNTA('HISTÓRICO COBROS'!A:A)),5,FALSE)),"")</f>
        <v/>
      </c>
      <c r="F740" s="137" t="str">
        <f t="array" ref="F740">IF(A740="","",VLOOKUP(A740,INDIRECT("CXC!A2:I"&amp;COUNTA(CXC!A:A)),9,FALSE))</f>
        <v/>
      </c>
      <c r="G740" s="137" t="str">
        <f t="array" ref="G740">IFERROR(IF(A740="","",VLOOKUP(A740,INDIRECT("HISTÓRICO COBROS!A3:F"&amp;COUNTA('HISTÓRICO COBROS'!A:A)),6,FALSE)),"")</f>
        <v/>
      </c>
      <c r="H740" s="138" t="str">
        <f t="shared" ref="H740:I740" si="741">IF(D740="","",D740+F740)</f>
        <v/>
      </c>
      <c r="I740" s="135" t="str">
        <f t="shared" si="741"/>
        <v/>
      </c>
      <c r="J740" s="140" t="str">
        <f t="shared" si="3"/>
        <v/>
      </c>
      <c r="K740" s="140" t="str">
        <f t="shared" si="4"/>
        <v/>
      </c>
    </row>
    <row r="741" ht="22.5" customHeight="1">
      <c r="A741" s="140"/>
      <c r="B741" s="135" t="str">
        <f t="array" ref="B741">IF(A741="","",VLOOKUP(A741,INDIRECT("CXC!A2:B"&amp;COUNTA(CXC!A:A)),2,FALSE))</f>
        <v/>
      </c>
      <c r="C741" s="136" t="str">
        <f t="array" ref="C741">IF(A741="","",VLOOKUP(A741,INDIRECT("CXC!A2:C"&amp;COUNTA(CXC!A:A)),3,FALSE))</f>
        <v/>
      </c>
      <c r="D741" s="137" t="str">
        <f t="array" ref="D741">IF(A741="","",VLOOKUP(A741,INDIRECT("CXC!A2:H"&amp;COUNTA(CXC!A:A)),8,FALSE))</f>
        <v/>
      </c>
      <c r="E741" s="137" t="str">
        <f t="array" ref="E741">IFERROR(IF(A741="","",VLOOKUP(A741,INDIRECT("HISTÓRICO COBROS!A3:E"&amp;COUNTA('HISTÓRICO COBROS'!A:A)),5,FALSE)),"")</f>
        <v/>
      </c>
      <c r="F741" s="137" t="str">
        <f t="array" ref="F741">IF(A741="","",VLOOKUP(A741,INDIRECT("CXC!A2:I"&amp;COUNTA(CXC!A:A)),9,FALSE))</f>
        <v/>
      </c>
      <c r="G741" s="137" t="str">
        <f t="array" ref="G741">IFERROR(IF(A741="","",VLOOKUP(A741,INDIRECT("HISTÓRICO COBROS!A3:F"&amp;COUNTA('HISTÓRICO COBROS'!A:A)),6,FALSE)),"")</f>
        <v/>
      </c>
      <c r="H741" s="138" t="str">
        <f t="shared" ref="H741:I741" si="742">IF(D741="","",D741+F741)</f>
        <v/>
      </c>
      <c r="I741" s="135" t="str">
        <f t="shared" si="742"/>
        <v/>
      </c>
      <c r="J741" s="140" t="str">
        <f t="shared" si="3"/>
        <v/>
      </c>
      <c r="K741" s="140" t="str">
        <f t="shared" si="4"/>
        <v/>
      </c>
    </row>
    <row r="742" ht="22.5" customHeight="1">
      <c r="A742" s="140"/>
      <c r="B742" s="135" t="str">
        <f t="array" ref="B742">IF(A742="","",VLOOKUP(A742,INDIRECT("CXC!A2:B"&amp;COUNTA(CXC!A:A)),2,FALSE))</f>
        <v/>
      </c>
      <c r="C742" s="136" t="str">
        <f t="array" ref="C742">IF(A742="","",VLOOKUP(A742,INDIRECT("CXC!A2:C"&amp;COUNTA(CXC!A:A)),3,FALSE))</f>
        <v/>
      </c>
      <c r="D742" s="137" t="str">
        <f t="array" ref="D742">IF(A742="","",VLOOKUP(A742,INDIRECT("CXC!A2:H"&amp;COUNTA(CXC!A:A)),8,FALSE))</f>
        <v/>
      </c>
      <c r="E742" s="137" t="str">
        <f t="array" ref="E742">IFERROR(IF(A742="","",VLOOKUP(A742,INDIRECT("HISTÓRICO COBROS!A3:E"&amp;COUNTA('HISTÓRICO COBROS'!A:A)),5,FALSE)),"")</f>
        <v/>
      </c>
      <c r="F742" s="137" t="str">
        <f t="array" ref="F742">IF(A742="","",VLOOKUP(A742,INDIRECT("CXC!A2:I"&amp;COUNTA(CXC!A:A)),9,FALSE))</f>
        <v/>
      </c>
      <c r="G742" s="137" t="str">
        <f t="array" ref="G742">IFERROR(IF(A742="","",VLOOKUP(A742,INDIRECT("HISTÓRICO COBROS!A3:F"&amp;COUNTA('HISTÓRICO COBROS'!A:A)),6,FALSE)),"")</f>
        <v/>
      </c>
      <c r="H742" s="138" t="str">
        <f t="shared" ref="H742:I742" si="743">IF(D742="","",D742+F742)</f>
        <v/>
      </c>
      <c r="I742" s="135" t="str">
        <f t="shared" si="743"/>
        <v/>
      </c>
      <c r="J742" s="140" t="str">
        <f t="shared" si="3"/>
        <v/>
      </c>
      <c r="K742" s="140" t="str">
        <f t="shared" si="4"/>
        <v/>
      </c>
    </row>
    <row r="743" ht="22.5" customHeight="1">
      <c r="A743" s="140"/>
      <c r="B743" s="135" t="str">
        <f t="array" ref="B743">IF(A743="","",VLOOKUP(A743,INDIRECT("CXC!A2:B"&amp;COUNTA(CXC!A:A)),2,FALSE))</f>
        <v/>
      </c>
      <c r="C743" s="136" t="str">
        <f t="array" ref="C743">IF(A743="","",VLOOKUP(A743,INDIRECT("CXC!A2:C"&amp;COUNTA(CXC!A:A)),3,FALSE))</f>
        <v/>
      </c>
      <c r="D743" s="137" t="str">
        <f t="array" ref="D743">IF(A743="","",VLOOKUP(A743,INDIRECT("CXC!A2:H"&amp;COUNTA(CXC!A:A)),8,FALSE))</f>
        <v/>
      </c>
      <c r="E743" s="137" t="str">
        <f t="array" ref="E743">IFERROR(IF(A743="","",VLOOKUP(A743,INDIRECT("HISTÓRICO COBROS!A3:E"&amp;COUNTA('HISTÓRICO COBROS'!A:A)),5,FALSE)),"")</f>
        <v/>
      </c>
      <c r="F743" s="137" t="str">
        <f t="array" ref="F743">IF(A743="","",VLOOKUP(A743,INDIRECT("CXC!A2:I"&amp;COUNTA(CXC!A:A)),9,FALSE))</f>
        <v/>
      </c>
      <c r="G743" s="137" t="str">
        <f t="array" ref="G743">IFERROR(IF(A743="","",VLOOKUP(A743,INDIRECT("HISTÓRICO COBROS!A3:F"&amp;COUNTA('HISTÓRICO COBROS'!A:A)),6,FALSE)),"")</f>
        <v/>
      </c>
      <c r="H743" s="138" t="str">
        <f t="shared" ref="H743:I743" si="744">IF(D743="","",D743+F743)</f>
        <v/>
      </c>
      <c r="I743" s="135" t="str">
        <f t="shared" si="744"/>
        <v/>
      </c>
      <c r="J743" s="140" t="str">
        <f t="shared" si="3"/>
        <v/>
      </c>
      <c r="K743" s="140" t="str">
        <f t="shared" si="4"/>
        <v/>
      </c>
    </row>
    <row r="744" ht="22.5" customHeight="1">
      <c r="A744" s="140"/>
      <c r="B744" s="135" t="str">
        <f t="array" ref="B744">IF(A744="","",VLOOKUP(A744,INDIRECT("CXC!A2:B"&amp;COUNTA(CXC!A:A)),2,FALSE))</f>
        <v/>
      </c>
      <c r="C744" s="136" t="str">
        <f t="array" ref="C744">IF(A744="","",VLOOKUP(A744,INDIRECT("CXC!A2:C"&amp;COUNTA(CXC!A:A)),3,FALSE))</f>
        <v/>
      </c>
      <c r="D744" s="137" t="str">
        <f t="array" ref="D744">IF(A744="","",VLOOKUP(A744,INDIRECT("CXC!A2:H"&amp;COUNTA(CXC!A:A)),8,FALSE))</f>
        <v/>
      </c>
      <c r="E744" s="137" t="str">
        <f t="array" ref="E744">IFERROR(IF(A744="","",VLOOKUP(A744,INDIRECT("HISTÓRICO COBROS!A3:E"&amp;COUNTA('HISTÓRICO COBROS'!A:A)),5,FALSE)),"")</f>
        <v/>
      </c>
      <c r="F744" s="137" t="str">
        <f t="array" ref="F744">IF(A744="","",VLOOKUP(A744,INDIRECT("CXC!A2:I"&amp;COUNTA(CXC!A:A)),9,FALSE))</f>
        <v/>
      </c>
      <c r="G744" s="137" t="str">
        <f t="array" ref="G744">IFERROR(IF(A744="","",VLOOKUP(A744,INDIRECT("HISTÓRICO COBROS!A3:F"&amp;COUNTA('HISTÓRICO COBROS'!A:A)),6,FALSE)),"")</f>
        <v/>
      </c>
      <c r="H744" s="138" t="str">
        <f t="shared" ref="H744:I744" si="745">IF(D744="","",D744+F744)</f>
        <v/>
      </c>
      <c r="I744" s="135" t="str">
        <f t="shared" si="745"/>
        <v/>
      </c>
      <c r="J744" s="140" t="str">
        <f t="shared" si="3"/>
        <v/>
      </c>
      <c r="K744" s="140" t="str">
        <f t="shared" si="4"/>
        <v/>
      </c>
    </row>
    <row r="745" ht="22.5" customHeight="1">
      <c r="A745" s="140"/>
      <c r="B745" s="135" t="str">
        <f t="array" ref="B745">IF(A745="","",VLOOKUP(A745,INDIRECT("CXC!A2:B"&amp;COUNTA(CXC!A:A)),2,FALSE))</f>
        <v/>
      </c>
      <c r="C745" s="136" t="str">
        <f t="array" ref="C745">IF(A745="","",VLOOKUP(A745,INDIRECT("CXC!A2:C"&amp;COUNTA(CXC!A:A)),3,FALSE))</f>
        <v/>
      </c>
      <c r="D745" s="137" t="str">
        <f t="array" ref="D745">IF(A745="","",VLOOKUP(A745,INDIRECT("CXC!A2:H"&amp;COUNTA(CXC!A:A)),8,FALSE))</f>
        <v/>
      </c>
      <c r="E745" s="137" t="str">
        <f t="array" ref="E745">IFERROR(IF(A745="","",VLOOKUP(A745,INDIRECT("HISTÓRICO COBROS!A3:E"&amp;COUNTA('HISTÓRICO COBROS'!A:A)),5,FALSE)),"")</f>
        <v/>
      </c>
      <c r="F745" s="137" t="str">
        <f t="array" ref="F745">IF(A745="","",VLOOKUP(A745,INDIRECT("CXC!A2:I"&amp;COUNTA(CXC!A:A)),9,FALSE))</f>
        <v/>
      </c>
      <c r="G745" s="137" t="str">
        <f t="array" ref="G745">IFERROR(IF(A745="","",VLOOKUP(A745,INDIRECT("HISTÓRICO COBROS!A3:F"&amp;COUNTA('HISTÓRICO COBROS'!A:A)),6,FALSE)),"")</f>
        <v/>
      </c>
      <c r="H745" s="138" t="str">
        <f t="shared" ref="H745:I745" si="746">IF(D745="","",D745+F745)</f>
        <v/>
      </c>
      <c r="I745" s="135" t="str">
        <f t="shared" si="746"/>
        <v/>
      </c>
      <c r="J745" s="140" t="str">
        <f t="shared" si="3"/>
        <v/>
      </c>
      <c r="K745" s="140" t="str">
        <f t="shared" si="4"/>
        <v/>
      </c>
    </row>
    <row r="746" ht="22.5" customHeight="1">
      <c r="A746" s="140"/>
      <c r="B746" s="135" t="str">
        <f t="array" ref="B746">IF(A746="","",VLOOKUP(A746,INDIRECT("CXC!A2:B"&amp;COUNTA(CXC!A:A)),2,FALSE))</f>
        <v/>
      </c>
      <c r="C746" s="136" t="str">
        <f t="array" ref="C746">IF(A746="","",VLOOKUP(A746,INDIRECT("CXC!A2:C"&amp;COUNTA(CXC!A:A)),3,FALSE))</f>
        <v/>
      </c>
      <c r="D746" s="137" t="str">
        <f t="array" ref="D746">IF(A746="","",VLOOKUP(A746,INDIRECT("CXC!A2:H"&amp;COUNTA(CXC!A:A)),8,FALSE))</f>
        <v/>
      </c>
      <c r="E746" s="137" t="str">
        <f t="array" ref="E746">IFERROR(IF(A746="","",VLOOKUP(A746,INDIRECT("HISTÓRICO COBROS!A3:E"&amp;COUNTA('HISTÓRICO COBROS'!A:A)),5,FALSE)),"")</f>
        <v/>
      </c>
      <c r="F746" s="137" t="str">
        <f t="array" ref="F746">IF(A746="","",VLOOKUP(A746,INDIRECT("CXC!A2:I"&amp;COUNTA(CXC!A:A)),9,FALSE))</f>
        <v/>
      </c>
      <c r="G746" s="137" t="str">
        <f t="array" ref="G746">IFERROR(IF(A746="","",VLOOKUP(A746,INDIRECT("HISTÓRICO COBROS!A3:F"&amp;COUNTA('HISTÓRICO COBROS'!A:A)),6,FALSE)),"")</f>
        <v/>
      </c>
      <c r="H746" s="138" t="str">
        <f t="shared" ref="H746:I746" si="747">IF(D746="","",D746+F746)</f>
        <v/>
      </c>
      <c r="I746" s="135" t="str">
        <f t="shared" si="747"/>
        <v/>
      </c>
      <c r="J746" s="140" t="str">
        <f t="shared" si="3"/>
        <v/>
      </c>
      <c r="K746" s="140" t="str">
        <f t="shared" si="4"/>
        <v/>
      </c>
    </row>
    <row r="747" ht="22.5" customHeight="1">
      <c r="A747" s="140"/>
      <c r="B747" s="135" t="str">
        <f t="array" ref="B747">IF(A747="","",VLOOKUP(A747,INDIRECT("CXC!A2:B"&amp;COUNTA(CXC!A:A)),2,FALSE))</f>
        <v/>
      </c>
      <c r="C747" s="136" t="str">
        <f t="array" ref="C747">IF(A747="","",VLOOKUP(A747,INDIRECT("CXC!A2:C"&amp;COUNTA(CXC!A:A)),3,FALSE))</f>
        <v/>
      </c>
      <c r="D747" s="137" t="str">
        <f t="array" ref="D747">IF(A747="","",VLOOKUP(A747,INDIRECT("CXC!A2:H"&amp;COUNTA(CXC!A:A)),8,FALSE))</f>
        <v/>
      </c>
      <c r="E747" s="137" t="str">
        <f t="array" ref="E747">IFERROR(IF(A747="","",VLOOKUP(A747,INDIRECT("HISTÓRICO COBROS!A3:E"&amp;COUNTA('HISTÓRICO COBROS'!A:A)),5,FALSE)),"")</f>
        <v/>
      </c>
      <c r="F747" s="137" t="str">
        <f t="array" ref="F747">IF(A747="","",VLOOKUP(A747,INDIRECT("CXC!A2:I"&amp;COUNTA(CXC!A:A)),9,FALSE))</f>
        <v/>
      </c>
      <c r="G747" s="137" t="str">
        <f t="array" ref="G747">IFERROR(IF(A747="","",VLOOKUP(A747,INDIRECT("HISTÓRICO COBROS!A3:F"&amp;COUNTA('HISTÓRICO COBROS'!A:A)),6,FALSE)),"")</f>
        <v/>
      </c>
      <c r="H747" s="138" t="str">
        <f t="shared" ref="H747:I747" si="748">IF(D747="","",D747+F747)</f>
        <v/>
      </c>
      <c r="I747" s="135" t="str">
        <f t="shared" si="748"/>
        <v/>
      </c>
      <c r="J747" s="140" t="str">
        <f t="shared" si="3"/>
        <v/>
      </c>
      <c r="K747" s="140" t="str">
        <f t="shared" si="4"/>
        <v/>
      </c>
    </row>
    <row r="748" ht="22.5" customHeight="1">
      <c r="A748" s="140"/>
      <c r="B748" s="135" t="str">
        <f t="array" ref="B748">IF(A748="","",VLOOKUP(A748,INDIRECT("CXC!A2:B"&amp;COUNTA(CXC!A:A)),2,FALSE))</f>
        <v/>
      </c>
      <c r="C748" s="136" t="str">
        <f t="array" ref="C748">IF(A748="","",VLOOKUP(A748,INDIRECT("CXC!A2:C"&amp;COUNTA(CXC!A:A)),3,FALSE))</f>
        <v/>
      </c>
      <c r="D748" s="137" t="str">
        <f t="array" ref="D748">IF(A748="","",VLOOKUP(A748,INDIRECT("CXC!A2:H"&amp;COUNTA(CXC!A:A)),8,FALSE))</f>
        <v/>
      </c>
      <c r="E748" s="137" t="str">
        <f t="array" ref="E748">IFERROR(IF(A748="","",VLOOKUP(A748,INDIRECT("HISTÓRICO COBROS!A3:E"&amp;COUNTA('HISTÓRICO COBROS'!A:A)),5,FALSE)),"")</f>
        <v/>
      </c>
      <c r="F748" s="137" t="str">
        <f t="array" ref="F748">IF(A748="","",VLOOKUP(A748,INDIRECT("CXC!A2:I"&amp;COUNTA(CXC!A:A)),9,FALSE))</f>
        <v/>
      </c>
      <c r="G748" s="137" t="str">
        <f t="array" ref="G748">IFERROR(IF(A748="","",VLOOKUP(A748,INDIRECT("HISTÓRICO COBROS!A3:F"&amp;COUNTA('HISTÓRICO COBROS'!A:A)),6,FALSE)),"")</f>
        <v/>
      </c>
      <c r="H748" s="138" t="str">
        <f t="shared" ref="H748:I748" si="749">IF(D748="","",D748+F748)</f>
        <v/>
      </c>
      <c r="I748" s="135" t="str">
        <f t="shared" si="749"/>
        <v/>
      </c>
      <c r="J748" s="140" t="str">
        <f t="shared" si="3"/>
        <v/>
      </c>
      <c r="K748" s="140" t="str">
        <f t="shared" si="4"/>
        <v/>
      </c>
    </row>
    <row r="749" ht="22.5" customHeight="1">
      <c r="A749" s="140"/>
      <c r="B749" s="135" t="str">
        <f t="array" ref="B749">IF(A749="","",VLOOKUP(A749,INDIRECT("CXC!A2:B"&amp;COUNTA(CXC!A:A)),2,FALSE))</f>
        <v/>
      </c>
      <c r="C749" s="136" t="str">
        <f t="array" ref="C749">IF(A749="","",VLOOKUP(A749,INDIRECT("CXC!A2:C"&amp;COUNTA(CXC!A:A)),3,FALSE))</f>
        <v/>
      </c>
      <c r="D749" s="137" t="str">
        <f t="array" ref="D749">IF(A749="","",VLOOKUP(A749,INDIRECT("CXC!A2:H"&amp;COUNTA(CXC!A:A)),8,FALSE))</f>
        <v/>
      </c>
      <c r="E749" s="137" t="str">
        <f t="array" ref="E749">IFERROR(IF(A749="","",VLOOKUP(A749,INDIRECT("HISTÓRICO COBROS!A3:E"&amp;COUNTA('HISTÓRICO COBROS'!A:A)),5,FALSE)),"")</f>
        <v/>
      </c>
      <c r="F749" s="137" t="str">
        <f t="array" ref="F749">IF(A749="","",VLOOKUP(A749,INDIRECT("CXC!A2:I"&amp;COUNTA(CXC!A:A)),9,FALSE))</f>
        <v/>
      </c>
      <c r="G749" s="137" t="str">
        <f t="array" ref="G749">IFERROR(IF(A749="","",VLOOKUP(A749,INDIRECT("HISTÓRICO COBROS!A3:F"&amp;COUNTA('HISTÓRICO COBROS'!A:A)),6,FALSE)),"")</f>
        <v/>
      </c>
      <c r="H749" s="138" t="str">
        <f t="shared" ref="H749:I749" si="750">IF(D749="","",D749+F749)</f>
        <v/>
      </c>
      <c r="I749" s="135" t="str">
        <f t="shared" si="750"/>
        <v/>
      </c>
      <c r="J749" s="140" t="str">
        <f t="shared" si="3"/>
        <v/>
      </c>
      <c r="K749" s="140" t="str">
        <f t="shared" si="4"/>
        <v/>
      </c>
    </row>
    <row r="750" ht="22.5" customHeight="1">
      <c r="A750" s="140"/>
      <c r="B750" s="135" t="str">
        <f t="array" ref="B750">IF(A750="","",VLOOKUP(A750,INDIRECT("CXC!A2:B"&amp;COUNTA(CXC!A:A)),2,FALSE))</f>
        <v/>
      </c>
      <c r="C750" s="136" t="str">
        <f t="array" ref="C750">IF(A750="","",VLOOKUP(A750,INDIRECT("CXC!A2:C"&amp;COUNTA(CXC!A:A)),3,FALSE))</f>
        <v/>
      </c>
      <c r="D750" s="137" t="str">
        <f t="array" ref="D750">IF(A750="","",VLOOKUP(A750,INDIRECT("CXC!A2:H"&amp;COUNTA(CXC!A:A)),8,FALSE))</f>
        <v/>
      </c>
      <c r="E750" s="137" t="str">
        <f t="array" ref="E750">IFERROR(IF(A750="","",VLOOKUP(A750,INDIRECT("HISTÓRICO COBROS!A3:E"&amp;COUNTA('HISTÓRICO COBROS'!A:A)),5,FALSE)),"")</f>
        <v/>
      </c>
      <c r="F750" s="137" t="str">
        <f t="array" ref="F750">IF(A750="","",VLOOKUP(A750,INDIRECT("CXC!A2:I"&amp;COUNTA(CXC!A:A)),9,FALSE))</f>
        <v/>
      </c>
      <c r="G750" s="137" t="str">
        <f t="array" ref="G750">IFERROR(IF(A750="","",VLOOKUP(A750,INDIRECT("HISTÓRICO COBROS!A3:F"&amp;COUNTA('HISTÓRICO COBROS'!A:A)),6,FALSE)),"")</f>
        <v/>
      </c>
      <c r="H750" s="138" t="str">
        <f t="shared" ref="H750:I750" si="751">IF(D750="","",D750+F750)</f>
        <v/>
      </c>
      <c r="I750" s="135" t="str">
        <f t="shared" si="751"/>
        <v/>
      </c>
      <c r="J750" s="140" t="str">
        <f t="shared" si="3"/>
        <v/>
      </c>
      <c r="K750" s="140" t="str">
        <f t="shared" si="4"/>
        <v/>
      </c>
    </row>
    <row r="751" ht="22.5" customHeight="1">
      <c r="A751" s="140"/>
      <c r="B751" s="135" t="str">
        <f t="array" ref="B751">IF(A751="","",VLOOKUP(A751,INDIRECT("CXC!A2:B"&amp;COUNTA(CXC!A:A)),2,FALSE))</f>
        <v/>
      </c>
      <c r="C751" s="136" t="str">
        <f t="array" ref="C751">IF(A751="","",VLOOKUP(A751,INDIRECT("CXC!A2:C"&amp;COUNTA(CXC!A:A)),3,FALSE))</f>
        <v/>
      </c>
      <c r="D751" s="137" t="str">
        <f t="array" ref="D751">IF(A751="","",VLOOKUP(A751,INDIRECT("CXC!A2:H"&amp;COUNTA(CXC!A:A)),8,FALSE))</f>
        <v/>
      </c>
      <c r="E751" s="137" t="str">
        <f t="array" ref="E751">IFERROR(IF(A751="","",VLOOKUP(A751,INDIRECT("HISTÓRICO COBROS!A3:E"&amp;COUNTA('HISTÓRICO COBROS'!A:A)),5,FALSE)),"")</f>
        <v/>
      </c>
      <c r="F751" s="137" t="str">
        <f t="array" ref="F751">IF(A751="","",VLOOKUP(A751,INDIRECT("CXC!A2:I"&amp;COUNTA(CXC!A:A)),9,FALSE))</f>
        <v/>
      </c>
      <c r="G751" s="137" t="str">
        <f t="array" ref="G751">IFERROR(IF(A751="","",VLOOKUP(A751,INDIRECT("HISTÓRICO COBROS!A3:F"&amp;COUNTA('HISTÓRICO COBROS'!A:A)),6,FALSE)),"")</f>
        <v/>
      </c>
      <c r="H751" s="138" t="str">
        <f t="shared" ref="H751:I751" si="752">IF(D751="","",D751+F751)</f>
        <v/>
      </c>
      <c r="I751" s="135" t="str">
        <f t="shared" si="752"/>
        <v/>
      </c>
      <c r="J751" s="140" t="str">
        <f t="shared" si="3"/>
        <v/>
      </c>
      <c r="K751" s="140" t="str">
        <f t="shared" si="4"/>
        <v/>
      </c>
    </row>
    <row r="752" ht="22.5" customHeight="1">
      <c r="A752" s="140"/>
      <c r="B752" s="135" t="str">
        <f t="array" ref="B752">IF(A752="","",VLOOKUP(A752,INDIRECT("CXC!A2:B"&amp;COUNTA(CXC!A:A)),2,FALSE))</f>
        <v/>
      </c>
      <c r="C752" s="136" t="str">
        <f t="array" ref="C752">IF(A752="","",VLOOKUP(A752,INDIRECT("CXC!A2:C"&amp;COUNTA(CXC!A:A)),3,FALSE))</f>
        <v/>
      </c>
      <c r="D752" s="137" t="str">
        <f t="array" ref="D752">IF(A752="","",VLOOKUP(A752,INDIRECT("CXC!A2:H"&amp;COUNTA(CXC!A:A)),8,FALSE))</f>
        <v/>
      </c>
      <c r="E752" s="137" t="str">
        <f t="array" ref="E752">IFERROR(IF(A752="","",VLOOKUP(A752,INDIRECT("HISTÓRICO COBROS!A3:E"&amp;COUNTA('HISTÓRICO COBROS'!A:A)),5,FALSE)),"")</f>
        <v/>
      </c>
      <c r="F752" s="137" t="str">
        <f t="array" ref="F752">IF(A752="","",VLOOKUP(A752,INDIRECT("CXC!A2:I"&amp;COUNTA(CXC!A:A)),9,FALSE))</f>
        <v/>
      </c>
      <c r="G752" s="137" t="str">
        <f t="array" ref="G752">IFERROR(IF(A752="","",VLOOKUP(A752,INDIRECT("HISTÓRICO COBROS!A3:F"&amp;COUNTA('HISTÓRICO COBROS'!A:A)),6,FALSE)),"")</f>
        <v/>
      </c>
      <c r="H752" s="138" t="str">
        <f t="shared" ref="H752:I752" si="753">IF(D752="","",D752+F752)</f>
        <v/>
      </c>
      <c r="I752" s="135" t="str">
        <f t="shared" si="753"/>
        <v/>
      </c>
      <c r="J752" s="140" t="str">
        <f t="shared" si="3"/>
        <v/>
      </c>
      <c r="K752" s="140" t="str">
        <f t="shared" si="4"/>
        <v/>
      </c>
    </row>
    <row r="753" ht="22.5" customHeight="1">
      <c r="A753" s="140"/>
      <c r="B753" s="135" t="str">
        <f t="array" ref="B753">IF(A753="","",VLOOKUP(A753,INDIRECT("CXC!A2:B"&amp;COUNTA(CXC!A:A)),2,FALSE))</f>
        <v/>
      </c>
      <c r="C753" s="136" t="str">
        <f t="array" ref="C753">IF(A753="","",VLOOKUP(A753,INDIRECT("CXC!A2:C"&amp;COUNTA(CXC!A:A)),3,FALSE))</f>
        <v/>
      </c>
      <c r="D753" s="137" t="str">
        <f t="array" ref="D753">IF(A753="","",VLOOKUP(A753,INDIRECT("CXC!A2:H"&amp;COUNTA(CXC!A:A)),8,FALSE))</f>
        <v/>
      </c>
      <c r="E753" s="137" t="str">
        <f t="array" ref="E753">IFERROR(IF(A753="","",VLOOKUP(A753,INDIRECT("HISTÓRICO COBROS!A3:E"&amp;COUNTA('HISTÓRICO COBROS'!A:A)),5,FALSE)),"")</f>
        <v/>
      </c>
      <c r="F753" s="137" t="str">
        <f t="array" ref="F753">IF(A753="","",VLOOKUP(A753,INDIRECT("CXC!A2:I"&amp;COUNTA(CXC!A:A)),9,FALSE))</f>
        <v/>
      </c>
      <c r="G753" s="137" t="str">
        <f t="array" ref="G753">IFERROR(IF(A753="","",VLOOKUP(A753,INDIRECT("HISTÓRICO COBROS!A3:F"&amp;COUNTA('HISTÓRICO COBROS'!A:A)),6,FALSE)),"")</f>
        <v/>
      </c>
      <c r="H753" s="138" t="str">
        <f t="shared" ref="H753:I753" si="754">IF(D753="","",D753+F753)</f>
        <v/>
      </c>
      <c r="I753" s="135" t="str">
        <f t="shared" si="754"/>
        <v/>
      </c>
      <c r="J753" s="140" t="str">
        <f t="shared" si="3"/>
        <v/>
      </c>
      <c r="K753" s="140" t="str">
        <f t="shared" si="4"/>
        <v/>
      </c>
    </row>
    <row r="754" ht="22.5" customHeight="1">
      <c r="A754" s="140"/>
      <c r="B754" s="135" t="str">
        <f t="array" ref="B754">IF(A754="","",VLOOKUP(A754,INDIRECT("CXC!A2:B"&amp;COUNTA(CXC!A:A)),2,FALSE))</f>
        <v/>
      </c>
      <c r="C754" s="136" t="str">
        <f t="array" ref="C754">IF(A754="","",VLOOKUP(A754,INDIRECT("CXC!A2:C"&amp;COUNTA(CXC!A:A)),3,FALSE))</f>
        <v/>
      </c>
      <c r="D754" s="137" t="str">
        <f t="array" ref="D754">IF(A754="","",VLOOKUP(A754,INDIRECT("CXC!A2:H"&amp;COUNTA(CXC!A:A)),8,FALSE))</f>
        <v/>
      </c>
      <c r="E754" s="137" t="str">
        <f t="array" ref="E754">IFERROR(IF(A754="","",VLOOKUP(A754,INDIRECT("HISTÓRICO COBROS!A3:E"&amp;COUNTA('HISTÓRICO COBROS'!A:A)),5,FALSE)),"")</f>
        <v/>
      </c>
      <c r="F754" s="137" t="str">
        <f t="array" ref="F754">IF(A754="","",VLOOKUP(A754,INDIRECT("CXC!A2:I"&amp;COUNTA(CXC!A:A)),9,FALSE))</f>
        <v/>
      </c>
      <c r="G754" s="137" t="str">
        <f t="array" ref="G754">IFERROR(IF(A754="","",VLOOKUP(A754,INDIRECT("HISTÓRICO COBROS!A3:F"&amp;COUNTA('HISTÓRICO COBROS'!A:A)),6,FALSE)),"")</f>
        <v/>
      </c>
      <c r="H754" s="138" t="str">
        <f t="shared" ref="H754:I754" si="755">IF(D754="","",D754+F754)</f>
        <v/>
      </c>
      <c r="I754" s="135" t="str">
        <f t="shared" si="755"/>
        <v/>
      </c>
      <c r="J754" s="140" t="str">
        <f t="shared" si="3"/>
        <v/>
      </c>
      <c r="K754" s="140" t="str">
        <f t="shared" si="4"/>
        <v/>
      </c>
    </row>
    <row r="755" ht="22.5" customHeight="1">
      <c r="A755" s="140"/>
      <c r="B755" s="135" t="str">
        <f t="array" ref="B755">IF(A755="","",VLOOKUP(A755,INDIRECT("CXC!A2:B"&amp;COUNTA(CXC!A:A)),2,FALSE))</f>
        <v/>
      </c>
      <c r="C755" s="136" t="str">
        <f t="array" ref="C755">IF(A755="","",VLOOKUP(A755,INDIRECT("CXC!A2:C"&amp;COUNTA(CXC!A:A)),3,FALSE))</f>
        <v/>
      </c>
      <c r="D755" s="137" t="str">
        <f t="array" ref="D755">IF(A755="","",VLOOKUP(A755,INDIRECT("CXC!A2:H"&amp;COUNTA(CXC!A:A)),8,FALSE))</f>
        <v/>
      </c>
      <c r="E755" s="137" t="str">
        <f t="array" ref="E755">IFERROR(IF(A755="","",VLOOKUP(A755,INDIRECT("HISTÓRICO COBROS!A3:E"&amp;COUNTA('HISTÓRICO COBROS'!A:A)),5,FALSE)),"")</f>
        <v/>
      </c>
      <c r="F755" s="137" t="str">
        <f t="array" ref="F755">IF(A755="","",VLOOKUP(A755,INDIRECT("CXC!A2:I"&amp;COUNTA(CXC!A:A)),9,FALSE))</f>
        <v/>
      </c>
      <c r="G755" s="137" t="str">
        <f t="array" ref="G755">IFERROR(IF(A755="","",VLOOKUP(A755,INDIRECT("HISTÓRICO COBROS!A3:F"&amp;COUNTA('HISTÓRICO COBROS'!A:A)),6,FALSE)),"")</f>
        <v/>
      </c>
      <c r="H755" s="138" t="str">
        <f t="shared" ref="H755:I755" si="756">IF(D755="","",D755+F755)</f>
        <v/>
      </c>
      <c r="I755" s="135" t="str">
        <f t="shared" si="756"/>
        <v/>
      </c>
      <c r="J755" s="140" t="str">
        <f t="shared" si="3"/>
        <v/>
      </c>
      <c r="K755" s="140" t="str">
        <f t="shared" si="4"/>
        <v/>
      </c>
    </row>
    <row r="756" ht="22.5" customHeight="1">
      <c r="A756" s="140"/>
      <c r="B756" s="135" t="str">
        <f t="array" ref="B756">IF(A756="","",VLOOKUP(A756,INDIRECT("CXC!A2:B"&amp;COUNTA(CXC!A:A)),2,FALSE))</f>
        <v/>
      </c>
      <c r="C756" s="136" t="str">
        <f t="array" ref="C756">IF(A756="","",VLOOKUP(A756,INDIRECT("CXC!A2:C"&amp;COUNTA(CXC!A:A)),3,FALSE))</f>
        <v/>
      </c>
      <c r="D756" s="137" t="str">
        <f t="array" ref="D756">IF(A756="","",VLOOKUP(A756,INDIRECT("CXC!A2:H"&amp;COUNTA(CXC!A:A)),8,FALSE))</f>
        <v/>
      </c>
      <c r="E756" s="137" t="str">
        <f t="array" ref="E756">IFERROR(IF(A756="","",VLOOKUP(A756,INDIRECT("HISTÓRICO COBROS!A3:E"&amp;COUNTA('HISTÓRICO COBROS'!A:A)),5,FALSE)),"")</f>
        <v/>
      </c>
      <c r="F756" s="137" t="str">
        <f t="array" ref="F756">IF(A756="","",VLOOKUP(A756,INDIRECT("CXC!A2:I"&amp;COUNTA(CXC!A:A)),9,FALSE))</f>
        <v/>
      </c>
      <c r="G756" s="137" t="str">
        <f t="array" ref="G756">IFERROR(IF(A756="","",VLOOKUP(A756,INDIRECT("HISTÓRICO COBROS!A3:F"&amp;COUNTA('HISTÓRICO COBROS'!A:A)),6,FALSE)),"")</f>
        <v/>
      </c>
      <c r="H756" s="138" t="str">
        <f t="shared" ref="H756:I756" si="757">IF(D756="","",D756+F756)</f>
        <v/>
      </c>
      <c r="I756" s="135" t="str">
        <f t="shared" si="757"/>
        <v/>
      </c>
      <c r="J756" s="140" t="str">
        <f t="shared" si="3"/>
        <v/>
      </c>
      <c r="K756" s="140" t="str">
        <f t="shared" si="4"/>
        <v/>
      </c>
    </row>
    <row r="757" ht="22.5" customHeight="1">
      <c r="A757" s="140"/>
      <c r="B757" s="135" t="str">
        <f t="array" ref="B757">IF(A757="","",VLOOKUP(A757,INDIRECT("CXC!A2:B"&amp;COUNTA(CXC!A:A)),2,FALSE))</f>
        <v/>
      </c>
      <c r="C757" s="136" t="str">
        <f t="array" ref="C757">IF(A757="","",VLOOKUP(A757,INDIRECT("CXC!A2:C"&amp;COUNTA(CXC!A:A)),3,FALSE))</f>
        <v/>
      </c>
      <c r="D757" s="137" t="str">
        <f t="array" ref="D757">IF(A757="","",VLOOKUP(A757,INDIRECT("CXC!A2:H"&amp;COUNTA(CXC!A:A)),8,FALSE))</f>
        <v/>
      </c>
      <c r="E757" s="137" t="str">
        <f t="array" ref="E757">IFERROR(IF(A757="","",VLOOKUP(A757,INDIRECT("HISTÓRICO COBROS!A3:E"&amp;COUNTA('HISTÓRICO COBROS'!A:A)),5,FALSE)),"")</f>
        <v/>
      </c>
      <c r="F757" s="137" t="str">
        <f t="array" ref="F757">IF(A757="","",VLOOKUP(A757,INDIRECT("CXC!A2:I"&amp;COUNTA(CXC!A:A)),9,FALSE))</f>
        <v/>
      </c>
      <c r="G757" s="137" t="str">
        <f t="array" ref="G757">IFERROR(IF(A757="","",VLOOKUP(A757,INDIRECT("HISTÓRICO COBROS!A3:F"&amp;COUNTA('HISTÓRICO COBROS'!A:A)),6,FALSE)),"")</f>
        <v/>
      </c>
      <c r="H757" s="138" t="str">
        <f t="shared" ref="H757:I757" si="758">IF(D757="","",D757+F757)</f>
        <v/>
      </c>
      <c r="I757" s="135" t="str">
        <f t="shared" si="758"/>
        <v/>
      </c>
      <c r="J757" s="140" t="str">
        <f t="shared" si="3"/>
        <v/>
      </c>
      <c r="K757" s="140" t="str">
        <f t="shared" si="4"/>
        <v/>
      </c>
    </row>
    <row r="758" ht="22.5" customHeight="1">
      <c r="A758" s="140"/>
      <c r="B758" s="135" t="str">
        <f t="array" ref="B758">IF(A758="","",VLOOKUP(A758,INDIRECT("CXC!A2:B"&amp;COUNTA(CXC!A:A)),2,FALSE))</f>
        <v/>
      </c>
      <c r="C758" s="136" t="str">
        <f t="array" ref="C758">IF(A758="","",VLOOKUP(A758,INDIRECT("CXC!A2:C"&amp;COUNTA(CXC!A:A)),3,FALSE))</f>
        <v/>
      </c>
      <c r="D758" s="137" t="str">
        <f t="array" ref="D758">IF(A758="","",VLOOKUP(A758,INDIRECT("CXC!A2:H"&amp;COUNTA(CXC!A:A)),8,FALSE))</f>
        <v/>
      </c>
      <c r="E758" s="137" t="str">
        <f t="array" ref="E758">IFERROR(IF(A758="","",VLOOKUP(A758,INDIRECT("HISTÓRICO COBROS!A3:E"&amp;COUNTA('HISTÓRICO COBROS'!A:A)),5,FALSE)),"")</f>
        <v/>
      </c>
      <c r="F758" s="137" t="str">
        <f t="array" ref="F758">IF(A758="","",VLOOKUP(A758,INDIRECT("CXC!A2:I"&amp;COUNTA(CXC!A:A)),9,FALSE))</f>
        <v/>
      </c>
      <c r="G758" s="137" t="str">
        <f t="array" ref="G758">IFERROR(IF(A758="","",VLOOKUP(A758,INDIRECT("HISTÓRICO COBROS!A3:F"&amp;COUNTA('HISTÓRICO COBROS'!A:A)),6,FALSE)),"")</f>
        <v/>
      </c>
      <c r="H758" s="138" t="str">
        <f t="shared" ref="H758:I758" si="759">IF(D758="","",D758+F758)</f>
        <v/>
      </c>
      <c r="I758" s="135" t="str">
        <f t="shared" si="759"/>
        <v/>
      </c>
      <c r="J758" s="140" t="str">
        <f t="shared" si="3"/>
        <v/>
      </c>
      <c r="K758" s="140" t="str">
        <f t="shared" si="4"/>
        <v/>
      </c>
    </row>
    <row r="759" ht="22.5" customHeight="1">
      <c r="A759" s="140"/>
      <c r="B759" s="135" t="str">
        <f t="array" ref="B759">IF(A759="","",VLOOKUP(A759,INDIRECT("CXC!A2:B"&amp;COUNTA(CXC!A:A)),2,FALSE))</f>
        <v/>
      </c>
      <c r="C759" s="136" t="str">
        <f t="array" ref="C759">IF(A759="","",VLOOKUP(A759,INDIRECT("CXC!A2:C"&amp;COUNTA(CXC!A:A)),3,FALSE))</f>
        <v/>
      </c>
      <c r="D759" s="137" t="str">
        <f t="array" ref="D759">IF(A759="","",VLOOKUP(A759,INDIRECT("CXC!A2:H"&amp;COUNTA(CXC!A:A)),8,FALSE))</f>
        <v/>
      </c>
      <c r="E759" s="137" t="str">
        <f t="array" ref="E759">IFERROR(IF(A759="","",VLOOKUP(A759,INDIRECT("HISTÓRICO COBROS!A3:E"&amp;COUNTA('HISTÓRICO COBROS'!A:A)),5,FALSE)),"")</f>
        <v/>
      </c>
      <c r="F759" s="137" t="str">
        <f t="array" ref="F759">IF(A759="","",VLOOKUP(A759,INDIRECT("CXC!A2:I"&amp;COUNTA(CXC!A:A)),9,FALSE))</f>
        <v/>
      </c>
      <c r="G759" s="137" t="str">
        <f t="array" ref="G759">IFERROR(IF(A759="","",VLOOKUP(A759,INDIRECT("HISTÓRICO COBROS!A3:F"&amp;COUNTA('HISTÓRICO COBROS'!A:A)),6,FALSE)),"")</f>
        <v/>
      </c>
      <c r="H759" s="138" t="str">
        <f t="shared" ref="H759:I759" si="760">IF(D759="","",D759+F759)</f>
        <v/>
      </c>
      <c r="I759" s="135" t="str">
        <f t="shared" si="760"/>
        <v/>
      </c>
      <c r="J759" s="140" t="str">
        <f t="shared" si="3"/>
        <v/>
      </c>
      <c r="K759" s="140" t="str">
        <f t="shared" si="4"/>
        <v/>
      </c>
    </row>
    <row r="760" ht="22.5" customHeight="1">
      <c r="A760" s="140"/>
      <c r="B760" s="135" t="str">
        <f t="array" ref="B760">IF(A760="","",VLOOKUP(A760,INDIRECT("CXC!A2:B"&amp;COUNTA(CXC!A:A)),2,FALSE))</f>
        <v/>
      </c>
      <c r="C760" s="136" t="str">
        <f t="array" ref="C760">IF(A760="","",VLOOKUP(A760,INDIRECT("CXC!A2:C"&amp;COUNTA(CXC!A:A)),3,FALSE))</f>
        <v/>
      </c>
      <c r="D760" s="137" t="str">
        <f t="array" ref="D760">IF(A760="","",VLOOKUP(A760,INDIRECT("CXC!A2:H"&amp;COUNTA(CXC!A:A)),8,FALSE))</f>
        <v/>
      </c>
      <c r="E760" s="137" t="str">
        <f t="array" ref="E760">IFERROR(IF(A760="","",VLOOKUP(A760,INDIRECT("HISTÓRICO COBROS!A3:E"&amp;COUNTA('HISTÓRICO COBROS'!A:A)),5,FALSE)),"")</f>
        <v/>
      </c>
      <c r="F760" s="137" t="str">
        <f t="array" ref="F760">IF(A760="","",VLOOKUP(A760,INDIRECT("CXC!A2:I"&amp;COUNTA(CXC!A:A)),9,FALSE))</f>
        <v/>
      </c>
      <c r="G760" s="137" t="str">
        <f t="array" ref="G760">IFERROR(IF(A760="","",VLOOKUP(A760,INDIRECT("HISTÓRICO COBROS!A3:F"&amp;COUNTA('HISTÓRICO COBROS'!A:A)),6,FALSE)),"")</f>
        <v/>
      </c>
      <c r="H760" s="138" t="str">
        <f t="shared" ref="H760:I760" si="761">IF(D760="","",D760+F760)</f>
        <v/>
      </c>
      <c r="I760" s="135" t="str">
        <f t="shared" si="761"/>
        <v/>
      </c>
      <c r="J760" s="140" t="str">
        <f t="shared" si="3"/>
        <v/>
      </c>
      <c r="K760" s="140" t="str">
        <f t="shared" si="4"/>
        <v/>
      </c>
    </row>
    <row r="761" ht="22.5" customHeight="1">
      <c r="A761" s="140"/>
      <c r="B761" s="135" t="str">
        <f t="array" ref="B761">IF(A761="","",VLOOKUP(A761,INDIRECT("CXC!A2:B"&amp;COUNTA(CXC!A:A)),2,FALSE))</f>
        <v/>
      </c>
      <c r="C761" s="136" t="str">
        <f t="array" ref="C761">IF(A761="","",VLOOKUP(A761,INDIRECT("CXC!A2:C"&amp;COUNTA(CXC!A:A)),3,FALSE))</f>
        <v/>
      </c>
      <c r="D761" s="137" t="str">
        <f t="array" ref="D761">IF(A761="","",VLOOKUP(A761,INDIRECT("CXC!A2:H"&amp;COUNTA(CXC!A:A)),8,FALSE))</f>
        <v/>
      </c>
      <c r="E761" s="137" t="str">
        <f t="array" ref="E761">IFERROR(IF(A761="","",VLOOKUP(A761,INDIRECT("HISTÓRICO COBROS!A3:E"&amp;COUNTA('HISTÓRICO COBROS'!A:A)),5,FALSE)),"")</f>
        <v/>
      </c>
      <c r="F761" s="137" t="str">
        <f t="array" ref="F761">IF(A761="","",VLOOKUP(A761,INDIRECT("CXC!A2:I"&amp;COUNTA(CXC!A:A)),9,FALSE))</f>
        <v/>
      </c>
      <c r="G761" s="137" t="str">
        <f t="array" ref="G761">IFERROR(IF(A761="","",VLOOKUP(A761,INDIRECT("HISTÓRICO COBROS!A3:F"&amp;COUNTA('HISTÓRICO COBROS'!A:A)),6,FALSE)),"")</f>
        <v/>
      </c>
      <c r="H761" s="138" t="str">
        <f t="shared" ref="H761:I761" si="762">IF(D761="","",D761+F761)</f>
        <v/>
      </c>
      <c r="I761" s="135" t="str">
        <f t="shared" si="762"/>
        <v/>
      </c>
      <c r="J761" s="140" t="str">
        <f t="shared" si="3"/>
        <v/>
      </c>
      <c r="K761" s="140" t="str">
        <f t="shared" si="4"/>
        <v/>
      </c>
    </row>
    <row r="762" ht="22.5" customHeight="1">
      <c r="A762" s="140"/>
      <c r="B762" s="135" t="str">
        <f t="array" ref="B762">IF(A762="","",VLOOKUP(A762,INDIRECT("CXC!A2:B"&amp;COUNTA(CXC!A:A)),2,FALSE))</f>
        <v/>
      </c>
      <c r="C762" s="136" t="str">
        <f t="array" ref="C762">IF(A762="","",VLOOKUP(A762,INDIRECT("CXC!A2:C"&amp;COUNTA(CXC!A:A)),3,FALSE))</f>
        <v/>
      </c>
      <c r="D762" s="137" t="str">
        <f t="array" ref="D762">IF(A762="","",VLOOKUP(A762,INDIRECT("CXC!A2:H"&amp;COUNTA(CXC!A:A)),8,FALSE))</f>
        <v/>
      </c>
      <c r="E762" s="137" t="str">
        <f t="array" ref="E762">IFERROR(IF(A762="","",VLOOKUP(A762,INDIRECT("HISTÓRICO COBROS!A3:E"&amp;COUNTA('HISTÓRICO COBROS'!A:A)),5,FALSE)),"")</f>
        <v/>
      </c>
      <c r="F762" s="137" t="str">
        <f t="array" ref="F762">IF(A762="","",VLOOKUP(A762,INDIRECT("CXC!A2:I"&amp;COUNTA(CXC!A:A)),9,FALSE))</f>
        <v/>
      </c>
      <c r="G762" s="137" t="str">
        <f t="array" ref="G762">IFERROR(IF(A762="","",VLOOKUP(A762,INDIRECT("HISTÓRICO COBROS!A3:F"&amp;COUNTA('HISTÓRICO COBROS'!A:A)),6,FALSE)),"")</f>
        <v/>
      </c>
      <c r="H762" s="138" t="str">
        <f t="shared" ref="H762:I762" si="763">IF(D762="","",D762+F762)</f>
        <v/>
      </c>
      <c r="I762" s="135" t="str">
        <f t="shared" si="763"/>
        <v/>
      </c>
      <c r="J762" s="140" t="str">
        <f t="shared" si="3"/>
        <v/>
      </c>
      <c r="K762" s="140" t="str">
        <f t="shared" si="4"/>
        <v/>
      </c>
    </row>
    <row r="763" ht="22.5" customHeight="1">
      <c r="A763" s="140"/>
      <c r="B763" s="135" t="str">
        <f t="array" ref="B763">IF(A763="","",VLOOKUP(A763,INDIRECT("CXC!A2:B"&amp;COUNTA(CXC!A:A)),2,FALSE))</f>
        <v/>
      </c>
      <c r="C763" s="136" t="str">
        <f t="array" ref="C763">IF(A763="","",VLOOKUP(A763,INDIRECT("CXC!A2:C"&amp;COUNTA(CXC!A:A)),3,FALSE))</f>
        <v/>
      </c>
      <c r="D763" s="137" t="str">
        <f t="array" ref="D763">IF(A763="","",VLOOKUP(A763,INDIRECT("CXC!A2:H"&amp;COUNTA(CXC!A:A)),8,FALSE))</f>
        <v/>
      </c>
      <c r="E763" s="137" t="str">
        <f t="array" ref="E763">IFERROR(IF(A763="","",VLOOKUP(A763,INDIRECT("HISTÓRICO COBROS!A3:E"&amp;COUNTA('HISTÓRICO COBROS'!A:A)),5,FALSE)),"")</f>
        <v/>
      </c>
      <c r="F763" s="137" t="str">
        <f t="array" ref="F763">IF(A763="","",VLOOKUP(A763,INDIRECT("CXC!A2:I"&amp;COUNTA(CXC!A:A)),9,FALSE))</f>
        <v/>
      </c>
      <c r="G763" s="137" t="str">
        <f t="array" ref="G763">IFERROR(IF(A763="","",VLOOKUP(A763,INDIRECT("HISTÓRICO COBROS!A3:F"&amp;COUNTA('HISTÓRICO COBROS'!A:A)),6,FALSE)),"")</f>
        <v/>
      </c>
      <c r="H763" s="138" t="str">
        <f t="shared" ref="H763:I763" si="764">IF(D763="","",D763+F763)</f>
        <v/>
      </c>
      <c r="I763" s="135" t="str">
        <f t="shared" si="764"/>
        <v/>
      </c>
      <c r="J763" s="140" t="str">
        <f t="shared" si="3"/>
        <v/>
      </c>
      <c r="K763" s="140" t="str">
        <f t="shared" si="4"/>
        <v/>
      </c>
    </row>
    <row r="764" ht="22.5" customHeight="1">
      <c r="A764" s="140"/>
      <c r="B764" s="135" t="str">
        <f t="array" ref="B764">IF(A764="","",VLOOKUP(A764,INDIRECT("CXC!A2:B"&amp;COUNTA(CXC!A:A)),2,FALSE))</f>
        <v/>
      </c>
      <c r="C764" s="136" t="str">
        <f t="array" ref="C764">IF(A764="","",VLOOKUP(A764,INDIRECT("CXC!A2:C"&amp;COUNTA(CXC!A:A)),3,FALSE))</f>
        <v/>
      </c>
      <c r="D764" s="137" t="str">
        <f t="array" ref="D764">IF(A764="","",VLOOKUP(A764,INDIRECT("CXC!A2:H"&amp;COUNTA(CXC!A:A)),8,FALSE))</f>
        <v/>
      </c>
      <c r="E764" s="137" t="str">
        <f t="array" ref="E764">IFERROR(IF(A764="","",VLOOKUP(A764,INDIRECT("HISTÓRICO COBROS!A3:E"&amp;COUNTA('HISTÓRICO COBROS'!A:A)),5,FALSE)),"")</f>
        <v/>
      </c>
      <c r="F764" s="137" t="str">
        <f t="array" ref="F764">IF(A764="","",VLOOKUP(A764,INDIRECT("CXC!A2:I"&amp;COUNTA(CXC!A:A)),9,FALSE))</f>
        <v/>
      </c>
      <c r="G764" s="137" t="str">
        <f t="array" ref="G764">IFERROR(IF(A764="","",VLOOKUP(A764,INDIRECT("HISTÓRICO COBROS!A3:F"&amp;COUNTA('HISTÓRICO COBROS'!A:A)),6,FALSE)),"")</f>
        <v/>
      </c>
      <c r="H764" s="138" t="str">
        <f t="shared" ref="H764:I764" si="765">IF(D764="","",D764+F764)</f>
        <v/>
      </c>
      <c r="I764" s="135" t="str">
        <f t="shared" si="765"/>
        <v/>
      </c>
      <c r="J764" s="140" t="str">
        <f t="shared" si="3"/>
        <v/>
      </c>
      <c r="K764" s="140" t="str">
        <f t="shared" si="4"/>
        <v/>
      </c>
    </row>
    <row r="765" ht="22.5" customHeight="1">
      <c r="A765" s="140"/>
      <c r="B765" s="135" t="str">
        <f t="array" ref="B765">IF(A765="","",VLOOKUP(A765,INDIRECT("CXC!A2:B"&amp;COUNTA(CXC!A:A)),2,FALSE))</f>
        <v/>
      </c>
      <c r="C765" s="136" t="str">
        <f t="array" ref="C765">IF(A765="","",VLOOKUP(A765,INDIRECT("CXC!A2:C"&amp;COUNTA(CXC!A:A)),3,FALSE))</f>
        <v/>
      </c>
      <c r="D765" s="137" t="str">
        <f t="array" ref="D765">IF(A765="","",VLOOKUP(A765,INDIRECT("CXC!A2:H"&amp;COUNTA(CXC!A:A)),8,FALSE))</f>
        <v/>
      </c>
      <c r="E765" s="137" t="str">
        <f t="array" ref="E765">IFERROR(IF(A765="","",VLOOKUP(A765,INDIRECT("HISTÓRICO COBROS!A3:E"&amp;COUNTA('HISTÓRICO COBROS'!A:A)),5,FALSE)),"")</f>
        <v/>
      </c>
      <c r="F765" s="137" t="str">
        <f t="array" ref="F765">IF(A765="","",VLOOKUP(A765,INDIRECT("CXC!A2:I"&amp;COUNTA(CXC!A:A)),9,FALSE))</f>
        <v/>
      </c>
      <c r="G765" s="137" t="str">
        <f t="array" ref="G765">IFERROR(IF(A765="","",VLOOKUP(A765,INDIRECT("HISTÓRICO COBROS!A3:F"&amp;COUNTA('HISTÓRICO COBROS'!A:A)),6,FALSE)),"")</f>
        <v/>
      </c>
      <c r="H765" s="138" t="str">
        <f t="shared" ref="H765:I765" si="766">IF(D765="","",D765+F765)</f>
        <v/>
      </c>
      <c r="I765" s="135" t="str">
        <f t="shared" si="766"/>
        <v/>
      </c>
      <c r="J765" s="140" t="str">
        <f t="shared" si="3"/>
        <v/>
      </c>
      <c r="K765" s="140" t="str">
        <f t="shared" si="4"/>
        <v/>
      </c>
    </row>
    <row r="766" ht="22.5" customHeight="1">
      <c r="A766" s="140"/>
      <c r="B766" s="135" t="str">
        <f t="array" ref="B766">IF(A766="","",VLOOKUP(A766,INDIRECT("CXC!A2:B"&amp;COUNTA(CXC!A:A)),2,FALSE))</f>
        <v/>
      </c>
      <c r="C766" s="136" t="str">
        <f t="array" ref="C766">IF(A766="","",VLOOKUP(A766,INDIRECT("CXC!A2:C"&amp;COUNTA(CXC!A:A)),3,FALSE))</f>
        <v/>
      </c>
      <c r="D766" s="137" t="str">
        <f t="array" ref="D766">IF(A766="","",VLOOKUP(A766,INDIRECT("CXC!A2:H"&amp;COUNTA(CXC!A:A)),8,FALSE))</f>
        <v/>
      </c>
      <c r="E766" s="137" t="str">
        <f t="array" ref="E766">IFERROR(IF(A766="","",VLOOKUP(A766,INDIRECT("HISTÓRICO COBROS!A3:E"&amp;COUNTA('HISTÓRICO COBROS'!A:A)),5,FALSE)),"")</f>
        <v/>
      </c>
      <c r="F766" s="137" t="str">
        <f t="array" ref="F766">IF(A766="","",VLOOKUP(A766,INDIRECT("CXC!A2:I"&amp;COUNTA(CXC!A:A)),9,FALSE))</f>
        <v/>
      </c>
      <c r="G766" s="137" t="str">
        <f t="array" ref="G766">IFERROR(IF(A766="","",VLOOKUP(A766,INDIRECT("HISTÓRICO COBROS!A3:F"&amp;COUNTA('HISTÓRICO COBROS'!A:A)),6,FALSE)),"")</f>
        <v/>
      </c>
      <c r="H766" s="138" t="str">
        <f t="shared" ref="H766:I766" si="767">IF(D766="","",D766+F766)</f>
        <v/>
      </c>
      <c r="I766" s="135" t="str">
        <f t="shared" si="767"/>
        <v/>
      </c>
      <c r="J766" s="140" t="str">
        <f t="shared" si="3"/>
        <v/>
      </c>
      <c r="K766" s="140" t="str">
        <f t="shared" si="4"/>
        <v/>
      </c>
    </row>
    <row r="767" ht="22.5" customHeight="1">
      <c r="A767" s="140"/>
      <c r="B767" s="135" t="str">
        <f t="array" ref="B767">IF(A767="","",VLOOKUP(A767,INDIRECT("CXC!A2:B"&amp;COUNTA(CXC!A:A)),2,FALSE))</f>
        <v/>
      </c>
      <c r="C767" s="136" t="str">
        <f t="array" ref="C767">IF(A767="","",VLOOKUP(A767,INDIRECT("CXC!A2:C"&amp;COUNTA(CXC!A:A)),3,FALSE))</f>
        <v/>
      </c>
      <c r="D767" s="137" t="str">
        <f t="array" ref="D767">IF(A767="","",VLOOKUP(A767,INDIRECT("CXC!A2:H"&amp;COUNTA(CXC!A:A)),8,FALSE))</f>
        <v/>
      </c>
      <c r="E767" s="137" t="str">
        <f t="array" ref="E767">IFERROR(IF(A767="","",VLOOKUP(A767,INDIRECT("HISTÓRICO COBROS!A3:E"&amp;COUNTA('HISTÓRICO COBROS'!A:A)),5,FALSE)),"")</f>
        <v/>
      </c>
      <c r="F767" s="137" t="str">
        <f t="array" ref="F767">IF(A767="","",VLOOKUP(A767,INDIRECT("CXC!A2:I"&amp;COUNTA(CXC!A:A)),9,FALSE))</f>
        <v/>
      </c>
      <c r="G767" s="137" t="str">
        <f t="array" ref="G767">IFERROR(IF(A767="","",VLOOKUP(A767,INDIRECT("HISTÓRICO COBROS!A3:F"&amp;COUNTA('HISTÓRICO COBROS'!A:A)),6,FALSE)),"")</f>
        <v/>
      </c>
      <c r="H767" s="138" t="str">
        <f t="shared" ref="H767:I767" si="768">IF(D767="","",D767+F767)</f>
        <v/>
      </c>
      <c r="I767" s="135" t="str">
        <f t="shared" si="768"/>
        <v/>
      </c>
      <c r="J767" s="140" t="str">
        <f t="shared" si="3"/>
        <v/>
      </c>
      <c r="K767" s="140" t="str">
        <f t="shared" si="4"/>
        <v/>
      </c>
    </row>
    <row r="768" ht="22.5" customHeight="1">
      <c r="A768" s="140"/>
      <c r="B768" s="135" t="str">
        <f t="array" ref="B768">IF(A768="","",VLOOKUP(A768,INDIRECT("CXC!A2:B"&amp;COUNTA(CXC!A:A)),2,FALSE))</f>
        <v/>
      </c>
      <c r="C768" s="136" t="str">
        <f t="array" ref="C768">IF(A768="","",VLOOKUP(A768,INDIRECT("CXC!A2:C"&amp;COUNTA(CXC!A:A)),3,FALSE))</f>
        <v/>
      </c>
      <c r="D768" s="137" t="str">
        <f t="array" ref="D768">IF(A768="","",VLOOKUP(A768,INDIRECT("CXC!A2:H"&amp;COUNTA(CXC!A:A)),8,FALSE))</f>
        <v/>
      </c>
      <c r="E768" s="137" t="str">
        <f t="array" ref="E768">IFERROR(IF(A768="","",VLOOKUP(A768,INDIRECT("HISTÓRICO COBROS!A3:E"&amp;COUNTA('HISTÓRICO COBROS'!A:A)),5,FALSE)),"")</f>
        <v/>
      </c>
      <c r="F768" s="137" t="str">
        <f t="array" ref="F768">IF(A768="","",VLOOKUP(A768,INDIRECT("CXC!A2:I"&amp;COUNTA(CXC!A:A)),9,FALSE))</f>
        <v/>
      </c>
      <c r="G768" s="137" t="str">
        <f t="array" ref="G768">IFERROR(IF(A768="","",VLOOKUP(A768,INDIRECT("HISTÓRICO COBROS!A3:F"&amp;COUNTA('HISTÓRICO COBROS'!A:A)),6,FALSE)),"")</f>
        <v/>
      </c>
      <c r="H768" s="138" t="str">
        <f t="shared" ref="H768:I768" si="769">IF(D768="","",D768+F768)</f>
        <v/>
      </c>
      <c r="I768" s="135" t="str">
        <f t="shared" si="769"/>
        <v/>
      </c>
      <c r="J768" s="140" t="str">
        <f t="shared" si="3"/>
        <v/>
      </c>
      <c r="K768" s="140" t="str">
        <f t="shared" si="4"/>
        <v/>
      </c>
    </row>
    <row r="769" ht="22.5" customHeight="1">
      <c r="A769" s="140"/>
      <c r="B769" s="135" t="str">
        <f t="array" ref="B769">IF(A769="","",VLOOKUP(A769,INDIRECT("CXC!A2:B"&amp;COUNTA(CXC!A:A)),2,FALSE))</f>
        <v/>
      </c>
      <c r="C769" s="136" t="str">
        <f t="array" ref="C769">IF(A769="","",VLOOKUP(A769,INDIRECT("CXC!A2:C"&amp;COUNTA(CXC!A:A)),3,FALSE))</f>
        <v/>
      </c>
      <c r="D769" s="137" t="str">
        <f t="array" ref="D769">IF(A769="","",VLOOKUP(A769,INDIRECT("CXC!A2:H"&amp;COUNTA(CXC!A:A)),8,FALSE))</f>
        <v/>
      </c>
      <c r="E769" s="137" t="str">
        <f t="array" ref="E769">IFERROR(IF(A769="","",VLOOKUP(A769,INDIRECT("HISTÓRICO COBROS!A3:E"&amp;COUNTA('HISTÓRICO COBROS'!A:A)),5,FALSE)),"")</f>
        <v/>
      </c>
      <c r="F769" s="137" t="str">
        <f t="array" ref="F769">IF(A769="","",VLOOKUP(A769,INDIRECT("CXC!A2:I"&amp;COUNTA(CXC!A:A)),9,FALSE))</f>
        <v/>
      </c>
      <c r="G769" s="137" t="str">
        <f t="array" ref="G769">IFERROR(IF(A769="","",VLOOKUP(A769,INDIRECT("HISTÓRICO COBROS!A3:F"&amp;COUNTA('HISTÓRICO COBROS'!A:A)),6,FALSE)),"")</f>
        <v/>
      </c>
      <c r="H769" s="138" t="str">
        <f t="shared" ref="H769:I769" si="770">IF(D769="","",D769+F769)</f>
        <v/>
      </c>
      <c r="I769" s="135" t="str">
        <f t="shared" si="770"/>
        <v/>
      </c>
      <c r="J769" s="140" t="str">
        <f t="shared" si="3"/>
        <v/>
      </c>
      <c r="K769" s="140" t="str">
        <f t="shared" si="4"/>
        <v/>
      </c>
    </row>
    <row r="770" ht="22.5" customHeight="1">
      <c r="A770" s="140"/>
      <c r="B770" s="135" t="str">
        <f t="array" ref="B770">IF(A770="","",VLOOKUP(A770,INDIRECT("CXC!A2:B"&amp;COUNTA(CXC!A:A)),2,FALSE))</f>
        <v/>
      </c>
      <c r="C770" s="136" t="str">
        <f t="array" ref="C770">IF(A770="","",VLOOKUP(A770,INDIRECT("CXC!A2:C"&amp;COUNTA(CXC!A:A)),3,FALSE))</f>
        <v/>
      </c>
      <c r="D770" s="137" t="str">
        <f t="array" ref="D770">IF(A770="","",VLOOKUP(A770,INDIRECT("CXC!A2:H"&amp;COUNTA(CXC!A:A)),8,FALSE))</f>
        <v/>
      </c>
      <c r="E770" s="137" t="str">
        <f t="array" ref="E770">IFERROR(IF(A770="","",VLOOKUP(A770,INDIRECT("HISTÓRICO COBROS!A3:E"&amp;COUNTA('HISTÓRICO COBROS'!A:A)),5,FALSE)),"")</f>
        <v/>
      </c>
      <c r="F770" s="137" t="str">
        <f t="array" ref="F770">IF(A770="","",VLOOKUP(A770,INDIRECT("CXC!A2:I"&amp;COUNTA(CXC!A:A)),9,FALSE))</f>
        <v/>
      </c>
      <c r="G770" s="137" t="str">
        <f t="array" ref="G770">IFERROR(IF(A770="","",VLOOKUP(A770,INDIRECT("HISTÓRICO COBROS!A3:F"&amp;COUNTA('HISTÓRICO COBROS'!A:A)),6,FALSE)),"")</f>
        <v/>
      </c>
      <c r="H770" s="138" t="str">
        <f t="shared" ref="H770:I770" si="771">IF(D770="","",D770+F770)</f>
        <v/>
      </c>
      <c r="I770" s="135" t="str">
        <f t="shared" si="771"/>
        <v/>
      </c>
      <c r="J770" s="140" t="str">
        <f t="shared" si="3"/>
        <v/>
      </c>
      <c r="K770" s="140" t="str">
        <f t="shared" si="4"/>
        <v/>
      </c>
    </row>
    <row r="771" ht="22.5" customHeight="1">
      <c r="A771" s="140"/>
      <c r="B771" s="135" t="str">
        <f t="array" ref="B771">IF(A771="","",VLOOKUP(A771,INDIRECT("CXC!A2:B"&amp;COUNTA(CXC!A:A)),2,FALSE))</f>
        <v/>
      </c>
      <c r="C771" s="136" t="str">
        <f t="array" ref="C771">IF(A771="","",VLOOKUP(A771,INDIRECT("CXC!A2:C"&amp;COUNTA(CXC!A:A)),3,FALSE))</f>
        <v/>
      </c>
      <c r="D771" s="137" t="str">
        <f t="array" ref="D771">IF(A771="","",VLOOKUP(A771,INDIRECT("CXC!A2:H"&amp;COUNTA(CXC!A:A)),8,FALSE))</f>
        <v/>
      </c>
      <c r="E771" s="137" t="str">
        <f t="array" ref="E771">IFERROR(IF(A771="","",VLOOKUP(A771,INDIRECT("HISTÓRICO COBROS!A3:E"&amp;COUNTA('HISTÓRICO COBROS'!A:A)),5,FALSE)),"")</f>
        <v/>
      </c>
      <c r="F771" s="137" t="str">
        <f t="array" ref="F771">IF(A771="","",VLOOKUP(A771,INDIRECT("CXC!A2:I"&amp;COUNTA(CXC!A:A)),9,FALSE))</f>
        <v/>
      </c>
      <c r="G771" s="137" t="str">
        <f t="array" ref="G771">IFERROR(IF(A771="","",VLOOKUP(A771,INDIRECT("HISTÓRICO COBROS!A3:F"&amp;COUNTA('HISTÓRICO COBROS'!A:A)),6,FALSE)),"")</f>
        <v/>
      </c>
      <c r="H771" s="138" t="str">
        <f t="shared" ref="H771:I771" si="772">IF(D771="","",D771+F771)</f>
        <v/>
      </c>
      <c r="I771" s="135" t="str">
        <f t="shared" si="772"/>
        <v/>
      </c>
      <c r="J771" s="140" t="str">
        <f t="shared" si="3"/>
        <v/>
      </c>
      <c r="K771" s="140" t="str">
        <f t="shared" si="4"/>
        <v/>
      </c>
    </row>
    <row r="772" ht="22.5" customHeight="1">
      <c r="A772" s="140"/>
      <c r="B772" s="135" t="str">
        <f t="array" ref="B772">IF(A772="","",VLOOKUP(A772,INDIRECT("CXC!A2:B"&amp;COUNTA(CXC!A:A)),2,FALSE))</f>
        <v/>
      </c>
      <c r="C772" s="136" t="str">
        <f t="array" ref="C772">IF(A772="","",VLOOKUP(A772,INDIRECT("CXC!A2:C"&amp;COUNTA(CXC!A:A)),3,FALSE))</f>
        <v/>
      </c>
      <c r="D772" s="137" t="str">
        <f t="array" ref="D772">IF(A772="","",VLOOKUP(A772,INDIRECT("CXC!A2:H"&amp;COUNTA(CXC!A:A)),8,FALSE))</f>
        <v/>
      </c>
      <c r="E772" s="137" t="str">
        <f t="array" ref="E772">IFERROR(IF(A772="","",VLOOKUP(A772,INDIRECT("HISTÓRICO COBROS!A3:E"&amp;COUNTA('HISTÓRICO COBROS'!A:A)),5,FALSE)),"")</f>
        <v/>
      </c>
      <c r="F772" s="137" t="str">
        <f t="array" ref="F772">IF(A772="","",VLOOKUP(A772,INDIRECT("CXC!A2:I"&amp;COUNTA(CXC!A:A)),9,FALSE))</f>
        <v/>
      </c>
      <c r="G772" s="137" t="str">
        <f t="array" ref="G772">IFERROR(IF(A772="","",VLOOKUP(A772,INDIRECT("HISTÓRICO COBROS!A3:F"&amp;COUNTA('HISTÓRICO COBROS'!A:A)),6,FALSE)),"")</f>
        <v/>
      </c>
      <c r="H772" s="138" t="str">
        <f t="shared" ref="H772:I772" si="773">IF(D772="","",D772+F772)</f>
        <v/>
      </c>
      <c r="I772" s="135" t="str">
        <f t="shared" si="773"/>
        <v/>
      </c>
      <c r="J772" s="140" t="str">
        <f t="shared" si="3"/>
        <v/>
      </c>
      <c r="K772" s="140" t="str">
        <f t="shared" si="4"/>
        <v/>
      </c>
    </row>
    <row r="773" ht="22.5" customHeight="1">
      <c r="A773" s="140"/>
      <c r="B773" s="135" t="str">
        <f t="array" ref="B773">IF(A773="","",VLOOKUP(A773,INDIRECT("CXC!A2:B"&amp;COUNTA(CXC!A:A)),2,FALSE))</f>
        <v/>
      </c>
      <c r="C773" s="136" t="str">
        <f t="array" ref="C773">IF(A773="","",VLOOKUP(A773,INDIRECT("CXC!A2:C"&amp;COUNTA(CXC!A:A)),3,FALSE))</f>
        <v/>
      </c>
      <c r="D773" s="137" t="str">
        <f t="array" ref="D773">IF(A773="","",VLOOKUP(A773,INDIRECT("CXC!A2:H"&amp;COUNTA(CXC!A:A)),8,FALSE))</f>
        <v/>
      </c>
      <c r="E773" s="137" t="str">
        <f t="array" ref="E773">IFERROR(IF(A773="","",VLOOKUP(A773,INDIRECT("HISTÓRICO COBROS!A3:E"&amp;COUNTA('HISTÓRICO COBROS'!A:A)),5,FALSE)),"")</f>
        <v/>
      </c>
      <c r="F773" s="137" t="str">
        <f t="array" ref="F773">IF(A773="","",VLOOKUP(A773,INDIRECT("CXC!A2:I"&amp;COUNTA(CXC!A:A)),9,FALSE))</f>
        <v/>
      </c>
      <c r="G773" s="137" t="str">
        <f t="array" ref="G773">IFERROR(IF(A773="","",VLOOKUP(A773,INDIRECT("HISTÓRICO COBROS!A3:F"&amp;COUNTA('HISTÓRICO COBROS'!A:A)),6,FALSE)),"")</f>
        <v/>
      </c>
      <c r="H773" s="138" t="str">
        <f t="shared" ref="H773:I773" si="774">IF(D773="","",D773+F773)</f>
        <v/>
      </c>
      <c r="I773" s="135" t="str">
        <f t="shared" si="774"/>
        <v/>
      </c>
      <c r="J773" s="140" t="str">
        <f t="shared" si="3"/>
        <v/>
      </c>
      <c r="K773" s="140" t="str">
        <f t="shared" si="4"/>
        <v/>
      </c>
    </row>
    <row r="774" ht="22.5" customHeight="1">
      <c r="A774" s="140"/>
      <c r="B774" s="135" t="str">
        <f t="array" ref="B774">IF(A774="","",VLOOKUP(A774,INDIRECT("CXC!A2:B"&amp;COUNTA(CXC!A:A)),2,FALSE))</f>
        <v/>
      </c>
      <c r="C774" s="136" t="str">
        <f t="array" ref="C774">IF(A774="","",VLOOKUP(A774,INDIRECT("CXC!A2:C"&amp;COUNTA(CXC!A:A)),3,FALSE))</f>
        <v/>
      </c>
      <c r="D774" s="137" t="str">
        <f t="array" ref="D774">IF(A774="","",VLOOKUP(A774,INDIRECT("CXC!A2:H"&amp;COUNTA(CXC!A:A)),8,FALSE))</f>
        <v/>
      </c>
      <c r="E774" s="137" t="str">
        <f t="array" ref="E774">IFERROR(IF(A774="","",VLOOKUP(A774,INDIRECT("HISTÓRICO COBROS!A3:E"&amp;COUNTA('HISTÓRICO COBROS'!A:A)),5,FALSE)),"")</f>
        <v/>
      </c>
      <c r="F774" s="137" t="str">
        <f t="array" ref="F774">IF(A774="","",VLOOKUP(A774,INDIRECT("CXC!A2:I"&amp;COUNTA(CXC!A:A)),9,FALSE))</f>
        <v/>
      </c>
      <c r="G774" s="137" t="str">
        <f t="array" ref="G774">IFERROR(IF(A774="","",VLOOKUP(A774,INDIRECT("HISTÓRICO COBROS!A3:F"&amp;COUNTA('HISTÓRICO COBROS'!A:A)),6,FALSE)),"")</f>
        <v/>
      </c>
      <c r="H774" s="138" t="str">
        <f t="shared" ref="H774:I774" si="775">IF(D774="","",D774+F774)</f>
        <v/>
      </c>
      <c r="I774" s="135" t="str">
        <f t="shared" si="775"/>
        <v/>
      </c>
      <c r="J774" s="140" t="str">
        <f t="shared" si="3"/>
        <v/>
      </c>
      <c r="K774" s="140" t="str">
        <f t="shared" si="4"/>
        <v/>
      </c>
    </row>
    <row r="775" ht="22.5" customHeight="1">
      <c r="A775" s="140"/>
      <c r="B775" s="135" t="str">
        <f t="array" ref="B775">IF(A775="","",VLOOKUP(A775,INDIRECT("CXC!A2:B"&amp;COUNTA(CXC!A:A)),2,FALSE))</f>
        <v/>
      </c>
      <c r="C775" s="136" t="str">
        <f t="array" ref="C775">IF(A775="","",VLOOKUP(A775,INDIRECT("CXC!A2:C"&amp;COUNTA(CXC!A:A)),3,FALSE))</f>
        <v/>
      </c>
      <c r="D775" s="137" t="str">
        <f t="array" ref="D775">IF(A775="","",VLOOKUP(A775,INDIRECT("CXC!A2:H"&amp;COUNTA(CXC!A:A)),8,FALSE))</f>
        <v/>
      </c>
      <c r="E775" s="137" t="str">
        <f t="array" ref="E775">IFERROR(IF(A775="","",VLOOKUP(A775,INDIRECT("HISTÓRICO COBROS!A3:E"&amp;COUNTA('HISTÓRICO COBROS'!A:A)),5,FALSE)),"")</f>
        <v/>
      </c>
      <c r="F775" s="137" t="str">
        <f t="array" ref="F775">IF(A775="","",VLOOKUP(A775,INDIRECT("CXC!A2:I"&amp;COUNTA(CXC!A:A)),9,FALSE))</f>
        <v/>
      </c>
      <c r="G775" s="137" t="str">
        <f t="array" ref="G775">IFERROR(IF(A775="","",VLOOKUP(A775,INDIRECT("HISTÓRICO COBROS!A3:F"&amp;COUNTA('HISTÓRICO COBROS'!A:A)),6,FALSE)),"")</f>
        <v/>
      </c>
      <c r="H775" s="138" t="str">
        <f t="shared" ref="H775:I775" si="776">IF(D775="","",D775+F775)</f>
        <v/>
      </c>
      <c r="I775" s="135" t="str">
        <f t="shared" si="776"/>
        <v/>
      </c>
      <c r="J775" s="140" t="str">
        <f t="shared" si="3"/>
        <v/>
      </c>
      <c r="K775" s="140" t="str">
        <f t="shared" si="4"/>
        <v/>
      </c>
    </row>
    <row r="776" ht="22.5" customHeight="1">
      <c r="A776" s="140"/>
      <c r="B776" s="135" t="str">
        <f t="array" ref="B776">IF(A776="","",VLOOKUP(A776,INDIRECT("CXC!A2:B"&amp;COUNTA(CXC!A:A)),2,FALSE))</f>
        <v/>
      </c>
      <c r="C776" s="136" t="str">
        <f t="array" ref="C776">IF(A776="","",VLOOKUP(A776,INDIRECT("CXC!A2:C"&amp;COUNTA(CXC!A:A)),3,FALSE))</f>
        <v/>
      </c>
      <c r="D776" s="137" t="str">
        <f t="array" ref="D776">IF(A776="","",VLOOKUP(A776,INDIRECT("CXC!A2:H"&amp;COUNTA(CXC!A:A)),8,FALSE))</f>
        <v/>
      </c>
      <c r="E776" s="137" t="str">
        <f t="array" ref="E776">IFERROR(IF(A776="","",VLOOKUP(A776,INDIRECT("HISTÓRICO COBROS!A3:E"&amp;COUNTA('HISTÓRICO COBROS'!A:A)),5,FALSE)),"")</f>
        <v/>
      </c>
      <c r="F776" s="137" t="str">
        <f t="array" ref="F776">IF(A776="","",VLOOKUP(A776,INDIRECT("CXC!A2:I"&amp;COUNTA(CXC!A:A)),9,FALSE))</f>
        <v/>
      </c>
      <c r="G776" s="137" t="str">
        <f t="array" ref="G776">IFERROR(IF(A776="","",VLOOKUP(A776,INDIRECT("HISTÓRICO COBROS!A3:F"&amp;COUNTA('HISTÓRICO COBROS'!A:A)),6,FALSE)),"")</f>
        <v/>
      </c>
      <c r="H776" s="138" t="str">
        <f t="shared" ref="H776:I776" si="777">IF(D776="","",D776+F776)</f>
        <v/>
      </c>
      <c r="I776" s="135" t="str">
        <f t="shared" si="777"/>
        <v/>
      </c>
      <c r="J776" s="140" t="str">
        <f t="shared" si="3"/>
        <v/>
      </c>
      <c r="K776" s="140" t="str">
        <f t="shared" si="4"/>
        <v/>
      </c>
    </row>
    <row r="777" ht="22.5" customHeight="1">
      <c r="A777" s="140"/>
      <c r="B777" s="135" t="str">
        <f t="array" ref="B777">IF(A777="","",VLOOKUP(A777,INDIRECT("CXC!A2:B"&amp;COUNTA(CXC!A:A)),2,FALSE))</f>
        <v/>
      </c>
      <c r="C777" s="136" t="str">
        <f t="array" ref="C777">IF(A777="","",VLOOKUP(A777,INDIRECT("CXC!A2:C"&amp;COUNTA(CXC!A:A)),3,FALSE))</f>
        <v/>
      </c>
      <c r="D777" s="137" t="str">
        <f t="array" ref="D777">IF(A777="","",VLOOKUP(A777,INDIRECT("CXC!A2:H"&amp;COUNTA(CXC!A:A)),8,FALSE))</f>
        <v/>
      </c>
      <c r="E777" s="137" t="str">
        <f t="array" ref="E777">IFERROR(IF(A777="","",VLOOKUP(A777,INDIRECT("HISTÓRICO COBROS!A3:E"&amp;COUNTA('HISTÓRICO COBROS'!A:A)),5,FALSE)),"")</f>
        <v/>
      </c>
      <c r="F777" s="137" t="str">
        <f t="array" ref="F777">IF(A777="","",VLOOKUP(A777,INDIRECT("CXC!A2:I"&amp;COUNTA(CXC!A:A)),9,FALSE))</f>
        <v/>
      </c>
      <c r="G777" s="137" t="str">
        <f t="array" ref="G777">IFERROR(IF(A777="","",VLOOKUP(A777,INDIRECT("HISTÓRICO COBROS!A3:F"&amp;COUNTA('HISTÓRICO COBROS'!A:A)),6,FALSE)),"")</f>
        <v/>
      </c>
      <c r="H777" s="138" t="str">
        <f t="shared" ref="H777:I777" si="778">IF(D777="","",D777+F777)</f>
        <v/>
      </c>
      <c r="I777" s="135" t="str">
        <f t="shared" si="778"/>
        <v/>
      </c>
      <c r="J777" s="140" t="str">
        <f t="shared" si="3"/>
        <v/>
      </c>
      <c r="K777" s="140" t="str">
        <f t="shared" si="4"/>
        <v/>
      </c>
    </row>
    <row r="778" ht="22.5" customHeight="1">
      <c r="A778" s="140"/>
      <c r="B778" s="135" t="str">
        <f t="array" ref="B778">IF(A778="","",VLOOKUP(A778,INDIRECT("CXC!A2:B"&amp;COUNTA(CXC!A:A)),2,FALSE))</f>
        <v/>
      </c>
      <c r="C778" s="136" t="str">
        <f t="array" ref="C778">IF(A778="","",VLOOKUP(A778,INDIRECT("CXC!A2:C"&amp;COUNTA(CXC!A:A)),3,FALSE))</f>
        <v/>
      </c>
      <c r="D778" s="137" t="str">
        <f t="array" ref="D778">IF(A778="","",VLOOKUP(A778,INDIRECT("CXC!A2:H"&amp;COUNTA(CXC!A:A)),8,FALSE))</f>
        <v/>
      </c>
      <c r="E778" s="137" t="str">
        <f t="array" ref="E778">IFERROR(IF(A778="","",VLOOKUP(A778,INDIRECT("HISTÓRICO COBROS!A3:E"&amp;COUNTA('HISTÓRICO COBROS'!A:A)),5,FALSE)),"")</f>
        <v/>
      </c>
      <c r="F778" s="137" t="str">
        <f t="array" ref="F778">IF(A778="","",VLOOKUP(A778,INDIRECT("CXC!A2:I"&amp;COUNTA(CXC!A:A)),9,FALSE))</f>
        <v/>
      </c>
      <c r="G778" s="137" t="str">
        <f t="array" ref="G778">IFERROR(IF(A778="","",VLOOKUP(A778,INDIRECT("HISTÓRICO COBROS!A3:F"&amp;COUNTA('HISTÓRICO COBROS'!A:A)),6,FALSE)),"")</f>
        <v/>
      </c>
      <c r="H778" s="138" t="str">
        <f t="shared" ref="H778:I778" si="779">IF(D778="","",D778+F778)</f>
        <v/>
      </c>
      <c r="I778" s="135" t="str">
        <f t="shared" si="779"/>
        <v/>
      </c>
      <c r="J778" s="140" t="str">
        <f t="shared" si="3"/>
        <v/>
      </c>
      <c r="K778" s="140" t="str">
        <f t="shared" si="4"/>
        <v/>
      </c>
    </row>
    <row r="779" ht="22.5" customHeight="1">
      <c r="A779" s="140"/>
      <c r="B779" s="135" t="str">
        <f t="array" ref="B779">IF(A779="","",VLOOKUP(A779,INDIRECT("CXC!A2:B"&amp;COUNTA(CXC!A:A)),2,FALSE))</f>
        <v/>
      </c>
      <c r="C779" s="136" t="str">
        <f t="array" ref="C779">IF(A779="","",VLOOKUP(A779,INDIRECT("CXC!A2:C"&amp;COUNTA(CXC!A:A)),3,FALSE))</f>
        <v/>
      </c>
      <c r="D779" s="137" t="str">
        <f t="array" ref="D779">IF(A779="","",VLOOKUP(A779,INDIRECT("CXC!A2:H"&amp;COUNTA(CXC!A:A)),8,FALSE))</f>
        <v/>
      </c>
      <c r="E779" s="137" t="str">
        <f t="array" ref="E779">IFERROR(IF(A779="","",VLOOKUP(A779,INDIRECT("HISTÓRICO COBROS!A3:E"&amp;COUNTA('HISTÓRICO COBROS'!A:A)),5,FALSE)),"")</f>
        <v/>
      </c>
      <c r="F779" s="137" t="str">
        <f t="array" ref="F779">IF(A779="","",VLOOKUP(A779,INDIRECT("CXC!A2:I"&amp;COUNTA(CXC!A:A)),9,FALSE))</f>
        <v/>
      </c>
      <c r="G779" s="137" t="str">
        <f t="array" ref="G779">IFERROR(IF(A779="","",VLOOKUP(A779,INDIRECT("HISTÓRICO COBROS!A3:F"&amp;COUNTA('HISTÓRICO COBROS'!A:A)),6,FALSE)),"")</f>
        <v/>
      </c>
      <c r="H779" s="138" t="str">
        <f t="shared" ref="H779:I779" si="780">IF(D779="","",D779+F779)</f>
        <v/>
      </c>
      <c r="I779" s="135" t="str">
        <f t="shared" si="780"/>
        <v/>
      </c>
      <c r="J779" s="140" t="str">
        <f t="shared" si="3"/>
        <v/>
      </c>
      <c r="K779" s="140" t="str">
        <f t="shared" si="4"/>
        <v/>
      </c>
    </row>
    <row r="780" ht="22.5" customHeight="1">
      <c r="A780" s="140"/>
      <c r="B780" s="135" t="str">
        <f t="array" ref="B780">IF(A780="","",VLOOKUP(A780,INDIRECT("CXC!A2:B"&amp;COUNTA(CXC!A:A)),2,FALSE))</f>
        <v/>
      </c>
      <c r="C780" s="136" t="str">
        <f t="array" ref="C780">IF(A780="","",VLOOKUP(A780,INDIRECT("CXC!A2:C"&amp;COUNTA(CXC!A:A)),3,FALSE))</f>
        <v/>
      </c>
      <c r="D780" s="137" t="str">
        <f t="array" ref="D780">IF(A780="","",VLOOKUP(A780,INDIRECT("CXC!A2:H"&amp;COUNTA(CXC!A:A)),8,FALSE))</f>
        <v/>
      </c>
      <c r="E780" s="137" t="str">
        <f t="array" ref="E780">IFERROR(IF(A780="","",VLOOKUP(A780,INDIRECT("HISTÓRICO COBROS!A3:E"&amp;COUNTA('HISTÓRICO COBROS'!A:A)),5,FALSE)),"")</f>
        <v/>
      </c>
      <c r="F780" s="137" t="str">
        <f t="array" ref="F780">IF(A780="","",VLOOKUP(A780,INDIRECT("CXC!A2:I"&amp;COUNTA(CXC!A:A)),9,FALSE))</f>
        <v/>
      </c>
      <c r="G780" s="137" t="str">
        <f t="array" ref="G780">IFERROR(IF(A780="","",VLOOKUP(A780,INDIRECT("HISTÓRICO COBROS!A3:F"&amp;COUNTA('HISTÓRICO COBROS'!A:A)),6,FALSE)),"")</f>
        <v/>
      </c>
      <c r="H780" s="138" t="str">
        <f t="shared" ref="H780:I780" si="781">IF(D780="","",D780+F780)</f>
        <v/>
      </c>
      <c r="I780" s="135" t="str">
        <f t="shared" si="781"/>
        <v/>
      </c>
      <c r="J780" s="140" t="str">
        <f t="shared" si="3"/>
        <v/>
      </c>
      <c r="K780" s="140" t="str">
        <f t="shared" si="4"/>
        <v/>
      </c>
    </row>
    <row r="781" ht="22.5" customHeight="1">
      <c r="A781" s="140"/>
      <c r="B781" s="135" t="str">
        <f t="array" ref="B781">IF(A781="","",VLOOKUP(A781,INDIRECT("CXC!A2:B"&amp;COUNTA(CXC!A:A)),2,FALSE))</f>
        <v/>
      </c>
      <c r="C781" s="136" t="str">
        <f t="array" ref="C781">IF(A781="","",VLOOKUP(A781,INDIRECT("CXC!A2:C"&amp;COUNTA(CXC!A:A)),3,FALSE))</f>
        <v/>
      </c>
      <c r="D781" s="137" t="str">
        <f t="array" ref="D781">IF(A781="","",VLOOKUP(A781,INDIRECT("CXC!A2:H"&amp;COUNTA(CXC!A:A)),8,FALSE))</f>
        <v/>
      </c>
      <c r="E781" s="137" t="str">
        <f t="array" ref="E781">IFERROR(IF(A781="","",VLOOKUP(A781,INDIRECT("HISTÓRICO COBROS!A3:E"&amp;COUNTA('HISTÓRICO COBROS'!A:A)),5,FALSE)),"")</f>
        <v/>
      </c>
      <c r="F781" s="137" t="str">
        <f t="array" ref="F781">IF(A781="","",VLOOKUP(A781,INDIRECT("CXC!A2:I"&amp;COUNTA(CXC!A:A)),9,FALSE))</f>
        <v/>
      </c>
      <c r="G781" s="137" t="str">
        <f t="array" ref="G781">IFERROR(IF(A781="","",VLOOKUP(A781,INDIRECT("HISTÓRICO COBROS!A3:F"&amp;COUNTA('HISTÓRICO COBROS'!A:A)),6,FALSE)),"")</f>
        <v/>
      </c>
      <c r="H781" s="138" t="str">
        <f t="shared" ref="H781:I781" si="782">IF(D781="","",D781+F781)</f>
        <v/>
      </c>
      <c r="I781" s="135" t="str">
        <f t="shared" si="782"/>
        <v/>
      </c>
      <c r="J781" s="140" t="str">
        <f t="shared" si="3"/>
        <v/>
      </c>
      <c r="K781" s="140" t="str">
        <f t="shared" si="4"/>
        <v/>
      </c>
    </row>
    <row r="782" ht="22.5" customHeight="1">
      <c r="A782" s="140"/>
      <c r="B782" s="135" t="str">
        <f t="array" ref="B782">IF(A782="","",VLOOKUP(A782,INDIRECT("CXC!A2:B"&amp;COUNTA(CXC!A:A)),2,FALSE))</f>
        <v/>
      </c>
      <c r="C782" s="136" t="str">
        <f t="array" ref="C782">IF(A782="","",VLOOKUP(A782,INDIRECT("CXC!A2:C"&amp;COUNTA(CXC!A:A)),3,FALSE))</f>
        <v/>
      </c>
      <c r="D782" s="137" t="str">
        <f t="array" ref="D782">IF(A782="","",VLOOKUP(A782,INDIRECT("CXC!A2:H"&amp;COUNTA(CXC!A:A)),8,FALSE))</f>
        <v/>
      </c>
      <c r="E782" s="137" t="str">
        <f t="array" ref="E782">IFERROR(IF(A782="","",VLOOKUP(A782,INDIRECT("HISTÓRICO COBROS!A3:E"&amp;COUNTA('HISTÓRICO COBROS'!A:A)),5,FALSE)),"")</f>
        <v/>
      </c>
      <c r="F782" s="137" t="str">
        <f t="array" ref="F782">IF(A782="","",VLOOKUP(A782,INDIRECT("CXC!A2:I"&amp;COUNTA(CXC!A:A)),9,FALSE))</f>
        <v/>
      </c>
      <c r="G782" s="137" t="str">
        <f t="array" ref="G782">IFERROR(IF(A782="","",VLOOKUP(A782,INDIRECT("HISTÓRICO COBROS!A3:F"&amp;COUNTA('HISTÓRICO COBROS'!A:A)),6,FALSE)),"")</f>
        <v/>
      </c>
      <c r="H782" s="138" t="str">
        <f t="shared" ref="H782:I782" si="783">IF(D782="","",D782+F782)</f>
        <v/>
      </c>
      <c r="I782" s="135" t="str">
        <f t="shared" si="783"/>
        <v/>
      </c>
      <c r="J782" s="140" t="str">
        <f t="shared" si="3"/>
        <v/>
      </c>
      <c r="K782" s="140" t="str">
        <f t="shared" si="4"/>
        <v/>
      </c>
    </row>
    <row r="783" ht="22.5" customHeight="1">
      <c r="A783" s="140"/>
      <c r="B783" s="135" t="str">
        <f t="array" ref="B783">IF(A783="","",VLOOKUP(A783,INDIRECT("CXC!A2:B"&amp;COUNTA(CXC!A:A)),2,FALSE))</f>
        <v/>
      </c>
      <c r="C783" s="136" t="str">
        <f t="array" ref="C783">IF(A783="","",VLOOKUP(A783,INDIRECT("CXC!A2:C"&amp;COUNTA(CXC!A:A)),3,FALSE))</f>
        <v/>
      </c>
      <c r="D783" s="137" t="str">
        <f t="array" ref="D783">IF(A783="","",VLOOKUP(A783,INDIRECT("CXC!A2:H"&amp;COUNTA(CXC!A:A)),8,FALSE))</f>
        <v/>
      </c>
      <c r="E783" s="137" t="str">
        <f t="array" ref="E783">IFERROR(IF(A783="","",VLOOKUP(A783,INDIRECT("HISTÓRICO COBROS!A3:E"&amp;COUNTA('HISTÓRICO COBROS'!A:A)),5,FALSE)),"")</f>
        <v/>
      </c>
      <c r="F783" s="137" t="str">
        <f t="array" ref="F783">IF(A783="","",VLOOKUP(A783,INDIRECT("CXC!A2:I"&amp;COUNTA(CXC!A:A)),9,FALSE))</f>
        <v/>
      </c>
      <c r="G783" s="137" t="str">
        <f t="array" ref="G783">IFERROR(IF(A783="","",VLOOKUP(A783,INDIRECT("HISTÓRICO COBROS!A3:F"&amp;COUNTA('HISTÓRICO COBROS'!A:A)),6,FALSE)),"")</f>
        <v/>
      </c>
      <c r="H783" s="138" t="str">
        <f t="shared" ref="H783:I783" si="784">IF(D783="","",D783+F783)</f>
        <v/>
      </c>
      <c r="I783" s="135" t="str">
        <f t="shared" si="784"/>
        <v/>
      </c>
      <c r="J783" s="140" t="str">
        <f t="shared" si="3"/>
        <v/>
      </c>
      <c r="K783" s="140" t="str">
        <f t="shared" si="4"/>
        <v/>
      </c>
    </row>
    <row r="784" ht="22.5" customHeight="1">
      <c r="A784" s="140"/>
      <c r="B784" s="135" t="str">
        <f t="array" ref="B784">IF(A784="","",VLOOKUP(A784,INDIRECT("CXC!A2:B"&amp;COUNTA(CXC!A:A)),2,FALSE))</f>
        <v/>
      </c>
      <c r="C784" s="136" t="str">
        <f t="array" ref="C784">IF(A784="","",VLOOKUP(A784,INDIRECT("CXC!A2:C"&amp;COUNTA(CXC!A:A)),3,FALSE))</f>
        <v/>
      </c>
      <c r="D784" s="137" t="str">
        <f t="array" ref="D784">IF(A784="","",VLOOKUP(A784,INDIRECT("CXC!A2:H"&amp;COUNTA(CXC!A:A)),8,FALSE))</f>
        <v/>
      </c>
      <c r="E784" s="137" t="str">
        <f t="array" ref="E784">IFERROR(IF(A784="","",VLOOKUP(A784,INDIRECT("HISTÓRICO COBROS!A3:E"&amp;COUNTA('HISTÓRICO COBROS'!A:A)),5,FALSE)),"")</f>
        <v/>
      </c>
      <c r="F784" s="137" t="str">
        <f t="array" ref="F784">IF(A784="","",VLOOKUP(A784,INDIRECT("CXC!A2:I"&amp;COUNTA(CXC!A:A)),9,FALSE))</f>
        <v/>
      </c>
      <c r="G784" s="137" t="str">
        <f t="array" ref="G784">IFERROR(IF(A784="","",VLOOKUP(A784,INDIRECT("HISTÓRICO COBROS!A3:F"&amp;COUNTA('HISTÓRICO COBROS'!A:A)),6,FALSE)),"")</f>
        <v/>
      </c>
      <c r="H784" s="138" t="str">
        <f t="shared" ref="H784:I784" si="785">IF(D784="","",D784+F784)</f>
        <v/>
      </c>
      <c r="I784" s="135" t="str">
        <f t="shared" si="785"/>
        <v/>
      </c>
      <c r="J784" s="140" t="str">
        <f t="shared" si="3"/>
        <v/>
      </c>
      <c r="K784" s="140" t="str">
        <f t="shared" si="4"/>
        <v/>
      </c>
    </row>
    <row r="785" ht="22.5" customHeight="1">
      <c r="A785" s="140"/>
      <c r="B785" s="135" t="str">
        <f t="array" ref="B785">IF(A785="","",VLOOKUP(A785,INDIRECT("CXC!A2:B"&amp;COUNTA(CXC!A:A)),2,FALSE))</f>
        <v/>
      </c>
      <c r="C785" s="136" t="str">
        <f t="array" ref="C785">IF(A785="","",VLOOKUP(A785,INDIRECT("CXC!A2:C"&amp;COUNTA(CXC!A:A)),3,FALSE))</f>
        <v/>
      </c>
      <c r="D785" s="137" t="str">
        <f t="array" ref="D785">IF(A785="","",VLOOKUP(A785,INDIRECT("CXC!A2:H"&amp;COUNTA(CXC!A:A)),8,FALSE))</f>
        <v/>
      </c>
      <c r="E785" s="137" t="str">
        <f t="array" ref="E785">IFERROR(IF(A785="","",VLOOKUP(A785,INDIRECT("HISTÓRICO COBROS!A3:E"&amp;COUNTA('HISTÓRICO COBROS'!A:A)),5,FALSE)),"")</f>
        <v/>
      </c>
      <c r="F785" s="137" t="str">
        <f t="array" ref="F785">IF(A785="","",VLOOKUP(A785,INDIRECT("CXC!A2:I"&amp;COUNTA(CXC!A:A)),9,FALSE))</f>
        <v/>
      </c>
      <c r="G785" s="137" t="str">
        <f t="array" ref="G785">IFERROR(IF(A785="","",VLOOKUP(A785,INDIRECT("HISTÓRICO COBROS!A3:F"&amp;COUNTA('HISTÓRICO COBROS'!A:A)),6,FALSE)),"")</f>
        <v/>
      </c>
      <c r="H785" s="138" t="str">
        <f t="shared" ref="H785:I785" si="786">IF(D785="","",D785+F785)</f>
        <v/>
      </c>
      <c r="I785" s="135" t="str">
        <f t="shared" si="786"/>
        <v/>
      </c>
      <c r="J785" s="140" t="str">
        <f t="shared" si="3"/>
        <v/>
      </c>
      <c r="K785" s="140" t="str">
        <f t="shared" si="4"/>
        <v/>
      </c>
    </row>
    <row r="786" ht="22.5" customHeight="1">
      <c r="A786" s="140"/>
      <c r="B786" s="135" t="str">
        <f t="array" ref="B786">IF(A786="","",VLOOKUP(A786,INDIRECT("CXC!A2:B"&amp;COUNTA(CXC!A:A)),2,FALSE))</f>
        <v/>
      </c>
      <c r="C786" s="136" t="str">
        <f t="array" ref="C786">IF(A786="","",VLOOKUP(A786,INDIRECT("CXC!A2:C"&amp;COUNTA(CXC!A:A)),3,FALSE))</f>
        <v/>
      </c>
      <c r="D786" s="137" t="str">
        <f t="array" ref="D786">IF(A786="","",VLOOKUP(A786,INDIRECT("CXC!A2:H"&amp;COUNTA(CXC!A:A)),8,FALSE))</f>
        <v/>
      </c>
      <c r="E786" s="137" t="str">
        <f t="array" ref="E786">IFERROR(IF(A786="","",VLOOKUP(A786,INDIRECT("HISTÓRICO COBROS!A3:E"&amp;COUNTA('HISTÓRICO COBROS'!A:A)),5,FALSE)),"")</f>
        <v/>
      </c>
      <c r="F786" s="137" t="str">
        <f t="array" ref="F786">IF(A786="","",VLOOKUP(A786,INDIRECT("CXC!A2:I"&amp;COUNTA(CXC!A:A)),9,FALSE))</f>
        <v/>
      </c>
      <c r="G786" s="137" t="str">
        <f t="array" ref="G786">IFERROR(IF(A786="","",VLOOKUP(A786,INDIRECT("HISTÓRICO COBROS!A3:F"&amp;COUNTA('HISTÓRICO COBROS'!A:A)),6,FALSE)),"")</f>
        <v/>
      </c>
      <c r="H786" s="138" t="str">
        <f t="shared" ref="H786:I786" si="787">IF(D786="","",D786+F786)</f>
        <v/>
      </c>
      <c r="I786" s="135" t="str">
        <f t="shared" si="787"/>
        <v/>
      </c>
      <c r="J786" s="140" t="str">
        <f t="shared" si="3"/>
        <v/>
      </c>
      <c r="K786" s="140" t="str">
        <f t="shared" si="4"/>
        <v/>
      </c>
    </row>
    <row r="787" ht="22.5" customHeight="1">
      <c r="A787" s="140"/>
      <c r="B787" s="135" t="str">
        <f t="array" ref="B787">IF(A787="","",VLOOKUP(A787,INDIRECT("CXC!A2:B"&amp;COUNTA(CXC!A:A)),2,FALSE))</f>
        <v/>
      </c>
      <c r="C787" s="136" t="str">
        <f t="array" ref="C787">IF(A787="","",VLOOKUP(A787,INDIRECT("CXC!A2:C"&amp;COUNTA(CXC!A:A)),3,FALSE))</f>
        <v/>
      </c>
      <c r="D787" s="137" t="str">
        <f t="array" ref="D787">IF(A787="","",VLOOKUP(A787,INDIRECT("CXC!A2:H"&amp;COUNTA(CXC!A:A)),8,FALSE))</f>
        <v/>
      </c>
      <c r="E787" s="137" t="str">
        <f t="array" ref="E787">IFERROR(IF(A787="","",VLOOKUP(A787,INDIRECT("HISTÓRICO COBROS!A3:E"&amp;COUNTA('HISTÓRICO COBROS'!A:A)),5,FALSE)),"")</f>
        <v/>
      </c>
      <c r="F787" s="137" t="str">
        <f t="array" ref="F787">IF(A787="","",VLOOKUP(A787,INDIRECT("CXC!A2:I"&amp;COUNTA(CXC!A:A)),9,FALSE))</f>
        <v/>
      </c>
      <c r="G787" s="137" t="str">
        <f t="array" ref="G787">IFERROR(IF(A787="","",VLOOKUP(A787,INDIRECT("HISTÓRICO COBROS!A3:F"&amp;COUNTA('HISTÓRICO COBROS'!A:A)),6,FALSE)),"")</f>
        <v/>
      </c>
      <c r="H787" s="138" t="str">
        <f t="shared" ref="H787:I787" si="788">IF(D787="","",D787+F787)</f>
        <v/>
      </c>
      <c r="I787" s="135" t="str">
        <f t="shared" si="788"/>
        <v/>
      </c>
      <c r="J787" s="140" t="str">
        <f t="shared" si="3"/>
        <v/>
      </c>
      <c r="K787" s="140" t="str">
        <f t="shared" si="4"/>
        <v/>
      </c>
    </row>
    <row r="788" ht="22.5" customHeight="1">
      <c r="A788" s="140"/>
      <c r="B788" s="135" t="str">
        <f t="array" ref="B788">IF(A788="","",VLOOKUP(A788,INDIRECT("CXC!A2:B"&amp;COUNTA(CXC!A:A)),2,FALSE))</f>
        <v/>
      </c>
      <c r="C788" s="136" t="str">
        <f t="array" ref="C788">IF(A788="","",VLOOKUP(A788,INDIRECT("CXC!A2:C"&amp;COUNTA(CXC!A:A)),3,FALSE))</f>
        <v/>
      </c>
      <c r="D788" s="137" t="str">
        <f t="array" ref="D788">IF(A788="","",VLOOKUP(A788,INDIRECT("CXC!A2:H"&amp;COUNTA(CXC!A:A)),8,FALSE))</f>
        <v/>
      </c>
      <c r="E788" s="137" t="str">
        <f t="array" ref="E788">IFERROR(IF(A788="","",VLOOKUP(A788,INDIRECT("HISTÓRICO COBROS!A3:E"&amp;COUNTA('HISTÓRICO COBROS'!A:A)),5,FALSE)),"")</f>
        <v/>
      </c>
      <c r="F788" s="137" t="str">
        <f t="array" ref="F788">IF(A788="","",VLOOKUP(A788,INDIRECT("CXC!A2:I"&amp;COUNTA(CXC!A:A)),9,FALSE))</f>
        <v/>
      </c>
      <c r="G788" s="137" t="str">
        <f t="array" ref="G788">IFERROR(IF(A788="","",VLOOKUP(A788,INDIRECT("HISTÓRICO COBROS!A3:F"&amp;COUNTA('HISTÓRICO COBROS'!A:A)),6,FALSE)),"")</f>
        <v/>
      </c>
      <c r="H788" s="138" t="str">
        <f t="shared" ref="H788:I788" si="789">IF(D788="","",D788+F788)</f>
        <v/>
      </c>
      <c r="I788" s="135" t="str">
        <f t="shared" si="789"/>
        <v/>
      </c>
      <c r="J788" s="140" t="str">
        <f t="shared" si="3"/>
        <v/>
      </c>
      <c r="K788" s="140" t="str">
        <f t="shared" si="4"/>
        <v/>
      </c>
    </row>
    <row r="789" ht="22.5" customHeight="1">
      <c r="A789" s="140"/>
      <c r="B789" s="135" t="str">
        <f t="array" ref="B789">IF(A789="","",VLOOKUP(A789,INDIRECT("CXC!A2:B"&amp;COUNTA(CXC!A:A)),2,FALSE))</f>
        <v/>
      </c>
      <c r="C789" s="136" t="str">
        <f t="array" ref="C789">IF(A789="","",VLOOKUP(A789,INDIRECT("CXC!A2:C"&amp;COUNTA(CXC!A:A)),3,FALSE))</f>
        <v/>
      </c>
      <c r="D789" s="137" t="str">
        <f t="array" ref="D789">IF(A789="","",VLOOKUP(A789,INDIRECT("CXC!A2:H"&amp;COUNTA(CXC!A:A)),8,FALSE))</f>
        <v/>
      </c>
      <c r="E789" s="137" t="str">
        <f t="array" ref="E789">IFERROR(IF(A789="","",VLOOKUP(A789,INDIRECT("HISTÓRICO COBROS!A3:E"&amp;COUNTA('HISTÓRICO COBROS'!A:A)),5,FALSE)),"")</f>
        <v/>
      </c>
      <c r="F789" s="137" t="str">
        <f t="array" ref="F789">IF(A789="","",VLOOKUP(A789,INDIRECT("CXC!A2:I"&amp;COUNTA(CXC!A:A)),9,FALSE))</f>
        <v/>
      </c>
      <c r="G789" s="137" t="str">
        <f t="array" ref="G789">IFERROR(IF(A789="","",VLOOKUP(A789,INDIRECT("HISTÓRICO COBROS!A3:F"&amp;COUNTA('HISTÓRICO COBROS'!A:A)),6,FALSE)),"")</f>
        <v/>
      </c>
      <c r="H789" s="138" t="str">
        <f t="shared" ref="H789:I789" si="790">IF(D789="","",D789+F789)</f>
        <v/>
      </c>
      <c r="I789" s="135" t="str">
        <f t="shared" si="790"/>
        <v/>
      </c>
      <c r="J789" s="140" t="str">
        <f t="shared" si="3"/>
        <v/>
      </c>
      <c r="K789" s="140" t="str">
        <f t="shared" si="4"/>
        <v/>
      </c>
    </row>
    <row r="790" ht="22.5" customHeight="1">
      <c r="A790" s="140"/>
      <c r="B790" s="135" t="str">
        <f t="array" ref="B790">IF(A790="","",VLOOKUP(A790,INDIRECT("CXC!A2:B"&amp;COUNTA(CXC!A:A)),2,FALSE))</f>
        <v/>
      </c>
      <c r="C790" s="136" t="str">
        <f t="array" ref="C790">IF(A790="","",VLOOKUP(A790,INDIRECT("CXC!A2:C"&amp;COUNTA(CXC!A:A)),3,FALSE))</f>
        <v/>
      </c>
      <c r="D790" s="137" t="str">
        <f t="array" ref="D790">IF(A790="","",VLOOKUP(A790,INDIRECT("CXC!A2:H"&amp;COUNTA(CXC!A:A)),8,FALSE))</f>
        <v/>
      </c>
      <c r="E790" s="137" t="str">
        <f t="array" ref="E790">IFERROR(IF(A790="","",VLOOKUP(A790,INDIRECT("HISTÓRICO COBROS!A3:E"&amp;COUNTA('HISTÓRICO COBROS'!A:A)),5,FALSE)),"")</f>
        <v/>
      </c>
      <c r="F790" s="137" t="str">
        <f t="array" ref="F790">IF(A790="","",VLOOKUP(A790,INDIRECT("CXC!A2:I"&amp;COUNTA(CXC!A:A)),9,FALSE))</f>
        <v/>
      </c>
      <c r="G790" s="137" t="str">
        <f t="array" ref="G790">IFERROR(IF(A790="","",VLOOKUP(A790,INDIRECT("HISTÓRICO COBROS!A3:F"&amp;COUNTA('HISTÓRICO COBROS'!A:A)),6,FALSE)),"")</f>
        <v/>
      </c>
      <c r="H790" s="138" t="str">
        <f t="shared" ref="H790:I790" si="791">IF(D790="","",D790+F790)</f>
        <v/>
      </c>
      <c r="I790" s="135" t="str">
        <f t="shared" si="791"/>
        <v/>
      </c>
      <c r="J790" s="140" t="str">
        <f t="shared" si="3"/>
        <v/>
      </c>
      <c r="K790" s="140" t="str">
        <f t="shared" si="4"/>
        <v/>
      </c>
    </row>
    <row r="791" ht="22.5" customHeight="1">
      <c r="A791" s="140"/>
      <c r="B791" s="135" t="str">
        <f t="array" ref="B791">IF(A791="","",VLOOKUP(A791,INDIRECT("CXC!A2:B"&amp;COUNTA(CXC!A:A)),2,FALSE))</f>
        <v/>
      </c>
      <c r="C791" s="136" t="str">
        <f t="array" ref="C791">IF(A791="","",VLOOKUP(A791,INDIRECT("CXC!A2:C"&amp;COUNTA(CXC!A:A)),3,FALSE))</f>
        <v/>
      </c>
      <c r="D791" s="137" t="str">
        <f t="array" ref="D791">IF(A791="","",VLOOKUP(A791,INDIRECT("CXC!A2:H"&amp;COUNTA(CXC!A:A)),8,FALSE))</f>
        <v/>
      </c>
      <c r="E791" s="137" t="str">
        <f t="array" ref="E791">IFERROR(IF(A791="","",VLOOKUP(A791,INDIRECT("HISTÓRICO COBROS!A3:E"&amp;COUNTA('HISTÓRICO COBROS'!A:A)),5,FALSE)),"")</f>
        <v/>
      </c>
      <c r="F791" s="137" t="str">
        <f t="array" ref="F791">IF(A791="","",VLOOKUP(A791,INDIRECT("CXC!A2:I"&amp;COUNTA(CXC!A:A)),9,FALSE))</f>
        <v/>
      </c>
      <c r="G791" s="137" t="str">
        <f t="array" ref="G791">IFERROR(IF(A791="","",VLOOKUP(A791,INDIRECT("HISTÓRICO COBROS!A3:F"&amp;COUNTA('HISTÓRICO COBROS'!A:A)),6,FALSE)),"")</f>
        <v/>
      </c>
      <c r="H791" s="138" t="str">
        <f t="shared" ref="H791:I791" si="792">IF(D791="","",D791+F791)</f>
        <v/>
      </c>
      <c r="I791" s="135" t="str">
        <f t="shared" si="792"/>
        <v/>
      </c>
      <c r="J791" s="140" t="str">
        <f t="shared" si="3"/>
        <v/>
      </c>
      <c r="K791" s="140" t="str">
        <f t="shared" si="4"/>
        <v/>
      </c>
    </row>
    <row r="792" ht="22.5" customHeight="1">
      <c r="A792" s="140"/>
      <c r="B792" s="135" t="str">
        <f t="array" ref="B792">IF(A792="","",VLOOKUP(A792,INDIRECT("CXC!A2:B"&amp;COUNTA(CXC!A:A)),2,FALSE))</f>
        <v/>
      </c>
      <c r="C792" s="136" t="str">
        <f t="array" ref="C792">IF(A792="","",VLOOKUP(A792,INDIRECT("CXC!A2:C"&amp;COUNTA(CXC!A:A)),3,FALSE))</f>
        <v/>
      </c>
      <c r="D792" s="137" t="str">
        <f t="array" ref="D792">IF(A792="","",VLOOKUP(A792,INDIRECT("CXC!A2:H"&amp;COUNTA(CXC!A:A)),8,FALSE))</f>
        <v/>
      </c>
      <c r="E792" s="137" t="str">
        <f t="array" ref="E792">IFERROR(IF(A792="","",VLOOKUP(A792,INDIRECT("HISTÓRICO COBROS!A3:E"&amp;COUNTA('HISTÓRICO COBROS'!A:A)),5,FALSE)),"")</f>
        <v/>
      </c>
      <c r="F792" s="137" t="str">
        <f t="array" ref="F792">IF(A792="","",VLOOKUP(A792,INDIRECT("CXC!A2:I"&amp;COUNTA(CXC!A:A)),9,FALSE))</f>
        <v/>
      </c>
      <c r="G792" s="137" t="str">
        <f t="array" ref="G792">IFERROR(IF(A792="","",VLOOKUP(A792,INDIRECT("HISTÓRICO COBROS!A3:F"&amp;COUNTA('HISTÓRICO COBROS'!A:A)),6,FALSE)),"")</f>
        <v/>
      </c>
      <c r="H792" s="138" t="str">
        <f t="shared" ref="H792:I792" si="793">IF(D792="","",D792+F792)</f>
        <v/>
      </c>
      <c r="I792" s="135" t="str">
        <f t="shared" si="793"/>
        <v/>
      </c>
      <c r="J792" s="140" t="str">
        <f t="shared" si="3"/>
        <v/>
      </c>
      <c r="K792" s="140" t="str">
        <f t="shared" si="4"/>
        <v/>
      </c>
    </row>
    <row r="793" ht="22.5" customHeight="1">
      <c r="A793" s="140"/>
      <c r="B793" s="135" t="str">
        <f t="array" ref="B793">IF(A793="","",VLOOKUP(A793,INDIRECT("CXC!A2:B"&amp;COUNTA(CXC!A:A)),2,FALSE))</f>
        <v/>
      </c>
      <c r="C793" s="136" t="str">
        <f t="array" ref="C793">IF(A793="","",VLOOKUP(A793,INDIRECT("CXC!A2:C"&amp;COUNTA(CXC!A:A)),3,FALSE))</f>
        <v/>
      </c>
      <c r="D793" s="137" t="str">
        <f t="array" ref="D793">IF(A793="","",VLOOKUP(A793,INDIRECT("CXC!A2:H"&amp;COUNTA(CXC!A:A)),8,FALSE))</f>
        <v/>
      </c>
      <c r="E793" s="137" t="str">
        <f t="array" ref="E793">IFERROR(IF(A793="","",VLOOKUP(A793,INDIRECT("HISTÓRICO COBROS!A3:E"&amp;COUNTA('HISTÓRICO COBROS'!A:A)),5,FALSE)),"")</f>
        <v/>
      </c>
      <c r="F793" s="137" t="str">
        <f t="array" ref="F793">IF(A793="","",VLOOKUP(A793,INDIRECT("CXC!A2:I"&amp;COUNTA(CXC!A:A)),9,FALSE))</f>
        <v/>
      </c>
      <c r="G793" s="137" t="str">
        <f t="array" ref="G793">IFERROR(IF(A793="","",VLOOKUP(A793,INDIRECT("HISTÓRICO COBROS!A3:F"&amp;COUNTA('HISTÓRICO COBROS'!A:A)),6,FALSE)),"")</f>
        <v/>
      </c>
      <c r="H793" s="138" t="str">
        <f t="shared" ref="H793:I793" si="794">IF(D793="","",D793+F793)</f>
        <v/>
      </c>
      <c r="I793" s="135" t="str">
        <f t="shared" si="794"/>
        <v/>
      </c>
      <c r="J793" s="140" t="str">
        <f t="shared" si="3"/>
        <v/>
      </c>
      <c r="K793" s="140" t="str">
        <f t="shared" si="4"/>
        <v/>
      </c>
    </row>
    <row r="794" ht="22.5" customHeight="1">
      <c r="A794" s="140"/>
      <c r="B794" s="135" t="str">
        <f t="array" ref="B794">IF(A794="","",VLOOKUP(A794,INDIRECT("CXC!A2:B"&amp;COUNTA(CXC!A:A)),2,FALSE))</f>
        <v/>
      </c>
      <c r="C794" s="136" t="str">
        <f t="array" ref="C794">IF(A794="","",VLOOKUP(A794,INDIRECT("CXC!A2:C"&amp;COUNTA(CXC!A:A)),3,FALSE))</f>
        <v/>
      </c>
      <c r="D794" s="137" t="str">
        <f t="array" ref="D794">IF(A794="","",VLOOKUP(A794,INDIRECT("CXC!A2:H"&amp;COUNTA(CXC!A:A)),8,FALSE))</f>
        <v/>
      </c>
      <c r="E794" s="137" t="str">
        <f t="array" ref="E794">IFERROR(IF(A794="","",VLOOKUP(A794,INDIRECT("HISTÓRICO COBROS!A3:E"&amp;COUNTA('HISTÓRICO COBROS'!A:A)),5,FALSE)),"")</f>
        <v/>
      </c>
      <c r="F794" s="137" t="str">
        <f t="array" ref="F794">IF(A794="","",VLOOKUP(A794,INDIRECT("CXC!A2:I"&amp;COUNTA(CXC!A:A)),9,FALSE))</f>
        <v/>
      </c>
      <c r="G794" s="137" t="str">
        <f t="array" ref="G794">IFERROR(IF(A794="","",VLOOKUP(A794,INDIRECT("HISTÓRICO COBROS!A3:F"&amp;COUNTA('HISTÓRICO COBROS'!A:A)),6,FALSE)),"")</f>
        <v/>
      </c>
      <c r="H794" s="138" t="str">
        <f t="shared" ref="H794:I794" si="795">IF(D794="","",D794+F794)</f>
        <v/>
      </c>
      <c r="I794" s="135" t="str">
        <f t="shared" si="795"/>
        <v/>
      </c>
      <c r="J794" s="140" t="str">
        <f t="shared" si="3"/>
        <v/>
      </c>
      <c r="K794" s="140" t="str">
        <f t="shared" si="4"/>
        <v/>
      </c>
    </row>
    <row r="795" ht="22.5" customHeight="1">
      <c r="A795" s="140"/>
      <c r="B795" s="135" t="str">
        <f t="array" ref="B795">IF(A795="","",VLOOKUP(A795,INDIRECT("CXC!A2:B"&amp;COUNTA(CXC!A:A)),2,FALSE))</f>
        <v/>
      </c>
      <c r="C795" s="136" t="str">
        <f t="array" ref="C795">IF(A795="","",VLOOKUP(A795,INDIRECT("CXC!A2:C"&amp;COUNTA(CXC!A:A)),3,FALSE))</f>
        <v/>
      </c>
      <c r="D795" s="137" t="str">
        <f t="array" ref="D795">IF(A795="","",VLOOKUP(A795,INDIRECT("CXC!A2:H"&amp;COUNTA(CXC!A:A)),8,FALSE))</f>
        <v/>
      </c>
      <c r="E795" s="137" t="str">
        <f t="array" ref="E795">IFERROR(IF(A795="","",VLOOKUP(A795,INDIRECT("HISTÓRICO COBROS!A3:E"&amp;COUNTA('HISTÓRICO COBROS'!A:A)),5,FALSE)),"")</f>
        <v/>
      </c>
      <c r="F795" s="137" t="str">
        <f t="array" ref="F795">IF(A795="","",VLOOKUP(A795,INDIRECT("CXC!A2:I"&amp;COUNTA(CXC!A:A)),9,FALSE))</f>
        <v/>
      </c>
      <c r="G795" s="137" t="str">
        <f t="array" ref="G795">IFERROR(IF(A795="","",VLOOKUP(A795,INDIRECT("HISTÓRICO COBROS!A3:F"&amp;COUNTA('HISTÓRICO COBROS'!A:A)),6,FALSE)),"")</f>
        <v/>
      </c>
      <c r="H795" s="138" t="str">
        <f t="shared" ref="H795:I795" si="796">IF(D795="","",D795+F795)</f>
        <v/>
      </c>
      <c r="I795" s="135" t="str">
        <f t="shared" si="796"/>
        <v/>
      </c>
      <c r="J795" s="140" t="str">
        <f t="shared" si="3"/>
        <v/>
      </c>
      <c r="K795" s="140" t="str">
        <f t="shared" si="4"/>
        <v/>
      </c>
    </row>
    <row r="796" ht="22.5" customHeight="1">
      <c r="A796" s="140"/>
      <c r="B796" s="135" t="str">
        <f t="array" ref="B796">IF(A796="","",VLOOKUP(A796,INDIRECT("CXC!A2:B"&amp;COUNTA(CXC!A:A)),2,FALSE))</f>
        <v/>
      </c>
      <c r="C796" s="136" t="str">
        <f t="array" ref="C796">IF(A796="","",VLOOKUP(A796,INDIRECT("CXC!A2:C"&amp;COUNTA(CXC!A:A)),3,FALSE))</f>
        <v/>
      </c>
      <c r="D796" s="137" t="str">
        <f t="array" ref="D796">IF(A796="","",VLOOKUP(A796,INDIRECT("CXC!A2:H"&amp;COUNTA(CXC!A:A)),8,FALSE))</f>
        <v/>
      </c>
      <c r="E796" s="137" t="str">
        <f t="array" ref="E796">IFERROR(IF(A796="","",VLOOKUP(A796,INDIRECT("HISTÓRICO COBROS!A3:E"&amp;COUNTA('HISTÓRICO COBROS'!A:A)),5,FALSE)),"")</f>
        <v/>
      </c>
      <c r="F796" s="137" t="str">
        <f t="array" ref="F796">IF(A796="","",VLOOKUP(A796,INDIRECT("CXC!A2:I"&amp;COUNTA(CXC!A:A)),9,FALSE))</f>
        <v/>
      </c>
      <c r="G796" s="137" t="str">
        <f t="array" ref="G796">IFERROR(IF(A796="","",VLOOKUP(A796,INDIRECT("HISTÓRICO COBROS!A3:F"&amp;COUNTA('HISTÓRICO COBROS'!A:A)),6,FALSE)),"")</f>
        <v/>
      </c>
      <c r="H796" s="138" t="str">
        <f t="shared" ref="H796:I796" si="797">IF(D796="","",D796+F796)</f>
        <v/>
      </c>
      <c r="I796" s="135" t="str">
        <f t="shared" si="797"/>
        <v/>
      </c>
      <c r="J796" s="140" t="str">
        <f t="shared" si="3"/>
        <v/>
      </c>
      <c r="K796" s="140" t="str">
        <f t="shared" si="4"/>
        <v/>
      </c>
    </row>
    <row r="797" ht="22.5" customHeight="1">
      <c r="A797" s="140"/>
      <c r="B797" s="135" t="str">
        <f t="array" ref="B797">IF(A797="","",VLOOKUP(A797,INDIRECT("CXC!A2:B"&amp;COUNTA(CXC!A:A)),2,FALSE))</f>
        <v/>
      </c>
      <c r="C797" s="136" t="str">
        <f t="array" ref="C797">IF(A797="","",VLOOKUP(A797,INDIRECT("CXC!A2:C"&amp;COUNTA(CXC!A:A)),3,FALSE))</f>
        <v/>
      </c>
      <c r="D797" s="137" t="str">
        <f t="array" ref="D797">IF(A797="","",VLOOKUP(A797,INDIRECT("CXC!A2:H"&amp;COUNTA(CXC!A:A)),8,FALSE))</f>
        <v/>
      </c>
      <c r="E797" s="137" t="str">
        <f t="array" ref="E797">IFERROR(IF(A797="","",VLOOKUP(A797,INDIRECT("HISTÓRICO COBROS!A3:E"&amp;COUNTA('HISTÓRICO COBROS'!A:A)),5,FALSE)),"")</f>
        <v/>
      </c>
      <c r="F797" s="137" t="str">
        <f t="array" ref="F797">IF(A797="","",VLOOKUP(A797,INDIRECT("CXC!A2:I"&amp;COUNTA(CXC!A:A)),9,FALSE))</f>
        <v/>
      </c>
      <c r="G797" s="137" t="str">
        <f t="array" ref="G797">IFERROR(IF(A797="","",VLOOKUP(A797,INDIRECT("HISTÓRICO COBROS!A3:F"&amp;COUNTA('HISTÓRICO COBROS'!A:A)),6,FALSE)),"")</f>
        <v/>
      </c>
      <c r="H797" s="138" t="str">
        <f t="shared" ref="H797:I797" si="798">IF(D797="","",D797+F797)</f>
        <v/>
      </c>
      <c r="I797" s="135" t="str">
        <f t="shared" si="798"/>
        <v/>
      </c>
      <c r="J797" s="140" t="str">
        <f t="shared" si="3"/>
        <v/>
      </c>
      <c r="K797" s="140" t="str">
        <f t="shared" si="4"/>
        <v/>
      </c>
    </row>
    <row r="798" ht="22.5" customHeight="1">
      <c r="A798" s="140"/>
      <c r="B798" s="135" t="str">
        <f t="array" ref="B798">IF(A798="","",VLOOKUP(A798,INDIRECT("CXC!A2:B"&amp;COUNTA(CXC!A:A)),2,FALSE))</f>
        <v/>
      </c>
      <c r="C798" s="136" t="str">
        <f t="array" ref="C798">IF(A798="","",VLOOKUP(A798,INDIRECT("CXC!A2:C"&amp;COUNTA(CXC!A:A)),3,FALSE))</f>
        <v/>
      </c>
      <c r="D798" s="137" t="str">
        <f t="array" ref="D798">IF(A798="","",VLOOKUP(A798,INDIRECT("CXC!A2:H"&amp;COUNTA(CXC!A:A)),8,FALSE))</f>
        <v/>
      </c>
      <c r="E798" s="137" t="str">
        <f t="array" ref="E798">IFERROR(IF(A798="","",VLOOKUP(A798,INDIRECT("HISTÓRICO COBROS!A3:E"&amp;COUNTA('HISTÓRICO COBROS'!A:A)),5,FALSE)),"")</f>
        <v/>
      </c>
      <c r="F798" s="137" t="str">
        <f t="array" ref="F798">IF(A798="","",VLOOKUP(A798,INDIRECT("CXC!A2:I"&amp;COUNTA(CXC!A:A)),9,FALSE))</f>
        <v/>
      </c>
      <c r="G798" s="137" t="str">
        <f t="array" ref="G798">IFERROR(IF(A798="","",VLOOKUP(A798,INDIRECT("HISTÓRICO COBROS!A3:F"&amp;COUNTA('HISTÓRICO COBROS'!A:A)),6,FALSE)),"")</f>
        <v/>
      </c>
      <c r="H798" s="138" t="str">
        <f t="shared" ref="H798:I798" si="799">IF(D798="","",D798+F798)</f>
        <v/>
      </c>
      <c r="I798" s="135" t="str">
        <f t="shared" si="799"/>
        <v/>
      </c>
      <c r="J798" s="140" t="str">
        <f t="shared" si="3"/>
        <v/>
      </c>
      <c r="K798" s="140" t="str">
        <f t="shared" si="4"/>
        <v/>
      </c>
    </row>
    <row r="799" ht="22.5" customHeight="1">
      <c r="A799" s="140"/>
      <c r="B799" s="135" t="str">
        <f t="array" ref="B799">IF(A799="","",VLOOKUP(A799,INDIRECT("CXC!A2:B"&amp;COUNTA(CXC!A:A)),2,FALSE))</f>
        <v/>
      </c>
      <c r="C799" s="136" t="str">
        <f t="array" ref="C799">IF(A799="","",VLOOKUP(A799,INDIRECT("CXC!A2:C"&amp;COUNTA(CXC!A:A)),3,FALSE))</f>
        <v/>
      </c>
      <c r="D799" s="137" t="str">
        <f t="array" ref="D799">IF(A799="","",VLOOKUP(A799,INDIRECT("CXC!A2:H"&amp;COUNTA(CXC!A:A)),8,FALSE))</f>
        <v/>
      </c>
      <c r="E799" s="137" t="str">
        <f t="array" ref="E799">IFERROR(IF(A799="","",VLOOKUP(A799,INDIRECT("HISTÓRICO COBROS!A3:E"&amp;COUNTA('HISTÓRICO COBROS'!A:A)),5,FALSE)),"")</f>
        <v/>
      </c>
      <c r="F799" s="137" t="str">
        <f t="array" ref="F799">IF(A799="","",VLOOKUP(A799,INDIRECT("CXC!A2:I"&amp;COUNTA(CXC!A:A)),9,FALSE))</f>
        <v/>
      </c>
      <c r="G799" s="137" t="str">
        <f t="array" ref="G799">IFERROR(IF(A799="","",VLOOKUP(A799,INDIRECT("HISTÓRICO COBROS!A3:F"&amp;COUNTA('HISTÓRICO COBROS'!A:A)),6,FALSE)),"")</f>
        <v/>
      </c>
      <c r="H799" s="138" t="str">
        <f t="shared" ref="H799:I799" si="800">IF(D799="","",D799+F799)</f>
        <v/>
      </c>
      <c r="I799" s="135" t="str">
        <f t="shared" si="800"/>
        <v/>
      </c>
      <c r="J799" s="140" t="str">
        <f t="shared" si="3"/>
        <v/>
      </c>
      <c r="K799" s="140" t="str">
        <f t="shared" si="4"/>
        <v/>
      </c>
    </row>
    <row r="800" ht="22.5" customHeight="1">
      <c r="A800" s="140"/>
      <c r="B800" s="135" t="str">
        <f t="array" ref="B800">IF(A800="","",VLOOKUP(A800,INDIRECT("CXC!A2:B"&amp;COUNTA(CXC!A:A)),2,FALSE))</f>
        <v/>
      </c>
      <c r="C800" s="136" t="str">
        <f t="array" ref="C800">IF(A800="","",VLOOKUP(A800,INDIRECT("CXC!A2:C"&amp;COUNTA(CXC!A:A)),3,FALSE))</f>
        <v/>
      </c>
      <c r="D800" s="137" t="str">
        <f t="array" ref="D800">IF(A800="","",VLOOKUP(A800,INDIRECT("CXC!A2:H"&amp;COUNTA(CXC!A:A)),8,FALSE))</f>
        <v/>
      </c>
      <c r="E800" s="137" t="str">
        <f t="array" ref="E800">IFERROR(IF(A800="","",VLOOKUP(A800,INDIRECT("HISTÓRICO COBROS!A3:E"&amp;COUNTA('HISTÓRICO COBROS'!A:A)),5,FALSE)),"")</f>
        <v/>
      </c>
      <c r="F800" s="137" t="str">
        <f t="array" ref="F800">IF(A800="","",VLOOKUP(A800,INDIRECT("CXC!A2:I"&amp;COUNTA(CXC!A:A)),9,FALSE))</f>
        <v/>
      </c>
      <c r="G800" s="137" t="str">
        <f t="array" ref="G800">IFERROR(IF(A800="","",VLOOKUP(A800,INDIRECT("HISTÓRICO COBROS!A3:F"&amp;COUNTA('HISTÓRICO COBROS'!A:A)),6,FALSE)),"")</f>
        <v/>
      </c>
      <c r="H800" s="138" t="str">
        <f t="shared" ref="H800:I800" si="801">IF(D800="","",D800+F800)</f>
        <v/>
      </c>
      <c r="I800" s="135" t="str">
        <f t="shared" si="801"/>
        <v/>
      </c>
      <c r="J800" s="140" t="str">
        <f t="shared" si="3"/>
        <v/>
      </c>
      <c r="K800" s="140" t="str">
        <f t="shared" si="4"/>
        <v/>
      </c>
    </row>
    <row r="801" ht="22.5" customHeight="1">
      <c r="A801" s="140"/>
      <c r="B801" s="135" t="str">
        <f t="array" ref="B801">IF(A801="","",VLOOKUP(A801,INDIRECT("CXC!A2:B"&amp;COUNTA(CXC!A:A)),2,FALSE))</f>
        <v/>
      </c>
      <c r="C801" s="136" t="str">
        <f t="array" ref="C801">IF(A801="","",VLOOKUP(A801,INDIRECT("CXC!A2:C"&amp;COUNTA(CXC!A:A)),3,FALSE))</f>
        <v/>
      </c>
      <c r="D801" s="137" t="str">
        <f t="array" ref="D801">IF(A801="","",VLOOKUP(A801,INDIRECT("CXC!A2:H"&amp;COUNTA(CXC!A:A)),8,FALSE))</f>
        <v/>
      </c>
      <c r="E801" s="137" t="str">
        <f t="array" ref="E801">IFERROR(IF(A801="","",VLOOKUP(A801,INDIRECT("HISTÓRICO COBROS!A3:E"&amp;COUNTA('HISTÓRICO COBROS'!A:A)),5,FALSE)),"")</f>
        <v/>
      </c>
      <c r="F801" s="137" t="str">
        <f t="array" ref="F801">IF(A801="","",VLOOKUP(A801,INDIRECT("CXC!A2:I"&amp;COUNTA(CXC!A:A)),9,FALSE))</f>
        <v/>
      </c>
      <c r="G801" s="137" t="str">
        <f t="array" ref="G801">IFERROR(IF(A801="","",VLOOKUP(A801,INDIRECT("HISTÓRICO COBROS!A3:F"&amp;COUNTA('HISTÓRICO COBROS'!A:A)),6,FALSE)),"")</f>
        <v/>
      </c>
      <c r="H801" s="138" t="str">
        <f t="shared" ref="H801:I801" si="802">IF(D801="","",D801+F801)</f>
        <v/>
      </c>
      <c r="I801" s="135" t="str">
        <f t="shared" si="802"/>
        <v/>
      </c>
      <c r="J801" s="140" t="str">
        <f t="shared" si="3"/>
        <v/>
      </c>
      <c r="K801" s="140" t="str">
        <f t="shared" si="4"/>
        <v/>
      </c>
    </row>
    <row r="802" ht="22.5" customHeight="1">
      <c r="A802" s="140"/>
      <c r="B802" s="135" t="str">
        <f t="array" ref="B802">IF(A802="","",VLOOKUP(A802,INDIRECT("CXC!A2:B"&amp;COUNTA(CXC!A:A)),2,FALSE))</f>
        <v/>
      </c>
      <c r="C802" s="136" t="str">
        <f t="array" ref="C802">IF(A802="","",VLOOKUP(A802,INDIRECT("CXC!A2:C"&amp;COUNTA(CXC!A:A)),3,FALSE))</f>
        <v/>
      </c>
      <c r="D802" s="137" t="str">
        <f t="array" ref="D802">IF(A802="","",VLOOKUP(A802,INDIRECT("CXC!A2:H"&amp;COUNTA(CXC!A:A)),8,FALSE))</f>
        <v/>
      </c>
      <c r="E802" s="137" t="str">
        <f t="array" ref="E802">IFERROR(IF(A802="","",VLOOKUP(A802,INDIRECT("HISTÓRICO COBROS!A3:E"&amp;COUNTA('HISTÓRICO COBROS'!A:A)),5,FALSE)),"")</f>
        <v/>
      </c>
      <c r="F802" s="137" t="str">
        <f t="array" ref="F802">IF(A802="","",VLOOKUP(A802,INDIRECT("CXC!A2:I"&amp;COUNTA(CXC!A:A)),9,FALSE))</f>
        <v/>
      </c>
      <c r="G802" s="137" t="str">
        <f t="array" ref="G802">IFERROR(IF(A802="","",VLOOKUP(A802,INDIRECT("HISTÓRICO COBROS!A3:F"&amp;COUNTA('HISTÓRICO COBROS'!A:A)),6,FALSE)),"")</f>
        <v/>
      </c>
      <c r="H802" s="138" t="str">
        <f t="shared" ref="H802:I802" si="803">IF(D802="","",D802+F802)</f>
        <v/>
      </c>
      <c r="I802" s="135" t="str">
        <f t="shared" si="803"/>
        <v/>
      </c>
      <c r="J802" s="140" t="str">
        <f t="shared" si="3"/>
        <v/>
      </c>
      <c r="K802" s="140" t="str">
        <f t="shared" si="4"/>
        <v/>
      </c>
    </row>
    <row r="803" ht="22.5" customHeight="1">
      <c r="A803" s="140"/>
      <c r="B803" s="135" t="str">
        <f t="array" ref="B803">IF(A803="","",VLOOKUP(A803,INDIRECT("CXC!A2:B"&amp;COUNTA(CXC!A:A)),2,FALSE))</f>
        <v/>
      </c>
      <c r="C803" s="136" t="str">
        <f t="array" ref="C803">IF(A803="","",VLOOKUP(A803,INDIRECT("CXC!A2:C"&amp;COUNTA(CXC!A:A)),3,FALSE))</f>
        <v/>
      </c>
      <c r="D803" s="137" t="str">
        <f t="array" ref="D803">IF(A803="","",VLOOKUP(A803,INDIRECT("CXC!A2:H"&amp;COUNTA(CXC!A:A)),8,FALSE))</f>
        <v/>
      </c>
      <c r="E803" s="137" t="str">
        <f t="array" ref="E803">IFERROR(IF(A803="","",VLOOKUP(A803,INDIRECT("HISTÓRICO COBROS!A3:E"&amp;COUNTA('HISTÓRICO COBROS'!A:A)),5,FALSE)),"")</f>
        <v/>
      </c>
      <c r="F803" s="137" t="str">
        <f t="array" ref="F803">IF(A803="","",VLOOKUP(A803,INDIRECT("CXC!A2:I"&amp;COUNTA(CXC!A:A)),9,FALSE))</f>
        <v/>
      </c>
      <c r="G803" s="137" t="str">
        <f t="array" ref="G803">IFERROR(IF(A803="","",VLOOKUP(A803,INDIRECT("HISTÓRICO COBROS!A3:F"&amp;COUNTA('HISTÓRICO COBROS'!A:A)),6,FALSE)),"")</f>
        <v/>
      </c>
      <c r="H803" s="138" t="str">
        <f t="shared" ref="H803:I803" si="804">IF(D803="","",D803+F803)</f>
        <v/>
      </c>
      <c r="I803" s="135" t="str">
        <f t="shared" si="804"/>
        <v/>
      </c>
      <c r="J803" s="140" t="str">
        <f t="shared" si="3"/>
        <v/>
      </c>
      <c r="K803" s="140" t="str">
        <f t="shared" si="4"/>
        <v/>
      </c>
    </row>
    <row r="804" ht="22.5" customHeight="1">
      <c r="A804" s="140"/>
      <c r="B804" s="135" t="str">
        <f t="array" ref="B804">IF(A804="","",VLOOKUP(A804,INDIRECT("CXC!A2:B"&amp;COUNTA(CXC!A:A)),2,FALSE))</f>
        <v/>
      </c>
      <c r="C804" s="136" t="str">
        <f t="array" ref="C804">IF(A804="","",VLOOKUP(A804,INDIRECT("CXC!A2:C"&amp;COUNTA(CXC!A:A)),3,FALSE))</f>
        <v/>
      </c>
      <c r="D804" s="137" t="str">
        <f t="array" ref="D804">IF(A804="","",VLOOKUP(A804,INDIRECT("CXC!A2:H"&amp;COUNTA(CXC!A:A)),8,FALSE))</f>
        <v/>
      </c>
      <c r="E804" s="137" t="str">
        <f t="array" ref="E804">IFERROR(IF(A804="","",VLOOKUP(A804,INDIRECT("HISTÓRICO COBROS!A3:E"&amp;COUNTA('HISTÓRICO COBROS'!A:A)),5,FALSE)),"")</f>
        <v/>
      </c>
      <c r="F804" s="137" t="str">
        <f t="array" ref="F804">IF(A804="","",VLOOKUP(A804,INDIRECT("CXC!A2:I"&amp;COUNTA(CXC!A:A)),9,FALSE))</f>
        <v/>
      </c>
      <c r="G804" s="137" t="str">
        <f t="array" ref="G804">IFERROR(IF(A804="","",VLOOKUP(A804,INDIRECT("HISTÓRICO COBROS!A3:F"&amp;COUNTA('HISTÓRICO COBROS'!A:A)),6,FALSE)),"")</f>
        <v/>
      </c>
      <c r="H804" s="138" t="str">
        <f t="shared" ref="H804:I804" si="805">IF(D804="","",D804+F804)</f>
        <v/>
      </c>
      <c r="I804" s="135" t="str">
        <f t="shared" si="805"/>
        <v/>
      </c>
      <c r="J804" s="140" t="str">
        <f t="shared" si="3"/>
        <v/>
      </c>
      <c r="K804" s="140" t="str">
        <f t="shared" si="4"/>
        <v/>
      </c>
    </row>
    <row r="805" ht="22.5" customHeight="1">
      <c r="A805" s="140"/>
      <c r="B805" s="135" t="str">
        <f t="array" ref="B805">IF(A805="","",VLOOKUP(A805,INDIRECT("CXC!A2:B"&amp;COUNTA(CXC!A:A)),2,FALSE))</f>
        <v/>
      </c>
      <c r="C805" s="136" t="str">
        <f t="array" ref="C805">IF(A805="","",VLOOKUP(A805,INDIRECT("CXC!A2:C"&amp;COUNTA(CXC!A:A)),3,FALSE))</f>
        <v/>
      </c>
      <c r="D805" s="137" t="str">
        <f t="array" ref="D805">IF(A805="","",VLOOKUP(A805,INDIRECT("CXC!A2:H"&amp;COUNTA(CXC!A:A)),8,FALSE))</f>
        <v/>
      </c>
      <c r="E805" s="137" t="str">
        <f t="array" ref="E805">IFERROR(IF(A805="","",VLOOKUP(A805,INDIRECT("HISTÓRICO COBROS!A3:E"&amp;COUNTA('HISTÓRICO COBROS'!A:A)),5,FALSE)),"")</f>
        <v/>
      </c>
      <c r="F805" s="137" t="str">
        <f t="array" ref="F805">IF(A805="","",VLOOKUP(A805,INDIRECT("CXC!A2:I"&amp;COUNTA(CXC!A:A)),9,FALSE))</f>
        <v/>
      </c>
      <c r="G805" s="137" t="str">
        <f t="array" ref="G805">IFERROR(IF(A805="","",VLOOKUP(A805,INDIRECT("HISTÓRICO COBROS!A3:F"&amp;COUNTA('HISTÓRICO COBROS'!A:A)),6,FALSE)),"")</f>
        <v/>
      </c>
      <c r="H805" s="138" t="str">
        <f t="shared" ref="H805:I805" si="806">IF(D805="","",D805+F805)</f>
        <v/>
      </c>
      <c r="I805" s="135" t="str">
        <f t="shared" si="806"/>
        <v/>
      </c>
      <c r="J805" s="140" t="str">
        <f t="shared" si="3"/>
        <v/>
      </c>
      <c r="K805" s="140" t="str">
        <f t="shared" si="4"/>
        <v/>
      </c>
    </row>
    <row r="806" ht="22.5" customHeight="1">
      <c r="A806" s="140"/>
      <c r="B806" s="135" t="str">
        <f t="array" ref="B806">IF(A806="","",VLOOKUP(A806,INDIRECT("CXC!A2:B"&amp;COUNTA(CXC!A:A)),2,FALSE))</f>
        <v/>
      </c>
      <c r="C806" s="136" t="str">
        <f t="array" ref="C806">IF(A806="","",VLOOKUP(A806,INDIRECT("CXC!A2:C"&amp;COUNTA(CXC!A:A)),3,FALSE))</f>
        <v/>
      </c>
      <c r="D806" s="137" t="str">
        <f t="array" ref="D806">IF(A806="","",VLOOKUP(A806,INDIRECT("CXC!A2:H"&amp;COUNTA(CXC!A:A)),8,FALSE))</f>
        <v/>
      </c>
      <c r="E806" s="137" t="str">
        <f t="array" ref="E806">IFERROR(IF(A806="","",VLOOKUP(A806,INDIRECT("HISTÓRICO COBROS!A3:E"&amp;COUNTA('HISTÓRICO COBROS'!A:A)),5,FALSE)),"")</f>
        <v/>
      </c>
      <c r="F806" s="137" t="str">
        <f t="array" ref="F806">IF(A806="","",VLOOKUP(A806,INDIRECT("CXC!A2:I"&amp;COUNTA(CXC!A:A)),9,FALSE))</f>
        <v/>
      </c>
      <c r="G806" s="137" t="str">
        <f t="array" ref="G806">IFERROR(IF(A806="","",VLOOKUP(A806,INDIRECT("HISTÓRICO COBROS!A3:F"&amp;COUNTA('HISTÓRICO COBROS'!A:A)),6,FALSE)),"")</f>
        <v/>
      </c>
      <c r="H806" s="138" t="str">
        <f t="shared" ref="H806:I806" si="807">IF(D806="","",D806+F806)</f>
        <v/>
      </c>
      <c r="I806" s="135" t="str">
        <f t="shared" si="807"/>
        <v/>
      </c>
      <c r="J806" s="140" t="str">
        <f t="shared" si="3"/>
        <v/>
      </c>
      <c r="K806" s="140" t="str">
        <f t="shared" si="4"/>
        <v/>
      </c>
    </row>
    <row r="807" ht="22.5" customHeight="1">
      <c r="A807" s="140"/>
      <c r="B807" s="135" t="str">
        <f t="array" ref="B807">IF(A807="","",VLOOKUP(A807,INDIRECT("CXC!A2:B"&amp;COUNTA(CXC!A:A)),2,FALSE))</f>
        <v/>
      </c>
      <c r="C807" s="136" t="str">
        <f t="array" ref="C807">IF(A807="","",VLOOKUP(A807,INDIRECT("CXC!A2:C"&amp;COUNTA(CXC!A:A)),3,FALSE))</f>
        <v/>
      </c>
      <c r="D807" s="137" t="str">
        <f t="array" ref="D807">IF(A807="","",VLOOKUP(A807,INDIRECT("CXC!A2:H"&amp;COUNTA(CXC!A:A)),8,FALSE))</f>
        <v/>
      </c>
      <c r="E807" s="137" t="str">
        <f t="array" ref="E807">IFERROR(IF(A807="","",VLOOKUP(A807,INDIRECT("HISTÓRICO COBROS!A3:E"&amp;COUNTA('HISTÓRICO COBROS'!A:A)),5,FALSE)),"")</f>
        <v/>
      </c>
      <c r="F807" s="137" t="str">
        <f t="array" ref="F807">IF(A807="","",VLOOKUP(A807,INDIRECT("CXC!A2:I"&amp;COUNTA(CXC!A:A)),9,FALSE))</f>
        <v/>
      </c>
      <c r="G807" s="137" t="str">
        <f t="array" ref="G807">IFERROR(IF(A807="","",VLOOKUP(A807,INDIRECT("HISTÓRICO COBROS!A3:F"&amp;COUNTA('HISTÓRICO COBROS'!A:A)),6,FALSE)),"")</f>
        <v/>
      </c>
      <c r="H807" s="138" t="str">
        <f t="shared" ref="H807:I807" si="808">IF(D807="","",D807+F807)</f>
        <v/>
      </c>
      <c r="I807" s="135" t="str">
        <f t="shared" si="808"/>
        <v/>
      </c>
      <c r="J807" s="140" t="str">
        <f t="shared" si="3"/>
        <v/>
      </c>
      <c r="K807" s="140" t="str">
        <f t="shared" si="4"/>
        <v/>
      </c>
    </row>
    <row r="808" ht="22.5" customHeight="1">
      <c r="A808" s="140"/>
      <c r="B808" s="135" t="str">
        <f t="array" ref="B808">IF(A808="","",VLOOKUP(A808,INDIRECT("CXC!A2:B"&amp;COUNTA(CXC!A:A)),2,FALSE))</f>
        <v/>
      </c>
      <c r="C808" s="136" t="str">
        <f t="array" ref="C808">IF(A808="","",VLOOKUP(A808,INDIRECT("CXC!A2:C"&amp;COUNTA(CXC!A:A)),3,FALSE))</f>
        <v/>
      </c>
      <c r="D808" s="137" t="str">
        <f t="array" ref="D808">IF(A808="","",VLOOKUP(A808,INDIRECT("CXC!A2:H"&amp;COUNTA(CXC!A:A)),8,FALSE))</f>
        <v/>
      </c>
      <c r="E808" s="137" t="str">
        <f t="array" ref="E808">IFERROR(IF(A808="","",VLOOKUP(A808,INDIRECT("HISTÓRICO COBROS!A3:E"&amp;COUNTA('HISTÓRICO COBROS'!A:A)),5,FALSE)),"")</f>
        <v/>
      </c>
      <c r="F808" s="137" t="str">
        <f t="array" ref="F808">IF(A808="","",VLOOKUP(A808,INDIRECT("CXC!A2:I"&amp;COUNTA(CXC!A:A)),9,FALSE))</f>
        <v/>
      </c>
      <c r="G808" s="137" t="str">
        <f t="array" ref="G808">IFERROR(IF(A808="","",VLOOKUP(A808,INDIRECT("HISTÓRICO COBROS!A3:F"&amp;COUNTA('HISTÓRICO COBROS'!A:A)),6,FALSE)),"")</f>
        <v/>
      </c>
      <c r="H808" s="138" t="str">
        <f t="shared" ref="H808:I808" si="809">IF(D808="","",D808+F808)</f>
        <v/>
      </c>
      <c r="I808" s="135" t="str">
        <f t="shared" si="809"/>
        <v/>
      </c>
      <c r="J808" s="140" t="str">
        <f t="shared" si="3"/>
        <v/>
      </c>
      <c r="K808" s="140" t="str">
        <f t="shared" si="4"/>
        <v/>
      </c>
    </row>
    <row r="809" ht="22.5" customHeight="1">
      <c r="A809" s="140"/>
      <c r="B809" s="135" t="str">
        <f t="array" ref="B809">IF(A809="","",VLOOKUP(A809,INDIRECT("CXC!A2:B"&amp;COUNTA(CXC!A:A)),2,FALSE))</f>
        <v/>
      </c>
      <c r="C809" s="136" t="str">
        <f t="array" ref="C809">IF(A809="","",VLOOKUP(A809,INDIRECT("CXC!A2:C"&amp;COUNTA(CXC!A:A)),3,FALSE))</f>
        <v/>
      </c>
      <c r="D809" s="137" t="str">
        <f t="array" ref="D809">IF(A809="","",VLOOKUP(A809,INDIRECT("CXC!A2:H"&amp;COUNTA(CXC!A:A)),8,FALSE))</f>
        <v/>
      </c>
      <c r="E809" s="137" t="str">
        <f t="array" ref="E809">IFERROR(IF(A809="","",VLOOKUP(A809,INDIRECT("HISTÓRICO COBROS!A3:E"&amp;COUNTA('HISTÓRICO COBROS'!A:A)),5,FALSE)),"")</f>
        <v/>
      </c>
      <c r="F809" s="137" t="str">
        <f t="array" ref="F809">IF(A809="","",VLOOKUP(A809,INDIRECT("CXC!A2:I"&amp;COUNTA(CXC!A:A)),9,FALSE))</f>
        <v/>
      </c>
      <c r="G809" s="137" t="str">
        <f t="array" ref="G809">IFERROR(IF(A809="","",VLOOKUP(A809,INDIRECT("HISTÓRICO COBROS!A3:F"&amp;COUNTA('HISTÓRICO COBROS'!A:A)),6,FALSE)),"")</f>
        <v/>
      </c>
      <c r="H809" s="138" t="str">
        <f t="shared" ref="H809:I809" si="810">IF(D809="","",D809+F809)</f>
        <v/>
      </c>
      <c r="I809" s="135" t="str">
        <f t="shared" si="810"/>
        <v/>
      </c>
      <c r="J809" s="140" t="str">
        <f t="shared" si="3"/>
        <v/>
      </c>
      <c r="K809" s="140" t="str">
        <f t="shared" si="4"/>
        <v/>
      </c>
    </row>
    <row r="810" ht="22.5" customHeight="1">
      <c r="A810" s="140"/>
      <c r="B810" s="135" t="str">
        <f t="array" ref="B810">IF(A810="","",VLOOKUP(A810,INDIRECT("CXC!A2:B"&amp;COUNTA(CXC!A:A)),2,FALSE))</f>
        <v/>
      </c>
      <c r="C810" s="136" t="str">
        <f t="array" ref="C810">IF(A810="","",VLOOKUP(A810,INDIRECT("CXC!A2:C"&amp;COUNTA(CXC!A:A)),3,FALSE))</f>
        <v/>
      </c>
      <c r="D810" s="137" t="str">
        <f t="array" ref="D810">IF(A810="","",VLOOKUP(A810,INDIRECT("CXC!A2:H"&amp;COUNTA(CXC!A:A)),8,FALSE))</f>
        <v/>
      </c>
      <c r="E810" s="137" t="str">
        <f t="array" ref="E810">IFERROR(IF(A810="","",VLOOKUP(A810,INDIRECT("HISTÓRICO COBROS!A3:E"&amp;COUNTA('HISTÓRICO COBROS'!A:A)),5,FALSE)),"")</f>
        <v/>
      </c>
      <c r="F810" s="137" t="str">
        <f t="array" ref="F810">IF(A810="","",VLOOKUP(A810,INDIRECT("CXC!A2:I"&amp;COUNTA(CXC!A:A)),9,FALSE))</f>
        <v/>
      </c>
      <c r="G810" s="137" t="str">
        <f t="array" ref="G810">IFERROR(IF(A810="","",VLOOKUP(A810,INDIRECT("HISTÓRICO COBROS!A3:F"&amp;COUNTA('HISTÓRICO COBROS'!A:A)),6,FALSE)),"")</f>
        <v/>
      </c>
      <c r="H810" s="138" t="str">
        <f t="shared" ref="H810:I810" si="811">IF(D810="","",D810+F810)</f>
        <v/>
      </c>
      <c r="I810" s="135" t="str">
        <f t="shared" si="811"/>
        <v/>
      </c>
      <c r="J810" s="140" t="str">
        <f t="shared" si="3"/>
        <v/>
      </c>
      <c r="K810" s="140" t="str">
        <f t="shared" si="4"/>
        <v/>
      </c>
    </row>
    <row r="811" ht="22.5" customHeight="1">
      <c r="A811" s="140"/>
      <c r="B811" s="135" t="str">
        <f t="array" ref="B811">IF(A811="","",VLOOKUP(A811,INDIRECT("CXC!A2:B"&amp;COUNTA(CXC!A:A)),2,FALSE))</f>
        <v/>
      </c>
      <c r="C811" s="136" t="str">
        <f t="array" ref="C811">IF(A811="","",VLOOKUP(A811,INDIRECT("CXC!A2:C"&amp;COUNTA(CXC!A:A)),3,FALSE))</f>
        <v/>
      </c>
      <c r="D811" s="137" t="str">
        <f t="array" ref="D811">IF(A811="","",VLOOKUP(A811,INDIRECT("CXC!A2:H"&amp;COUNTA(CXC!A:A)),8,FALSE))</f>
        <v/>
      </c>
      <c r="E811" s="137" t="str">
        <f t="array" ref="E811">IFERROR(IF(A811="","",VLOOKUP(A811,INDIRECT("HISTÓRICO COBROS!A3:E"&amp;COUNTA('HISTÓRICO COBROS'!A:A)),5,FALSE)),"")</f>
        <v/>
      </c>
      <c r="F811" s="137" t="str">
        <f t="array" ref="F811">IF(A811="","",VLOOKUP(A811,INDIRECT("CXC!A2:I"&amp;COUNTA(CXC!A:A)),9,FALSE))</f>
        <v/>
      </c>
      <c r="G811" s="137" t="str">
        <f t="array" ref="G811">IFERROR(IF(A811="","",VLOOKUP(A811,INDIRECT("HISTÓRICO COBROS!A3:F"&amp;COUNTA('HISTÓRICO COBROS'!A:A)),6,FALSE)),"")</f>
        <v/>
      </c>
      <c r="H811" s="138" t="str">
        <f t="shared" ref="H811:I811" si="812">IF(D811="","",D811+F811)</f>
        <v/>
      </c>
      <c r="I811" s="135" t="str">
        <f t="shared" si="812"/>
        <v/>
      </c>
      <c r="J811" s="140" t="str">
        <f t="shared" si="3"/>
        <v/>
      </c>
      <c r="K811" s="140" t="str">
        <f t="shared" si="4"/>
        <v/>
      </c>
    </row>
    <row r="812" ht="22.5" customHeight="1">
      <c r="A812" s="140"/>
      <c r="B812" s="135" t="str">
        <f t="array" ref="B812">IF(A812="","",VLOOKUP(A812,INDIRECT("CXC!A2:B"&amp;COUNTA(CXC!A:A)),2,FALSE))</f>
        <v/>
      </c>
      <c r="C812" s="136" t="str">
        <f t="array" ref="C812">IF(A812="","",VLOOKUP(A812,INDIRECT("CXC!A2:C"&amp;COUNTA(CXC!A:A)),3,FALSE))</f>
        <v/>
      </c>
      <c r="D812" s="137" t="str">
        <f t="array" ref="D812">IF(A812="","",VLOOKUP(A812,INDIRECT("CXC!A2:H"&amp;COUNTA(CXC!A:A)),8,FALSE))</f>
        <v/>
      </c>
      <c r="E812" s="137" t="str">
        <f t="array" ref="E812">IFERROR(IF(A812="","",VLOOKUP(A812,INDIRECT("HISTÓRICO COBROS!A3:E"&amp;COUNTA('HISTÓRICO COBROS'!A:A)),5,FALSE)),"")</f>
        <v/>
      </c>
      <c r="F812" s="137" t="str">
        <f t="array" ref="F812">IF(A812="","",VLOOKUP(A812,INDIRECT("CXC!A2:I"&amp;COUNTA(CXC!A:A)),9,FALSE))</f>
        <v/>
      </c>
      <c r="G812" s="137" t="str">
        <f t="array" ref="G812">IFERROR(IF(A812="","",VLOOKUP(A812,INDIRECT("HISTÓRICO COBROS!A3:F"&amp;COUNTA('HISTÓRICO COBROS'!A:A)),6,FALSE)),"")</f>
        <v/>
      </c>
      <c r="H812" s="138" t="str">
        <f t="shared" ref="H812:I812" si="813">IF(D812="","",D812+F812)</f>
        <v/>
      </c>
      <c r="I812" s="135" t="str">
        <f t="shared" si="813"/>
        <v/>
      </c>
      <c r="J812" s="140" t="str">
        <f t="shared" si="3"/>
        <v/>
      </c>
      <c r="K812" s="140" t="str">
        <f t="shared" si="4"/>
        <v/>
      </c>
    </row>
    <row r="813" ht="22.5" customHeight="1">
      <c r="A813" s="140"/>
      <c r="B813" s="135" t="str">
        <f t="array" ref="B813">IF(A813="","",VLOOKUP(A813,INDIRECT("CXC!A2:B"&amp;COUNTA(CXC!A:A)),2,FALSE))</f>
        <v/>
      </c>
      <c r="C813" s="136" t="str">
        <f t="array" ref="C813">IF(A813="","",VLOOKUP(A813,INDIRECT("CXC!A2:C"&amp;COUNTA(CXC!A:A)),3,FALSE))</f>
        <v/>
      </c>
      <c r="D813" s="137" t="str">
        <f t="array" ref="D813">IF(A813="","",VLOOKUP(A813,INDIRECT("CXC!A2:H"&amp;COUNTA(CXC!A:A)),8,FALSE))</f>
        <v/>
      </c>
      <c r="E813" s="137" t="str">
        <f t="array" ref="E813">IFERROR(IF(A813="","",VLOOKUP(A813,INDIRECT("HISTÓRICO COBROS!A3:E"&amp;COUNTA('HISTÓRICO COBROS'!A:A)),5,FALSE)),"")</f>
        <v/>
      </c>
      <c r="F813" s="137" t="str">
        <f t="array" ref="F813">IF(A813="","",VLOOKUP(A813,INDIRECT("CXC!A2:I"&amp;COUNTA(CXC!A:A)),9,FALSE))</f>
        <v/>
      </c>
      <c r="G813" s="137" t="str">
        <f t="array" ref="G813">IFERROR(IF(A813="","",VLOOKUP(A813,INDIRECT("HISTÓRICO COBROS!A3:F"&amp;COUNTA('HISTÓRICO COBROS'!A:A)),6,FALSE)),"")</f>
        <v/>
      </c>
      <c r="H813" s="138" t="str">
        <f t="shared" ref="H813:I813" si="814">IF(D813="","",D813+F813)</f>
        <v/>
      </c>
      <c r="I813" s="135" t="str">
        <f t="shared" si="814"/>
        <v/>
      </c>
      <c r="J813" s="140" t="str">
        <f t="shared" si="3"/>
        <v/>
      </c>
      <c r="K813" s="140" t="str">
        <f t="shared" si="4"/>
        <v/>
      </c>
    </row>
    <row r="814" ht="22.5" customHeight="1">
      <c r="A814" s="140"/>
      <c r="B814" s="135" t="str">
        <f t="array" ref="B814">IF(A814="","",VLOOKUP(A814,INDIRECT("CXC!A2:B"&amp;COUNTA(CXC!A:A)),2,FALSE))</f>
        <v/>
      </c>
      <c r="C814" s="136" t="str">
        <f t="array" ref="C814">IF(A814="","",VLOOKUP(A814,INDIRECT("CXC!A2:C"&amp;COUNTA(CXC!A:A)),3,FALSE))</f>
        <v/>
      </c>
      <c r="D814" s="137" t="str">
        <f t="array" ref="D814">IF(A814="","",VLOOKUP(A814,INDIRECT("CXC!A2:H"&amp;COUNTA(CXC!A:A)),8,FALSE))</f>
        <v/>
      </c>
      <c r="E814" s="137" t="str">
        <f t="array" ref="E814">IFERROR(IF(A814="","",VLOOKUP(A814,INDIRECT("HISTÓRICO COBROS!A3:E"&amp;COUNTA('HISTÓRICO COBROS'!A:A)),5,FALSE)),"")</f>
        <v/>
      </c>
      <c r="F814" s="137" t="str">
        <f t="array" ref="F814">IF(A814="","",VLOOKUP(A814,INDIRECT("CXC!A2:I"&amp;COUNTA(CXC!A:A)),9,FALSE))</f>
        <v/>
      </c>
      <c r="G814" s="137" t="str">
        <f t="array" ref="G814">IFERROR(IF(A814="","",VLOOKUP(A814,INDIRECT("HISTÓRICO COBROS!A3:F"&amp;COUNTA('HISTÓRICO COBROS'!A:A)),6,FALSE)),"")</f>
        <v/>
      </c>
      <c r="H814" s="138" t="str">
        <f t="shared" ref="H814:I814" si="815">IF(D814="","",D814+F814)</f>
        <v/>
      </c>
      <c r="I814" s="135" t="str">
        <f t="shared" si="815"/>
        <v/>
      </c>
      <c r="J814" s="140" t="str">
        <f t="shared" si="3"/>
        <v/>
      </c>
      <c r="K814" s="140" t="str">
        <f t="shared" si="4"/>
        <v/>
      </c>
    </row>
    <row r="815" ht="22.5" customHeight="1">
      <c r="A815" s="140"/>
      <c r="B815" s="135" t="str">
        <f t="array" ref="B815">IF(A815="","",VLOOKUP(A815,INDIRECT("CXC!A2:B"&amp;COUNTA(CXC!A:A)),2,FALSE))</f>
        <v/>
      </c>
      <c r="C815" s="136" t="str">
        <f t="array" ref="C815">IF(A815="","",VLOOKUP(A815,INDIRECT("CXC!A2:C"&amp;COUNTA(CXC!A:A)),3,FALSE))</f>
        <v/>
      </c>
      <c r="D815" s="137" t="str">
        <f t="array" ref="D815">IF(A815="","",VLOOKUP(A815,INDIRECT("CXC!A2:H"&amp;COUNTA(CXC!A:A)),8,FALSE))</f>
        <v/>
      </c>
      <c r="E815" s="137" t="str">
        <f t="array" ref="E815">IFERROR(IF(A815="","",VLOOKUP(A815,INDIRECT("HISTÓRICO COBROS!A3:E"&amp;COUNTA('HISTÓRICO COBROS'!A:A)),5,FALSE)),"")</f>
        <v/>
      </c>
      <c r="F815" s="137" t="str">
        <f t="array" ref="F815">IF(A815="","",VLOOKUP(A815,INDIRECT("CXC!A2:I"&amp;COUNTA(CXC!A:A)),9,FALSE))</f>
        <v/>
      </c>
      <c r="G815" s="137" t="str">
        <f t="array" ref="G815">IFERROR(IF(A815="","",VLOOKUP(A815,INDIRECT("HISTÓRICO COBROS!A3:F"&amp;COUNTA('HISTÓRICO COBROS'!A:A)),6,FALSE)),"")</f>
        <v/>
      </c>
      <c r="H815" s="138" t="str">
        <f t="shared" ref="H815:I815" si="816">IF(D815="","",D815+F815)</f>
        <v/>
      </c>
      <c r="I815" s="135" t="str">
        <f t="shared" si="816"/>
        <v/>
      </c>
      <c r="J815" s="140" t="str">
        <f t="shared" si="3"/>
        <v/>
      </c>
      <c r="K815" s="140" t="str">
        <f t="shared" si="4"/>
        <v/>
      </c>
    </row>
    <row r="816" ht="22.5" customHeight="1">
      <c r="A816" s="140"/>
      <c r="B816" s="135" t="str">
        <f t="array" ref="B816">IF(A816="","",VLOOKUP(A816,INDIRECT("CXC!A2:B"&amp;COUNTA(CXC!A:A)),2,FALSE))</f>
        <v/>
      </c>
      <c r="C816" s="136" t="str">
        <f t="array" ref="C816">IF(A816="","",VLOOKUP(A816,INDIRECT("CXC!A2:C"&amp;COUNTA(CXC!A:A)),3,FALSE))</f>
        <v/>
      </c>
      <c r="D816" s="137" t="str">
        <f t="array" ref="D816">IF(A816="","",VLOOKUP(A816,INDIRECT("CXC!A2:H"&amp;COUNTA(CXC!A:A)),8,FALSE))</f>
        <v/>
      </c>
      <c r="E816" s="137" t="str">
        <f t="array" ref="E816">IFERROR(IF(A816="","",VLOOKUP(A816,INDIRECT("HISTÓRICO COBROS!A3:E"&amp;COUNTA('HISTÓRICO COBROS'!A:A)),5,FALSE)),"")</f>
        <v/>
      </c>
      <c r="F816" s="137" t="str">
        <f t="array" ref="F816">IF(A816="","",VLOOKUP(A816,INDIRECT("CXC!A2:I"&amp;COUNTA(CXC!A:A)),9,FALSE))</f>
        <v/>
      </c>
      <c r="G816" s="137" t="str">
        <f t="array" ref="G816">IFERROR(IF(A816="","",VLOOKUP(A816,INDIRECT("HISTÓRICO COBROS!A3:F"&amp;COUNTA('HISTÓRICO COBROS'!A:A)),6,FALSE)),"")</f>
        <v/>
      </c>
      <c r="H816" s="138" t="str">
        <f t="shared" ref="H816:I816" si="817">IF(D816="","",D816+F816)</f>
        <v/>
      </c>
      <c r="I816" s="135" t="str">
        <f t="shared" si="817"/>
        <v/>
      </c>
      <c r="J816" s="140" t="str">
        <f t="shared" si="3"/>
        <v/>
      </c>
      <c r="K816" s="140" t="str">
        <f t="shared" si="4"/>
        <v/>
      </c>
    </row>
    <row r="817" ht="22.5" customHeight="1">
      <c r="A817" s="140"/>
      <c r="B817" s="135" t="str">
        <f t="array" ref="B817">IF(A817="","",VLOOKUP(A817,INDIRECT("CXC!A2:B"&amp;COUNTA(CXC!A:A)),2,FALSE))</f>
        <v/>
      </c>
      <c r="C817" s="136" t="str">
        <f t="array" ref="C817">IF(A817="","",VLOOKUP(A817,INDIRECT("CXC!A2:C"&amp;COUNTA(CXC!A:A)),3,FALSE))</f>
        <v/>
      </c>
      <c r="D817" s="137" t="str">
        <f t="array" ref="D817">IF(A817="","",VLOOKUP(A817,INDIRECT("CXC!A2:H"&amp;COUNTA(CXC!A:A)),8,FALSE))</f>
        <v/>
      </c>
      <c r="E817" s="137" t="str">
        <f t="array" ref="E817">IFERROR(IF(A817="","",VLOOKUP(A817,INDIRECT("HISTÓRICO COBROS!A3:E"&amp;COUNTA('HISTÓRICO COBROS'!A:A)),5,FALSE)),"")</f>
        <v/>
      </c>
      <c r="F817" s="137" t="str">
        <f t="array" ref="F817">IF(A817="","",VLOOKUP(A817,INDIRECT("CXC!A2:I"&amp;COUNTA(CXC!A:A)),9,FALSE))</f>
        <v/>
      </c>
      <c r="G817" s="137" t="str">
        <f t="array" ref="G817">IFERROR(IF(A817="","",VLOOKUP(A817,INDIRECT("HISTÓRICO COBROS!A3:F"&amp;COUNTA('HISTÓRICO COBROS'!A:A)),6,FALSE)),"")</f>
        <v/>
      </c>
      <c r="H817" s="138" t="str">
        <f t="shared" ref="H817:I817" si="818">IF(D817="","",D817+F817)</f>
        <v/>
      </c>
      <c r="I817" s="135" t="str">
        <f t="shared" si="818"/>
        <v/>
      </c>
      <c r="J817" s="140" t="str">
        <f t="shared" si="3"/>
        <v/>
      </c>
      <c r="K817" s="140" t="str">
        <f t="shared" si="4"/>
        <v/>
      </c>
    </row>
    <row r="818" ht="22.5" customHeight="1">
      <c r="A818" s="140"/>
      <c r="B818" s="135" t="str">
        <f t="array" ref="B818">IF(A818="","",VLOOKUP(A818,INDIRECT("CXC!A2:B"&amp;COUNTA(CXC!A:A)),2,FALSE))</f>
        <v/>
      </c>
      <c r="C818" s="136" t="str">
        <f t="array" ref="C818">IF(A818="","",VLOOKUP(A818,INDIRECT("CXC!A2:C"&amp;COUNTA(CXC!A:A)),3,FALSE))</f>
        <v/>
      </c>
      <c r="D818" s="137" t="str">
        <f t="array" ref="D818">IF(A818="","",VLOOKUP(A818,INDIRECT("CXC!A2:H"&amp;COUNTA(CXC!A:A)),8,FALSE))</f>
        <v/>
      </c>
      <c r="E818" s="137" t="str">
        <f t="array" ref="E818">IFERROR(IF(A818="","",VLOOKUP(A818,INDIRECT("HISTÓRICO COBROS!A3:E"&amp;COUNTA('HISTÓRICO COBROS'!A:A)),5,FALSE)),"")</f>
        <v/>
      </c>
      <c r="F818" s="137" t="str">
        <f t="array" ref="F818">IF(A818="","",VLOOKUP(A818,INDIRECT("CXC!A2:I"&amp;COUNTA(CXC!A:A)),9,FALSE))</f>
        <v/>
      </c>
      <c r="G818" s="137" t="str">
        <f t="array" ref="G818">IFERROR(IF(A818="","",VLOOKUP(A818,INDIRECT("HISTÓRICO COBROS!A3:F"&amp;COUNTA('HISTÓRICO COBROS'!A:A)),6,FALSE)),"")</f>
        <v/>
      </c>
      <c r="H818" s="138" t="str">
        <f t="shared" ref="H818:I818" si="819">IF(D818="","",D818+F818)</f>
        <v/>
      </c>
      <c r="I818" s="135" t="str">
        <f t="shared" si="819"/>
        <v/>
      </c>
      <c r="J818" s="140" t="str">
        <f t="shared" si="3"/>
        <v/>
      </c>
      <c r="K818" s="140" t="str">
        <f t="shared" si="4"/>
        <v/>
      </c>
    </row>
    <row r="819" ht="22.5" customHeight="1">
      <c r="A819" s="140"/>
      <c r="B819" s="135" t="str">
        <f t="array" ref="B819">IF(A819="","",VLOOKUP(A819,INDIRECT("CXC!A2:B"&amp;COUNTA(CXC!A:A)),2,FALSE))</f>
        <v/>
      </c>
      <c r="C819" s="136" t="str">
        <f t="array" ref="C819">IF(A819="","",VLOOKUP(A819,INDIRECT("CXC!A2:C"&amp;COUNTA(CXC!A:A)),3,FALSE))</f>
        <v/>
      </c>
      <c r="D819" s="137" t="str">
        <f t="array" ref="D819">IF(A819="","",VLOOKUP(A819,INDIRECT("CXC!A2:H"&amp;COUNTA(CXC!A:A)),8,FALSE))</f>
        <v/>
      </c>
      <c r="E819" s="137" t="str">
        <f t="array" ref="E819">IFERROR(IF(A819="","",VLOOKUP(A819,INDIRECT("HISTÓRICO COBROS!A3:E"&amp;COUNTA('HISTÓRICO COBROS'!A:A)),5,FALSE)),"")</f>
        <v/>
      </c>
      <c r="F819" s="137" t="str">
        <f t="array" ref="F819">IF(A819="","",VLOOKUP(A819,INDIRECT("CXC!A2:I"&amp;COUNTA(CXC!A:A)),9,FALSE))</f>
        <v/>
      </c>
      <c r="G819" s="137" t="str">
        <f t="array" ref="G819">IFERROR(IF(A819="","",VLOOKUP(A819,INDIRECT("HISTÓRICO COBROS!A3:F"&amp;COUNTA('HISTÓRICO COBROS'!A:A)),6,FALSE)),"")</f>
        <v/>
      </c>
      <c r="H819" s="138" t="str">
        <f t="shared" ref="H819:I819" si="820">IF(D819="","",D819+F819)</f>
        <v/>
      </c>
      <c r="I819" s="135" t="str">
        <f t="shared" si="820"/>
        <v/>
      </c>
      <c r="J819" s="140" t="str">
        <f t="shared" si="3"/>
        <v/>
      </c>
      <c r="K819" s="140" t="str">
        <f t="shared" si="4"/>
        <v/>
      </c>
    </row>
    <row r="820" ht="22.5" customHeight="1">
      <c r="A820" s="140"/>
      <c r="B820" s="135" t="str">
        <f t="array" ref="B820">IF(A820="","",VLOOKUP(A820,INDIRECT("CXC!A2:B"&amp;COUNTA(CXC!A:A)),2,FALSE))</f>
        <v/>
      </c>
      <c r="C820" s="136" t="str">
        <f t="array" ref="C820">IF(A820="","",VLOOKUP(A820,INDIRECT("CXC!A2:C"&amp;COUNTA(CXC!A:A)),3,FALSE))</f>
        <v/>
      </c>
      <c r="D820" s="137" t="str">
        <f t="array" ref="D820">IF(A820="","",VLOOKUP(A820,INDIRECT("CXC!A2:H"&amp;COUNTA(CXC!A:A)),8,FALSE))</f>
        <v/>
      </c>
      <c r="E820" s="137" t="str">
        <f t="array" ref="E820">IFERROR(IF(A820="","",VLOOKUP(A820,INDIRECT("HISTÓRICO COBROS!A3:E"&amp;COUNTA('HISTÓRICO COBROS'!A:A)),5,FALSE)),"")</f>
        <v/>
      </c>
      <c r="F820" s="137" t="str">
        <f t="array" ref="F820">IF(A820="","",VLOOKUP(A820,INDIRECT("CXC!A2:I"&amp;COUNTA(CXC!A:A)),9,FALSE))</f>
        <v/>
      </c>
      <c r="G820" s="137" t="str">
        <f t="array" ref="G820">IFERROR(IF(A820="","",VLOOKUP(A820,INDIRECT("HISTÓRICO COBROS!A3:F"&amp;COUNTA('HISTÓRICO COBROS'!A:A)),6,FALSE)),"")</f>
        <v/>
      </c>
      <c r="H820" s="138" t="str">
        <f t="shared" ref="H820:I820" si="821">IF(D820="","",D820+F820)</f>
        <v/>
      </c>
      <c r="I820" s="135" t="str">
        <f t="shared" si="821"/>
        <v/>
      </c>
      <c r="J820" s="140" t="str">
        <f t="shared" si="3"/>
        <v/>
      </c>
      <c r="K820" s="140" t="str">
        <f t="shared" si="4"/>
        <v/>
      </c>
    </row>
    <row r="821" ht="22.5" customHeight="1">
      <c r="A821" s="140"/>
      <c r="B821" s="135" t="str">
        <f t="array" ref="B821">IF(A821="","",VLOOKUP(A821,INDIRECT("CXC!A2:B"&amp;COUNTA(CXC!A:A)),2,FALSE))</f>
        <v/>
      </c>
      <c r="C821" s="136" t="str">
        <f t="array" ref="C821">IF(A821="","",VLOOKUP(A821,INDIRECT("CXC!A2:C"&amp;COUNTA(CXC!A:A)),3,FALSE))</f>
        <v/>
      </c>
      <c r="D821" s="137" t="str">
        <f t="array" ref="D821">IF(A821="","",VLOOKUP(A821,INDIRECT("CXC!A2:H"&amp;COUNTA(CXC!A:A)),8,FALSE))</f>
        <v/>
      </c>
      <c r="E821" s="137" t="str">
        <f t="array" ref="E821">IFERROR(IF(A821="","",VLOOKUP(A821,INDIRECT("HISTÓRICO COBROS!A3:E"&amp;COUNTA('HISTÓRICO COBROS'!A:A)),5,FALSE)),"")</f>
        <v/>
      </c>
      <c r="F821" s="137" t="str">
        <f t="array" ref="F821">IF(A821="","",VLOOKUP(A821,INDIRECT("CXC!A2:I"&amp;COUNTA(CXC!A:A)),9,FALSE))</f>
        <v/>
      </c>
      <c r="G821" s="137" t="str">
        <f t="array" ref="G821">IFERROR(IF(A821="","",VLOOKUP(A821,INDIRECT("HISTÓRICO COBROS!A3:F"&amp;COUNTA('HISTÓRICO COBROS'!A:A)),6,FALSE)),"")</f>
        <v/>
      </c>
      <c r="H821" s="138" t="str">
        <f t="shared" ref="H821:I821" si="822">IF(D821="","",D821+F821)</f>
        <v/>
      </c>
      <c r="I821" s="135" t="str">
        <f t="shared" si="822"/>
        <v/>
      </c>
      <c r="J821" s="140" t="str">
        <f t="shared" si="3"/>
        <v/>
      </c>
      <c r="K821" s="140" t="str">
        <f t="shared" si="4"/>
        <v/>
      </c>
    </row>
    <row r="822" ht="22.5" customHeight="1">
      <c r="A822" s="140"/>
      <c r="B822" s="135" t="str">
        <f t="array" ref="B822">IF(A822="","",VLOOKUP(A822,INDIRECT("CXC!A2:B"&amp;COUNTA(CXC!A:A)),2,FALSE))</f>
        <v/>
      </c>
      <c r="C822" s="136" t="str">
        <f t="array" ref="C822">IF(A822="","",VLOOKUP(A822,INDIRECT("CXC!A2:C"&amp;COUNTA(CXC!A:A)),3,FALSE))</f>
        <v/>
      </c>
      <c r="D822" s="137" t="str">
        <f t="array" ref="D822">IF(A822="","",VLOOKUP(A822,INDIRECT("CXC!A2:H"&amp;COUNTA(CXC!A:A)),8,FALSE))</f>
        <v/>
      </c>
      <c r="E822" s="137" t="str">
        <f t="array" ref="E822">IFERROR(IF(A822="","",VLOOKUP(A822,INDIRECT("HISTÓRICO COBROS!A3:E"&amp;COUNTA('HISTÓRICO COBROS'!A:A)),5,FALSE)),"")</f>
        <v/>
      </c>
      <c r="F822" s="137" t="str">
        <f t="array" ref="F822">IF(A822="","",VLOOKUP(A822,INDIRECT("CXC!A2:I"&amp;COUNTA(CXC!A:A)),9,FALSE))</f>
        <v/>
      </c>
      <c r="G822" s="137" t="str">
        <f t="array" ref="G822">IFERROR(IF(A822="","",VLOOKUP(A822,INDIRECT("HISTÓRICO COBROS!A3:F"&amp;COUNTA('HISTÓRICO COBROS'!A:A)),6,FALSE)),"")</f>
        <v/>
      </c>
      <c r="H822" s="138" t="str">
        <f t="shared" ref="H822:I822" si="823">IF(D822="","",D822+F822)</f>
        <v/>
      </c>
      <c r="I822" s="135" t="str">
        <f t="shared" si="823"/>
        <v/>
      </c>
      <c r="J822" s="140" t="str">
        <f t="shared" si="3"/>
        <v/>
      </c>
      <c r="K822" s="140" t="str">
        <f t="shared" si="4"/>
        <v/>
      </c>
    </row>
    <row r="823" ht="22.5" customHeight="1">
      <c r="A823" s="140"/>
      <c r="B823" s="135" t="str">
        <f t="array" ref="B823">IF(A823="","",VLOOKUP(A823,INDIRECT("CXC!A2:B"&amp;COUNTA(CXC!A:A)),2,FALSE))</f>
        <v/>
      </c>
      <c r="C823" s="136" t="str">
        <f t="array" ref="C823">IF(A823="","",VLOOKUP(A823,INDIRECT("CXC!A2:C"&amp;COUNTA(CXC!A:A)),3,FALSE))</f>
        <v/>
      </c>
      <c r="D823" s="137" t="str">
        <f t="array" ref="D823">IF(A823="","",VLOOKUP(A823,INDIRECT("CXC!A2:H"&amp;COUNTA(CXC!A:A)),8,FALSE))</f>
        <v/>
      </c>
      <c r="E823" s="137" t="str">
        <f t="array" ref="E823">IFERROR(IF(A823="","",VLOOKUP(A823,INDIRECT("HISTÓRICO COBROS!A3:E"&amp;COUNTA('HISTÓRICO COBROS'!A:A)),5,FALSE)),"")</f>
        <v/>
      </c>
      <c r="F823" s="137" t="str">
        <f t="array" ref="F823">IF(A823="","",VLOOKUP(A823,INDIRECT("CXC!A2:I"&amp;COUNTA(CXC!A:A)),9,FALSE))</f>
        <v/>
      </c>
      <c r="G823" s="137" t="str">
        <f t="array" ref="G823">IFERROR(IF(A823="","",VLOOKUP(A823,INDIRECT("HISTÓRICO COBROS!A3:F"&amp;COUNTA('HISTÓRICO COBROS'!A:A)),6,FALSE)),"")</f>
        <v/>
      </c>
      <c r="H823" s="138" t="str">
        <f t="shared" ref="H823:I823" si="824">IF(D823="","",D823+F823)</f>
        <v/>
      </c>
      <c r="I823" s="135" t="str">
        <f t="shared" si="824"/>
        <v/>
      </c>
      <c r="J823" s="140" t="str">
        <f t="shared" si="3"/>
        <v/>
      </c>
      <c r="K823" s="140" t="str">
        <f t="shared" si="4"/>
        <v/>
      </c>
    </row>
    <row r="824" ht="22.5" customHeight="1">
      <c r="A824" s="140"/>
      <c r="B824" s="135" t="str">
        <f t="array" ref="B824">IF(A824="","",VLOOKUP(A824,INDIRECT("CXC!A2:B"&amp;COUNTA(CXC!A:A)),2,FALSE))</f>
        <v/>
      </c>
      <c r="C824" s="136" t="str">
        <f t="array" ref="C824">IF(A824="","",VLOOKUP(A824,INDIRECT("CXC!A2:C"&amp;COUNTA(CXC!A:A)),3,FALSE))</f>
        <v/>
      </c>
      <c r="D824" s="137" t="str">
        <f t="array" ref="D824">IF(A824="","",VLOOKUP(A824,INDIRECT("CXC!A2:H"&amp;COUNTA(CXC!A:A)),8,FALSE))</f>
        <v/>
      </c>
      <c r="E824" s="137" t="str">
        <f t="array" ref="E824">IFERROR(IF(A824="","",VLOOKUP(A824,INDIRECT("HISTÓRICO COBROS!A3:E"&amp;COUNTA('HISTÓRICO COBROS'!A:A)),5,FALSE)),"")</f>
        <v/>
      </c>
      <c r="F824" s="137" t="str">
        <f t="array" ref="F824">IF(A824="","",VLOOKUP(A824,INDIRECT("CXC!A2:I"&amp;COUNTA(CXC!A:A)),9,FALSE))</f>
        <v/>
      </c>
      <c r="G824" s="137" t="str">
        <f t="array" ref="G824">IFERROR(IF(A824="","",VLOOKUP(A824,INDIRECT("HISTÓRICO COBROS!A3:F"&amp;COUNTA('HISTÓRICO COBROS'!A:A)),6,FALSE)),"")</f>
        <v/>
      </c>
      <c r="H824" s="138" t="str">
        <f t="shared" ref="H824:I824" si="825">IF(D824="","",D824+F824)</f>
        <v/>
      </c>
      <c r="I824" s="135" t="str">
        <f t="shared" si="825"/>
        <v/>
      </c>
      <c r="J824" s="140" t="str">
        <f t="shared" si="3"/>
        <v/>
      </c>
      <c r="K824" s="140" t="str">
        <f t="shared" si="4"/>
        <v/>
      </c>
    </row>
    <row r="825" ht="22.5" customHeight="1">
      <c r="A825" s="140"/>
      <c r="B825" s="135" t="str">
        <f t="array" ref="B825">IF(A825="","",VLOOKUP(A825,INDIRECT("CXC!A2:B"&amp;COUNTA(CXC!A:A)),2,FALSE))</f>
        <v/>
      </c>
      <c r="C825" s="136" t="str">
        <f t="array" ref="C825">IF(A825="","",VLOOKUP(A825,INDIRECT("CXC!A2:C"&amp;COUNTA(CXC!A:A)),3,FALSE))</f>
        <v/>
      </c>
      <c r="D825" s="137" t="str">
        <f t="array" ref="D825">IF(A825="","",VLOOKUP(A825,INDIRECT("CXC!A2:H"&amp;COUNTA(CXC!A:A)),8,FALSE))</f>
        <v/>
      </c>
      <c r="E825" s="137" t="str">
        <f t="array" ref="E825">IFERROR(IF(A825="","",VLOOKUP(A825,INDIRECT("HISTÓRICO COBROS!A3:E"&amp;COUNTA('HISTÓRICO COBROS'!A:A)),5,FALSE)),"")</f>
        <v/>
      </c>
      <c r="F825" s="137" t="str">
        <f t="array" ref="F825">IF(A825="","",VLOOKUP(A825,INDIRECT("CXC!A2:I"&amp;COUNTA(CXC!A:A)),9,FALSE))</f>
        <v/>
      </c>
      <c r="G825" s="137" t="str">
        <f t="array" ref="G825">IFERROR(IF(A825="","",VLOOKUP(A825,INDIRECT("HISTÓRICO COBROS!A3:F"&amp;COUNTA('HISTÓRICO COBROS'!A:A)),6,FALSE)),"")</f>
        <v/>
      </c>
      <c r="H825" s="138" t="str">
        <f t="shared" ref="H825:I825" si="826">IF(D825="","",D825+F825)</f>
        <v/>
      </c>
      <c r="I825" s="135" t="str">
        <f t="shared" si="826"/>
        <v/>
      </c>
      <c r="J825" s="140" t="str">
        <f t="shared" si="3"/>
        <v/>
      </c>
      <c r="K825" s="140" t="str">
        <f t="shared" si="4"/>
        <v/>
      </c>
    </row>
    <row r="826" ht="22.5" customHeight="1">
      <c r="A826" s="140"/>
      <c r="B826" s="135" t="str">
        <f t="array" ref="B826">IF(A826="","",VLOOKUP(A826,INDIRECT("CXC!A2:B"&amp;COUNTA(CXC!A:A)),2,FALSE))</f>
        <v/>
      </c>
      <c r="C826" s="136" t="str">
        <f t="array" ref="C826">IF(A826="","",VLOOKUP(A826,INDIRECT("CXC!A2:C"&amp;COUNTA(CXC!A:A)),3,FALSE))</f>
        <v/>
      </c>
      <c r="D826" s="137" t="str">
        <f t="array" ref="D826">IF(A826="","",VLOOKUP(A826,INDIRECT("CXC!A2:H"&amp;COUNTA(CXC!A:A)),8,FALSE))</f>
        <v/>
      </c>
      <c r="E826" s="137" t="str">
        <f t="array" ref="E826">IFERROR(IF(A826="","",VLOOKUP(A826,INDIRECT("HISTÓRICO COBROS!A3:E"&amp;COUNTA('HISTÓRICO COBROS'!A:A)),5,FALSE)),"")</f>
        <v/>
      </c>
      <c r="F826" s="137" t="str">
        <f t="array" ref="F826">IF(A826="","",VLOOKUP(A826,INDIRECT("CXC!A2:I"&amp;COUNTA(CXC!A:A)),9,FALSE))</f>
        <v/>
      </c>
      <c r="G826" s="137" t="str">
        <f t="array" ref="G826">IFERROR(IF(A826="","",VLOOKUP(A826,INDIRECT("HISTÓRICO COBROS!A3:F"&amp;COUNTA('HISTÓRICO COBROS'!A:A)),6,FALSE)),"")</f>
        <v/>
      </c>
      <c r="H826" s="138" t="str">
        <f t="shared" ref="H826:I826" si="827">IF(D826="","",D826+F826)</f>
        <v/>
      </c>
      <c r="I826" s="135" t="str">
        <f t="shared" si="827"/>
        <v/>
      </c>
      <c r="J826" s="140" t="str">
        <f t="shared" si="3"/>
        <v/>
      </c>
      <c r="K826" s="140" t="str">
        <f t="shared" si="4"/>
        <v/>
      </c>
    </row>
    <row r="827" ht="22.5" customHeight="1">
      <c r="A827" s="140"/>
      <c r="B827" s="135" t="str">
        <f t="array" ref="B827">IF(A827="","",VLOOKUP(A827,INDIRECT("CXC!A2:B"&amp;COUNTA(CXC!A:A)),2,FALSE))</f>
        <v/>
      </c>
      <c r="C827" s="136" t="str">
        <f t="array" ref="C827">IF(A827="","",VLOOKUP(A827,INDIRECT("CXC!A2:C"&amp;COUNTA(CXC!A:A)),3,FALSE))</f>
        <v/>
      </c>
      <c r="D827" s="137" t="str">
        <f t="array" ref="D827">IF(A827="","",VLOOKUP(A827,INDIRECT("CXC!A2:H"&amp;COUNTA(CXC!A:A)),8,FALSE))</f>
        <v/>
      </c>
      <c r="E827" s="137" t="str">
        <f t="array" ref="E827">IFERROR(IF(A827="","",VLOOKUP(A827,INDIRECT("HISTÓRICO COBROS!A3:E"&amp;COUNTA('HISTÓRICO COBROS'!A:A)),5,FALSE)),"")</f>
        <v/>
      </c>
      <c r="F827" s="137" t="str">
        <f t="array" ref="F827">IF(A827="","",VLOOKUP(A827,INDIRECT("CXC!A2:I"&amp;COUNTA(CXC!A:A)),9,FALSE))</f>
        <v/>
      </c>
      <c r="G827" s="137" t="str">
        <f t="array" ref="G827">IFERROR(IF(A827="","",VLOOKUP(A827,INDIRECT("HISTÓRICO COBROS!A3:F"&amp;COUNTA('HISTÓRICO COBROS'!A:A)),6,FALSE)),"")</f>
        <v/>
      </c>
      <c r="H827" s="138" t="str">
        <f t="shared" ref="H827:I827" si="828">IF(D827="","",D827+F827)</f>
        <v/>
      </c>
      <c r="I827" s="135" t="str">
        <f t="shared" si="828"/>
        <v/>
      </c>
      <c r="J827" s="140" t="str">
        <f t="shared" si="3"/>
        <v/>
      </c>
      <c r="K827" s="140" t="str">
        <f t="shared" si="4"/>
        <v/>
      </c>
    </row>
    <row r="828" ht="22.5" customHeight="1">
      <c r="A828" s="140"/>
      <c r="B828" s="135" t="str">
        <f t="array" ref="B828">IF(A828="","",VLOOKUP(A828,INDIRECT("CXC!A2:B"&amp;COUNTA(CXC!A:A)),2,FALSE))</f>
        <v/>
      </c>
      <c r="C828" s="136" t="str">
        <f t="array" ref="C828">IF(A828="","",VLOOKUP(A828,INDIRECT("CXC!A2:C"&amp;COUNTA(CXC!A:A)),3,FALSE))</f>
        <v/>
      </c>
      <c r="D828" s="137" t="str">
        <f t="array" ref="D828">IF(A828="","",VLOOKUP(A828,INDIRECT("CXC!A2:H"&amp;COUNTA(CXC!A:A)),8,FALSE))</f>
        <v/>
      </c>
      <c r="E828" s="137" t="str">
        <f t="array" ref="E828">IFERROR(IF(A828="","",VLOOKUP(A828,INDIRECT("HISTÓRICO COBROS!A3:E"&amp;COUNTA('HISTÓRICO COBROS'!A:A)),5,FALSE)),"")</f>
        <v/>
      </c>
      <c r="F828" s="137" t="str">
        <f t="array" ref="F828">IF(A828="","",VLOOKUP(A828,INDIRECT("CXC!A2:I"&amp;COUNTA(CXC!A:A)),9,FALSE))</f>
        <v/>
      </c>
      <c r="G828" s="137" t="str">
        <f t="array" ref="G828">IFERROR(IF(A828="","",VLOOKUP(A828,INDIRECT("HISTÓRICO COBROS!A3:F"&amp;COUNTA('HISTÓRICO COBROS'!A:A)),6,FALSE)),"")</f>
        <v/>
      </c>
      <c r="H828" s="138" t="str">
        <f t="shared" ref="H828:I828" si="829">IF(D828="","",D828+F828)</f>
        <v/>
      </c>
      <c r="I828" s="135" t="str">
        <f t="shared" si="829"/>
        <v/>
      </c>
      <c r="J828" s="140" t="str">
        <f t="shared" si="3"/>
        <v/>
      </c>
      <c r="K828" s="140" t="str">
        <f t="shared" si="4"/>
        <v/>
      </c>
    </row>
    <row r="829" ht="22.5" customHeight="1">
      <c r="A829" s="140"/>
      <c r="B829" s="135" t="str">
        <f t="array" ref="B829">IF(A829="","",VLOOKUP(A829,INDIRECT("CXC!A2:B"&amp;COUNTA(CXC!A:A)),2,FALSE))</f>
        <v/>
      </c>
      <c r="C829" s="136" t="str">
        <f t="array" ref="C829">IF(A829="","",VLOOKUP(A829,INDIRECT("CXC!A2:C"&amp;COUNTA(CXC!A:A)),3,FALSE))</f>
        <v/>
      </c>
      <c r="D829" s="137" t="str">
        <f t="array" ref="D829">IF(A829="","",VLOOKUP(A829,INDIRECT("CXC!A2:H"&amp;COUNTA(CXC!A:A)),8,FALSE))</f>
        <v/>
      </c>
      <c r="E829" s="137" t="str">
        <f t="array" ref="E829">IFERROR(IF(A829="","",VLOOKUP(A829,INDIRECT("HISTÓRICO COBROS!A3:E"&amp;COUNTA('HISTÓRICO COBROS'!A:A)),5,FALSE)),"")</f>
        <v/>
      </c>
      <c r="F829" s="137" t="str">
        <f t="array" ref="F829">IF(A829="","",VLOOKUP(A829,INDIRECT("CXC!A2:I"&amp;COUNTA(CXC!A:A)),9,FALSE))</f>
        <v/>
      </c>
      <c r="G829" s="137" t="str">
        <f t="array" ref="G829">IFERROR(IF(A829="","",VLOOKUP(A829,INDIRECT("HISTÓRICO COBROS!A3:F"&amp;COUNTA('HISTÓRICO COBROS'!A:A)),6,FALSE)),"")</f>
        <v/>
      </c>
      <c r="H829" s="138" t="str">
        <f t="shared" ref="H829:I829" si="830">IF(D829="","",D829+F829)</f>
        <v/>
      </c>
      <c r="I829" s="135" t="str">
        <f t="shared" si="830"/>
        <v/>
      </c>
      <c r="J829" s="140" t="str">
        <f t="shared" si="3"/>
        <v/>
      </c>
      <c r="K829" s="140" t="str">
        <f t="shared" si="4"/>
        <v/>
      </c>
    </row>
    <row r="830" ht="22.5" customHeight="1">
      <c r="A830" s="140"/>
      <c r="B830" s="135" t="str">
        <f t="array" ref="B830">IF(A830="","",VLOOKUP(A830,INDIRECT("CXC!A2:B"&amp;COUNTA(CXC!A:A)),2,FALSE))</f>
        <v/>
      </c>
      <c r="C830" s="136" t="str">
        <f t="array" ref="C830">IF(A830="","",VLOOKUP(A830,INDIRECT("CXC!A2:C"&amp;COUNTA(CXC!A:A)),3,FALSE))</f>
        <v/>
      </c>
      <c r="D830" s="137" t="str">
        <f t="array" ref="D830">IF(A830="","",VLOOKUP(A830,INDIRECT("CXC!A2:H"&amp;COUNTA(CXC!A:A)),8,FALSE))</f>
        <v/>
      </c>
      <c r="E830" s="137" t="str">
        <f t="array" ref="E830">IFERROR(IF(A830="","",VLOOKUP(A830,INDIRECT("HISTÓRICO COBROS!A3:E"&amp;COUNTA('HISTÓRICO COBROS'!A:A)),5,FALSE)),"")</f>
        <v/>
      </c>
      <c r="F830" s="137" t="str">
        <f t="array" ref="F830">IF(A830="","",VLOOKUP(A830,INDIRECT("CXC!A2:I"&amp;COUNTA(CXC!A:A)),9,FALSE))</f>
        <v/>
      </c>
      <c r="G830" s="137" t="str">
        <f t="array" ref="G830">IFERROR(IF(A830="","",VLOOKUP(A830,INDIRECT("HISTÓRICO COBROS!A3:F"&amp;COUNTA('HISTÓRICO COBROS'!A:A)),6,FALSE)),"")</f>
        <v/>
      </c>
      <c r="H830" s="138" t="str">
        <f t="shared" ref="H830:I830" si="831">IF(D830="","",D830+F830)</f>
        <v/>
      </c>
      <c r="I830" s="135" t="str">
        <f t="shared" si="831"/>
        <v/>
      </c>
      <c r="J830" s="140" t="str">
        <f t="shared" si="3"/>
        <v/>
      </c>
      <c r="K830" s="140" t="str">
        <f t="shared" si="4"/>
        <v/>
      </c>
    </row>
    <row r="831" ht="22.5" customHeight="1">
      <c r="A831" s="140"/>
      <c r="B831" s="135" t="str">
        <f t="array" ref="B831">IF(A831="","",VLOOKUP(A831,INDIRECT("CXC!A2:B"&amp;COUNTA(CXC!A:A)),2,FALSE))</f>
        <v/>
      </c>
      <c r="C831" s="136" t="str">
        <f t="array" ref="C831">IF(A831="","",VLOOKUP(A831,INDIRECT("CXC!A2:C"&amp;COUNTA(CXC!A:A)),3,FALSE))</f>
        <v/>
      </c>
      <c r="D831" s="137" t="str">
        <f t="array" ref="D831">IF(A831="","",VLOOKUP(A831,INDIRECT("CXC!A2:H"&amp;COUNTA(CXC!A:A)),8,FALSE))</f>
        <v/>
      </c>
      <c r="E831" s="137" t="str">
        <f t="array" ref="E831">IFERROR(IF(A831="","",VLOOKUP(A831,INDIRECT("HISTÓRICO COBROS!A3:E"&amp;COUNTA('HISTÓRICO COBROS'!A:A)),5,FALSE)),"")</f>
        <v/>
      </c>
      <c r="F831" s="137" t="str">
        <f t="array" ref="F831">IF(A831="","",VLOOKUP(A831,INDIRECT("CXC!A2:I"&amp;COUNTA(CXC!A:A)),9,FALSE))</f>
        <v/>
      </c>
      <c r="G831" s="137" t="str">
        <f t="array" ref="G831">IFERROR(IF(A831="","",VLOOKUP(A831,INDIRECT("HISTÓRICO COBROS!A3:F"&amp;COUNTA('HISTÓRICO COBROS'!A:A)),6,FALSE)),"")</f>
        <v/>
      </c>
      <c r="H831" s="138" t="str">
        <f t="shared" ref="H831:I831" si="832">IF(D831="","",D831+F831)</f>
        <v/>
      </c>
      <c r="I831" s="135" t="str">
        <f t="shared" si="832"/>
        <v/>
      </c>
      <c r="J831" s="140" t="str">
        <f t="shared" si="3"/>
        <v/>
      </c>
      <c r="K831" s="140" t="str">
        <f t="shared" si="4"/>
        <v/>
      </c>
    </row>
    <row r="832" ht="22.5" customHeight="1">
      <c r="A832" s="140"/>
      <c r="B832" s="135" t="str">
        <f t="array" ref="B832">IF(A832="","",VLOOKUP(A832,INDIRECT("CXC!A2:B"&amp;COUNTA(CXC!A:A)),2,FALSE))</f>
        <v/>
      </c>
      <c r="C832" s="136" t="str">
        <f t="array" ref="C832">IF(A832="","",VLOOKUP(A832,INDIRECT("CXC!A2:C"&amp;COUNTA(CXC!A:A)),3,FALSE))</f>
        <v/>
      </c>
      <c r="D832" s="137" t="str">
        <f t="array" ref="D832">IF(A832="","",VLOOKUP(A832,INDIRECT("CXC!A2:H"&amp;COUNTA(CXC!A:A)),8,FALSE))</f>
        <v/>
      </c>
      <c r="E832" s="137" t="str">
        <f t="array" ref="E832">IFERROR(IF(A832="","",VLOOKUP(A832,INDIRECT("HISTÓRICO COBROS!A3:E"&amp;COUNTA('HISTÓRICO COBROS'!A:A)),5,FALSE)),"")</f>
        <v/>
      </c>
      <c r="F832" s="137" t="str">
        <f t="array" ref="F832">IF(A832="","",VLOOKUP(A832,INDIRECT("CXC!A2:I"&amp;COUNTA(CXC!A:A)),9,FALSE))</f>
        <v/>
      </c>
      <c r="G832" s="137" t="str">
        <f t="array" ref="G832">IFERROR(IF(A832="","",VLOOKUP(A832,INDIRECT("HISTÓRICO COBROS!A3:F"&amp;COUNTA('HISTÓRICO COBROS'!A:A)),6,FALSE)),"")</f>
        <v/>
      </c>
      <c r="H832" s="138" t="str">
        <f t="shared" ref="H832:I832" si="833">IF(D832="","",D832+F832)</f>
        <v/>
      </c>
      <c r="I832" s="135" t="str">
        <f t="shared" si="833"/>
        <v/>
      </c>
      <c r="J832" s="140" t="str">
        <f t="shared" si="3"/>
        <v/>
      </c>
      <c r="K832" s="140" t="str">
        <f t="shared" si="4"/>
        <v/>
      </c>
    </row>
    <row r="833" ht="22.5" customHeight="1">
      <c r="A833" s="140"/>
      <c r="B833" s="135" t="str">
        <f t="array" ref="B833">IF(A833="","",VLOOKUP(A833,INDIRECT("CXC!A2:B"&amp;COUNTA(CXC!A:A)),2,FALSE))</f>
        <v/>
      </c>
      <c r="C833" s="136" t="str">
        <f t="array" ref="C833">IF(A833="","",VLOOKUP(A833,INDIRECT("CXC!A2:C"&amp;COUNTA(CXC!A:A)),3,FALSE))</f>
        <v/>
      </c>
      <c r="D833" s="137" t="str">
        <f t="array" ref="D833">IF(A833="","",VLOOKUP(A833,INDIRECT("CXC!A2:H"&amp;COUNTA(CXC!A:A)),8,FALSE))</f>
        <v/>
      </c>
      <c r="E833" s="137" t="str">
        <f t="array" ref="E833">IFERROR(IF(A833="","",VLOOKUP(A833,INDIRECT("HISTÓRICO COBROS!A3:E"&amp;COUNTA('HISTÓRICO COBROS'!A:A)),5,FALSE)),"")</f>
        <v/>
      </c>
      <c r="F833" s="137" t="str">
        <f t="array" ref="F833">IF(A833="","",VLOOKUP(A833,INDIRECT("CXC!A2:I"&amp;COUNTA(CXC!A:A)),9,FALSE))</f>
        <v/>
      </c>
      <c r="G833" s="137" t="str">
        <f t="array" ref="G833">IFERROR(IF(A833="","",VLOOKUP(A833,INDIRECT("HISTÓRICO COBROS!A3:F"&amp;COUNTA('HISTÓRICO COBROS'!A:A)),6,FALSE)),"")</f>
        <v/>
      </c>
      <c r="H833" s="138" t="str">
        <f t="shared" ref="H833:I833" si="834">IF(D833="","",D833+F833)</f>
        <v/>
      </c>
      <c r="I833" s="135" t="str">
        <f t="shared" si="834"/>
        <v/>
      </c>
      <c r="J833" s="140" t="str">
        <f t="shared" si="3"/>
        <v/>
      </c>
      <c r="K833" s="140" t="str">
        <f t="shared" si="4"/>
        <v/>
      </c>
    </row>
    <row r="834" ht="22.5" customHeight="1">
      <c r="A834" s="140"/>
      <c r="B834" s="135" t="str">
        <f t="array" ref="B834">IF(A834="","",VLOOKUP(A834,INDIRECT("CXC!A2:B"&amp;COUNTA(CXC!A:A)),2,FALSE))</f>
        <v/>
      </c>
      <c r="C834" s="136" t="str">
        <f t="array" ref="C834">IF(A834="","",VLOOKUP(A834,INDIRECT("CXC!A2:C"&amp;COUNTA(CXC!A:A)),3,FALSE))</f>
        <v/>
      </c>
      <c r="D834" s="137" t="str">
        <f t="array" ref="D834">IF(A834="","",VLOOKUP(A834,INDIRECT("CXC!A2:H"&amp;COUNTA(CXC!A:A)),8,FALSE))</f>
        <v/>
      </c>
      <c r="E834" s="137" t="str">
        <f t="array" ref="E834">IFERROR(IF(A834="","",VLOOKUP(A834,INDIRECT("HISTÓRICO COBROS!A3:E"&amp;COUNTA('HISTÓRICO COBROS'!A:A)),5,FALSE)),"")</f>
        <v/>
      </c>
      <c r="F834" s="137" t="str">
        <f t="array" ref="F834">IF(A834="","",VLOOKUP(A834,INDIRECT("CXC!A2:I"&amp;COUNTA(CXC!A:A)),9,FALSE))</f>
        <v/>
      </c>
      <c r="G834" s="137" t="str">
        <f t="array" ref="G834">IFERROR(IF(A834="","",VLOOKUP(A834,INDIRECT("HISTÓRICO COBROS!A3:F"&amp;COUNTA('HISTÓRICO COBROS'!A:A)),6,FALSE)),"")</f>
        <v/>
      </c>
      <c r="H834" s="138" t="str">
        <f t="shared" ref="H834:I834" si="835">IF(D834="","",D834+F834)</f>
        <v/>
      </c>
      <c r="I834" s="135" t="str">
        <f t="shared" si="835"/>
        <v/>
      </c>
      <c r="J834" s="140" t="str">
        <f t="shared" si="3"/>
        <v/>
      </c>
      <c r="K834" s="140" t="str">
        <f t="shared" si="4"/>
        <v/>
      </c>
    </row>
    <row r="835" ht="22.5" customHeight="1">
      <c r="A835" s="140"/>
      <c r="B835" s="135" t="str">
        <f t="array" ref="B835">IF(A835="","",VLOOKUP(A835,INDIRECT("CXC!A2:B"&amp;COUNTA(CXC!A:A)),2,FALSE))</f>
        <v/>
      </c>
      <c r="C835" s="136" t="str">
        <f t="array" ref="C835">IF(A835="","",VLOOKUP(A835,INDIRECT("CXC!A2:C"&amp;COUNTA(CXC!A:A)),3,FALSE))</f>
        <v/>
      </c>
      <c r="D835" s="137" t="str">
        <f t="array" ref="D835">IF(A835="","",VLOOKUP(A835,INDIRECT("CXC!A2:H"&amp;COUNTA(CXC!A:A)),8,FALSE))</f>
        <v/>
      </c>
      <c r="E835" s="137" t="str">
        <f t="array" ref="E835">IFERROR(IF(A835="","",VLOOKUP(A835,INDIRECT("HISTÓRICO COBROS!A3:E"&amp;COUNTA('HISTÓRICO COBROS'!A:A)),5,FALSE)),"")</f>
        <v/>
      </c>
      <c r="F835" s="137" t="str">
        <f t="array" ref="F835">IF(A835="","",VLOOKUP(A835,INDIRECT("CXC!A2:I"&amp;COUNTA(CXC!A:A)),9,FALSE))</f>
        <v/>
      </c>
      <c r="G835" s="137" t="str">
        <f t="array" ref="G835">IFERROR(IF(A835="","",VLOOKUP(A835,INDIRECT("HISTÓRICO COBROS!A3:F"&amp;COUNTA('HISTÓRICO COBROS'!A:A)),6,FALSE)),"")</f>
        <v/>
      </c>
      <c r="H835" s="138" t="str">
        <f t="shared" ref="H835:I835" si="836">IF(D835="","",D835+F835)</f>
        <v/>
      </c>
      <c r="I835" s="135" t="str">
        <f t="shared" si="836"/>
        <v/>
      </c>
      <c r="J835" s="140" t="str">
        <f t="shared" si="3"/>
        <v/>
      </c>
      <c r="K835" s="140" t="str">
        <f t="shared" si="4"/>
        <v/>
      </c>
    </row>
    <row r="836" ht="22.5" customHeight="1">
      <c r="A836" s="140"/>
      <c r="B836" s="135" t="str">
        <f t="array" ref="B836">IF(A836="","",VLOOKUP(A836,INDIRECT("CXC!A2:B"&amp;COUNTA(CXC!A:A)),2,FALSE))</f>
        <v/>
      </c>
      <c r="C836" s="136" t="str">
        <f t="array" ref="C836">IF(A836="","",VLOOKUP(A836,INDIRECT("CXC!A2:C"&amp;COUNTA(CXC!A:A)),3,FALSE))</f>
        <v/>
      </c>
      <c r="D836" s="137" t="str">
        <f t="array" ref="D836">IF(A836="","",VLOOKUP(A836,INDIRECT("CXC!A2:H"&amp;COUNTA(CXC!A:A)),8,FALSE))</f>
        <v/>
      </c>
      <c r="E836" s="137" t="str">
        <f t="array" ref="E836">IFERROR(IF(A836="","",VLOOKUP(A836,INDIRECT("HISTÓRICO COBROS!A3:E"&amp;COUNTA('HISTÓRICO COBROS'!A:A)),5,FALSE)),"")</f>
        <v/>
      </c>
      <c r="F836" s="137" t="str">
        <f t="array" ref="F836">IF(A836="","",VLOOKUP(A836,INDIRECT("CXC!A2:I"&amp;COUNTA(CXC!A:A)),9,FALSE))</f>
        <v/>
      </c>
      <c r="G836" s="137" t="str">
        <f t="array" ref="G836">IFERROR(IF(A836="","",VLOOKUP(A836,INDIRECT("HISTÓRICO COBROS!A3:F"&amp;COUNTA('HISTÓRICO COBROS'!A:A)),6,FALSE)),"")</f>
        <v/>
      </c>
      <c r="H836" s="138" t="str">
        <f t="shared" ref="H836:I836" si="837">IF(D836="","",D836+F836)</f>
        <v/>
      </c>
      <c r="I836" s="135" t="str">
        <f t="shared" si="837"/>
        <v/>
      </c>
      <c r="J836" s="140" t="str">
        <f t="shared" si="3"/>
        <v/>
      </c>
      <c r="K836" s="140" t="str">
        <f t="shared" si="4"/>
        <v/>
      </c>
    </row>
    <row r="837" ht="22.5" customHeight="1">
      <c r="A837" s="140"/>
      <c r="B837" s="135" t="str">
        <f t="array" ref="B837">IF(A837="","",VLOOKUP(A837,INDIRECT("CXC!A2:B"&amp;COUNTA(CXC!A:A)),2,FALSE))</f>
        <v/>
      </c>
      <c r="C837" s="136" t="str">
        <f t="array" ref="C837">IF(A837="","",VLOOKUP(A837,INDIRECT("CXC!A2:C"&amp;COUNTA(CXC!A:A)),3,FALSE))</f>
        <v/>
      </c>
      <c r="D837" s="137" t="str">
        <f t="array" ref="D837">IF(A837="","",VLOOKUP(A837,INDIRECT("CXC!A2:H"&amp;COUNTA(CXC!A:A)),8,FALSE))</f>
        <v/>
      </c>
      <c r="E837" s="137" t="str">
        <f t="array" ref="E837">IFERROR(IF(A837="","",VLOOKUP(A837,INDIRECT("HISTÓRICO COBROS!A3:E"&amp;COUNTA('HISTÓRICO COBROS'!A:A)),5,FALSE)),"")</f>
        <v/>
      </c>
      <c r="F837" s="137" t="str">
        <f t="array" ref="F837">IF(A837="","",VLOOKUP(A837,INDIRECT("CXC!A2:I"&amp;COUNTA(CXC!A:A)),9,FALSE))</f>
        <v/>
      </c>
      <c r="G837" s="137" t="str">
        <f t="array" ref="G837">IFERROR(IF(A837="","",VLOOKUP(A837,INDIRECT("HISTÓRICO COBROS!A3:F"&amp;COUNTA('HISTÓRICO COBROS'!A:A)),6,FALSE)),"")</f>
        <v/>
      </c>
      <c r="H837" s="138" t="str">
        <f t="shared" ref="H837:I837" si="838">IF(D837="","",D837+F837)</f>
        <v/>
      </c>
      <c r="I837" s="135" t="str">
        <f t="shared" si="838"/>
        <v/>
      </c>
      <c r="J837" s="140" t="str">
        <f t="shared" si="3"/>
        <v/>
      </c>
      <c r="K837" s="140" t="str">
        <f t="shared" si="4"/>
        <v/>
      </c>
    </row>
    <row r="838" ht="22.5" customHeight="1">
      <c r="A838" s="140"/>
      <c r="B838" s="135" t="str">
        <f t="array" ref="B838">IF(A838="","",VLOOKUP(A838,INDIRECT("CXC!A2:B"&amp;COUNTA(CXC!A:A)),2,FALSE))</f>
        <v/>
      </c>
      <c r="C838" s="136" t="str">
        <f t="array" ref="C838">IF(A838="","",VLOOKUP(A838,INDIRECT("CXC!A2:C"&amp;COUNTA(CXC!A:A)),3,FALSE))</f>
        <v/>
      </c>
      <c r="D838" s="137" t="str">
        <f t="array" ref="D838">IF(A838="","",VLOOKUP(A838,INDIRECT("CXC!A2:H"&amp;COUNTA(CXC!A:A)),8,FALSE))</f>
        <v/>
      </c>
      <c r="E838" s="137" t="str">
        <f t="array" ref="E838">IFERROR(IF(A838="","",VLOOKUP(A838,INDIRECT("HISTÓRICO COBROS!A3:E"&amp;COUNTA('HISTÓRICO COBROS'!A:A)),5,FALSE)),"")</f>
        <v/>
      </c>
      <c r="F838" s="137" t="str">
        <f t="array" ref="F838">IF(A838="","",VLOOKUP(A838,INDIRECT("CXC!A2:I"&amp;COUNTA(CXC!A:A)),9,FALSE))</f>
        <v/>
      </c>
      <c r="G838" s="137" t="str">
        <f t="array" ref="G838">IFERROR(IF(A838="","",VLOOKUP(A838,INDIRECT("HISTÓRICO COBROS!A3:F"&amp;COUNTA('HISTÓRICO COBROS'!A:A)),6,FALSE)),"")</f>
        <v/>
      </c>
      <c r="H838" s="138" t="str">
        <f t="shared" ref="H838:I838" si="839">IF(D838="","",D838+F838)</f>
        <v/>
      </c>
      <c r="I838" s="135" t="str">
        <f t="shared" si="839"/>
        <v/>
      </c>
      <c r="J838" s="140" t="str">
        <f t="shared" si="3"/>
        <v/>
      </c>
      <c r="K838" s="140" t="str">
        <f t="shared" si="4"/>
        <v/>
      </c>
    </row>
    <row r="839" ht="22.5" customHeight="1">
      <c r="A839" s="140"/>
      <c r="B839" s="135" t="str">
        <f t="array" ref="B839">IF(A839="","",VLOOKUP(A839,INDIRECT("CXC!A2:B"&amp;COUNTA(CXC!A:A)),2,FALSE))</f>
        <v/>
      </c>
      <c r="C839" s="136" t="str">
        <f t="array" ref="C839">IF(A839="","",VLOOKUP(A839,INDIRECT("CXC!A2:C"&amp;COUNTA(CXC!A:A)),3,FALSE))</f>
        <v/>
      </c>
      <c r="D839" s="137" t="str">
        <f t="array" ref="D839">IF(A839="","",VLOOKUP(A839,INDIRECT("CXC!A2:H"&amp;COUNTA(CXC!A:A)),8,FALSE))</f>
        <v/>
      </c>
      <c r="E839" s="137" t="str">
        <f t="array" ref="E839">IFERROR(IF(A839="","",VLOOKUP(A839,INDIRECT("HISTÓRICO COBROS!A3:E"&amp;COUNTA('HISTÓRICO COBROS'!A:A)),5,FALSE)),"")</f>
        <v/>
      </c>
      <c r="F839" s="137" t="str">
        <f t="array" ref="F839">IF(A839="","",VLOOKUP(A839,INDIRECT("CXC!A2:I"&amp;COUNTA(CXC!A:A)),9,FALSE))</f>
        <v/>
      </c>
      <c r="G839" s="137" t="str">
        <f t="array" ref="G839">IFERROR(IF(A839="","",VLOOKUP(A839,INDIRECT("HISTÓRICO COBROS!A3:F"&amp;COUNTA('HISTÓRICO COBROS'!A:A)),6,FALSE)),"")</f>
        <v/>
      </c>
      <c r="H839" s="138" t="str">
        <f t="shared" ref="H839:I839" si="840">IF(D839="","",D839+F839)</f>
        <v/>
      </c>
      <c r="I839" s="135" t="str">
        <f t="shared" si="840"/>
        <v/>
      </c>
      <c r="J839" s="140" t="str">
        <f t="shared" si="3"/>
        <v/>
      </c>
      <c r="K839" s="140" t="str">
        <f t="shared" si="4"/>
        <v/>
      </c>
    </row>
    <row r="840" ht="22.5" customHeight="1">
      <c r="A840" s="140"/>
      <c r="B840" s="135" t="str">
        <f t="array" ref="B840">IF(A840="","",VLOOKUP(A840,INDIRECT("CXC!A2:B"&amp;COUNTA(CXC!A:A)),2,FALSE))</f>
        <v/>
      </c>
      <c r="C840" s="136" t="str">
        <f t="array" ref="C840">IF(A840="","",VLOOKUP(A840,INDIRECT("CXC!A2:C"&amp;COUNTA(CXC!A:A)),3,FALSE))</f>
        <v/>
      </c>
      <c r="D840" s="137" t="str">
        <f t="array" ref="D840">IF(A840="","",VLOOKUP(A840,INDIRECT("CXC!A2:H"&amp;COUNTA(CXC!A:A)),8,FALSE))</f>
        <v/>
      </c>
      <c r="E840" s="137" t="str">
        <f t="array" ref="E840">IFERROR(IF(A840="","",VLOOKUP(A840,INDIRECT("HISTÓRICO COBROS!A3:E"&amp;COUNTA('HISTÓRICO COBROS'!A:A)),5,FALSE)),"")</f>
        <v/>
      </c>
      <c r="F840" s="137" t="str">
        <f t="array" ref="F840">IF(A840="","",VLOOKUP(A840,INDIRECT("CXC!A2:I"&amp;COUNTA(CXC!A:A)),9,FALSE))</f>
        <v/>
      </c>
      <c r="G840" s="137" t="str">
        <f t="array" ref="G840">IFERROR(IF(A840="","",VLOOKUP(A840,INDIRECT("HISTÓRICO COBROS!A3:F"&amp;COUNTA('HISTÓRICO COBROS'!A:A)),6,FALSE)),"")</f>
        <v/>
      </c>
      <c r="H840" s="138" t="str">
        <f t="shared" ref="H840:I840" si="841">IF(D840="","",D840+F840)</f>
        <v/>
      </c>
      <c r="I840" s="135" t="str">
        <f t="shared" si="841"/>
        <v/>
      </c>
      <c r="J840" s="140" t="str">
        <f t="shared" si="3"/>
        <v/>
      </c>
      <c r="K840" s="140" t="str">
        <f t="shared" si="4"/>
        <v/>
      </c>
    </row>
    <row r="841" ht="22.5" customHeight="1">
      <c r="A841" s="140"/>
      <c r="B841" s="135" t="str">
        <f t="array" ref="B841">IF(A841="","",VLOOKUP(A841,INDIRECT("CXC!A2:B"&amp;COUNTA(CXC!A:A)),2,FALSE))</f>
        <v/>
      </c>
      <c r="C841" s="136" t="str">
        <f t="array" ref="C841">IF(A841="","",VLOOKUP(A841,INDIRECT("CXC!A2:C"&amp;COUNTA(CXC!A:A)),3,FALSE))</f>
        <v/>
      </c>
      <c r="D841" s="137" t="str">
        <f t="array" ref="D841">IF(A841="","",VLOOKUP(A841,INDIRECT("CXC!A2:H"&amp;COUNTA(CXC!A:A)),8,FALSE))</f>
        <v/>
      </c>
      <c r="E841" s="137" t="str">
        <f t="array" ref="E841">IFERROR(IF(A841="","",VLOOKUP(A841,INDIRECT("HISTÓRICO COBROS!A3:E"&amp;COUNTA('HISTÓRICO COBROS'!A:A)),5,FALSE)),"")</f>
        <v/>
      </c>
      <c r="F841" s="137" t="str">
        <f t="array" ref="F841">IF(A841="","",VLOOKUP(A841,INDIRECT("CXC!A2:I"&amp;COUNTA(CXC!A:A)),9,FALSE))</f>
        <v/>
      </c>
      <c r="G841" s="137" t="str">
        <f t="array" ref="G841">IFERROR(IF(A841="","",VLOOKUP(A841,INDIRECT("HISTÓRICO COBROS!A3:F"&amp;COUNTA('HISTÓRICO COBROS'!A:A)),6,FALSE)),"")</f>
        <v/>
      </c>
      <c r="H841" s="138" t="str">
        <f t="shared" ref="H841:I841" si="842">IF(D841="","",D841+F841)</f>
        <v/>
      </c>
      <c r="I841" s="135" t="str">
        <f t="shared" si="842"/>
        <v/>
      </c>
      <c r="J841" s="140" t="str">
        <f t="shared" si="3"/>
        <v/>
      </c>
      <c r="K841" s="140" t="str">
        <f t="shared" si="4"/>
        <v/>
      </c>
    </row>
    <row r="842" ht="22.5" customHeight="1">
      <c r="A842" s="140"/>
      <c r="B842" s="135" t="str">
        <f t="array" ref="B842">IF(A842="","",VLOOKUP(A842,INDIRECT("CXC!A2:B"&amp;COUNTA(CXC!A:A)),2,FALSE))</f>
        <v/>
      </c>
      <c r="C842" s="136" t="str">
        <f t="array" ref="C842">IF(A842="","",VLOOKUP(A842,INDIRECT("CXC!A2:C"&amp;COUNTA(CXC!A:A)),3,FALSE))</f>
        <v/>
      </c>
      <c r="D842" s="137" t="str">
        <f t="array" ref="D842">IF(A842="","",VLOOKUP(A842,INDIRECT("CXC!A2:H"&amp;COUNTA(CXC!A:A)),8,FALSE))</f>
        <v/>
      </c>
      <c r="E842" s="137" t="str">
        <f t="array" ref="E842">IFERROR(IF(A842="","",VLOOKUP(A842,INDIRECT("HISTÓRICO COBROS!A3:E"&amp;COUNTA('HISTÓRICO COBROS'!A:A)),5,FALSE)),"")</f>
        <v/>
      </c>
      <c r="F842" s="137" t="str">
        <f t="array" ref="F842">IF(A842="","",VLOOKUP(A842,INDIRECT("CXC!A2:I"&amp;COUNTA(CXC!A:A)),9,FALSE))</f>
        <v/>
      </c>
      <c r="G842" s="137" t="str">
        <f t="array" ref="G842">IFERROR(IF(A842="","",VLOOKUP(A842,INDIRECT("HISTÓRICO COBROS!A3:F"&amp;COUNTA('HISTÓRICO COBROS'!A:A)),6,FALSE)),"")</f>
        <v/>
      </c>
      <c r="H842" s="138" t="str">
        <f t="shared" ref="H842:I842" si="843">IF(D842="","",D842+F842)</f>
        <v/>
      </c>
      <c r="I842" s="135" t="str">
        <f t="shared" si="843"/>
        <v/>
      </c>
      <c r="J842" s="140" t="str">
        <f t="shared" si="3"/>
        <v/>
      </c>
      <c r="K842" s="140" t="str">
        <f t="shared" si="4"/>
        <v/>
      </c>
    </row>
    <row r="843" ht="22.5" customHeight="1">
      <c r="A843" s="140"/>
      <c r="B843" s="135" t="str">
        <f t="array" ref="B843">IF(A843="","",VLOOKUP(A843,INDIRECT("CXC!A2:B"&amp;COUNTA(CXC!A:A)),2,FALSE))</f>
        <v/>
      </c>
      <c r="C843" s="136" t="str">
        <f t="array" ref="C843">IF(A843="","",VLOOKUP(A843,INDIRECT("CXC!A2:C"&amp;COUNTA(CXC!A:A)),3,FALSE))</f>
        <v/>
      </c>
      <c r="D843" s="137" t="str">
        <f t="array" ref="D843">IF(A843="","",VLOOKUP(A843,INDIRECT("CXC!A2:H"&amp;COUNTA(CXC!A:A)),8,FALSE))</f>
        <v/>
      </c>
      <c r="E843" s="137" t="str">
        <f t="array" ref="E843">IFERROR(IF(A843="","",VLOOKUP(A843,INDIRECT("HISTÓRICO COBROS!A3:E"&amp;COUNTA('HISTÓRICO COBROS'!A:A)),5,FALSE)),"")</f>
        <v/>
      </c>
      <c r="F843" s="137" t="str">
        <f t="array" ref="F843">IF(A843="","",VLOOKUP(A843,INDIRECT("CXC!A2:I"&amp;COUNTA(CXC!A:A)),9,FALSE))</f>
        <v/>
      </c>
      <c r="G843" s="137" t="str">
        <f t="array" ref="G843">IFERROR(IF(A843="","",VLOOKUP(A843,INDIRECT("HISTÓRICO COBROS!A3:F"&amp;COUNTA('HISTÓRICO COBROS'!A:A)),6,FALSE)),"")</f>
        <v/>
      </c>
      <c r="H843" s="138" t="str">
        <f t="shared" ref="H843:I843" si="844">IF(D843="","",D843+F843)</f>
        <v/>
      </c>
      <c r="I843" s="135" t="str">
        <f t="shared" si="844"/>
        <v/>
      </c>
      <c r="J843" s="140" t="str">
        <f t="shared" si="3"/>
        <v/>
      </c>
      <c r="K843" s="140" t="str">
        <f t="shared" si="4"/>
        <v/>
      </c>
    </row>
    <row r="844" ht="22.5" customHeight="1">
      <c r="A844" s="140"/>
      <c r="B844" s="135" t="str">
        <f t="array" ref="B844">IF(A844="","",VLOOKUP(A844,INDIRECT("CXC!A2:B"&amp;COUNTA(CXC!A:A)),2,FALSE))</f>
        <v/>
      </c>
      <c r="C844" s="136" t="str">
        <f t="array" ref="C844">IF(A844="","",VLOOKUP(A844,INDIRECT("CXC!A2:C"&amp;COUNTA(CXC!A:A)),3,FALSE))</f>
        <v/>
      </c>
      <c r="D844" s="137" t="str">
        <f t="array" ref="D844">IF(A844="","",VLOOKUP(A844,INDIRECT("CXC!A2:H"&amp;COUNTA(CXC!A:A)),8,FALSE))</f>
        <v/>
      </c>
      <c r="E844" s="137" t="str">
        <f t="array" ref="E844">IFERROR(IF(A844="","",VLOOKUP(A844,INDIRECT("HISTÓRICO COBROS!A3:E"&amp;COUNTA('HISTÓRICO COBROS'!A:A)),5,FALSE)),"")</f>
        <v/>
      </c>
      <c r="F844" s="137" t="str">
        <f t="array" ref="F844">IF(A844="","",VLOOKUP(A844,INDIRECT("CXC!A2:I"&amp;COUNTA(CXC!A:A)),9,FALSE))</f>
        <v/>
      </c>
      <c r="G844" s="137" t="str">
        <f t="array" ref="G844">IFERROR(IF(A844="","",VLOOKUP(A844,INDIRECT("HISTÓRICO COBROS!A3:F"&amp;COUNTA('HISTÓRICO COBROS'!A:A)),6,FALSE)),"")</f>
        <v/>
      </c>
      <c r="H844" s="138" t="str">
        <f t="shared" ref="H844:I844" si="845">IF(D844="","",D844+F844)</f>
        <v/>
      </c>
      <c r="I844" s="135" t="str">
        <f t="shared" si="845"/>
        <v/>
      </c>
      <c r="J844" s="140" t="str">
        <f t="shared" si="3"/>
        <v/>
      </c>
      <c r="K844" s="140" t="str">
        <f t="shared" si="4"/>
        <v/>
      </c>
    </row>
    <row r="845" ht="22.5" customHeight="1">
      <c r="A845" s="140"/>
      <c r="B845" s="135" t="str">
        <f t="array" ref="B845">IF(A845="","",VLOOKUP(A845,INDIRECT("CXC!A2:B"&amp;COUNTA(CXC!A:A)),2,FALSE))</f>
        <v/>
      </c>
      <c r="C845" s="136" t="str">
        <f t="array" ref="C845">IF(A845="","",VLOOKUP(A845,INDIRECT("CXC!A2:C"&amp;COUNTA(CXC!A:A)),3,FALSE))</f>
        <v/>
      </c>
      <c r="D845" s="137" t="str">
        <f t="array" ref="D845">IF(A845="","",VLOOKUP(A845,INDIRECT("CXC!A2:H"&amp;COUNTA(CXC!A:A)),8,FALSE))</f>
        <v/>
      </c>
      <c r="E845" s="137" t="str">
        <f t="array" ref="E845">IFERROR(IF(A845="","",VLOOKUP(A845,INDIRECT("HISTÓRICO COBROS!A3:E"&amp;COUNTA('HISTÓRICO COBROS'!A:A)),5,FALSE)),"")</f>
        <v/>
      </c>
      <c r="F845" s="137" t="str">
        <f t="array" ref="F845">IF(A845="","",VLOOKUP(A845,INDIRECT("CXC!A2:I"&amp;COUNTA(CXC!A:A)),9,FALSE))</f>
        <v/>
      </c>
      <c r="G845" s="137" t="str">
        <f t="array" ref="G845">IFERROR(IF(A845="","",VLOOKUP(A845,INDIRECT("HISTÓRICO COBROS!A3:F"&amp;COUNTA('HISTÓRICO COBROS'!A:A)),6,FALSE)),"")</f>
        <v/>
      </c>
      <c r="H845" s="138" t="str">
        <f t="shared" ref="H845:I845" si="846">IF(D845="","",D845+F845)</f>
        <v/>
      </c>
      <c r="I845" s="135" t="str">
        <f t="shared" si="846"/>
        <v/>
      </c>
      <c r="J845" s="140" t="str">
        <f t="shared" si="3"/>
        <v/>
      </c>
      <c r="K845" s="140" t="str">
        <f t="shared" si="4"/>
        <v/>
      </c>
    </row>
    <row r="846" ht="22.5" customHeight="1">
      <c r="A846" s="140"/>
      <c r="B846" s="135" t="str">
        <f t="array" ref="B846">IF(A846="","",VLOOKUP(A846,INDIRECT("CXC!A2:B"&amp;COUNTA(CXC!A:A)),2,FALSE))</f>
        <v/>
      </c>
      <c r="C846" s="136" t="str">
        <f t="array" ref="C846">IF(A846="","",VLOOKUP(A846,INDIRECT("CXC!A2:C"&amp;COUNTA(CXC!A:A)),3,FALSE))</f>
        <v/>
      </c>
      <c r="D846" s="137" t="str">
        <f t="array" ref="D846">IF(A846="","",VLOOKUP(A846,INDIRECT("CXC!A2:H"&amp;COUNTA(CXC!A:A)),8,FALSE))</f>
        <v/>
      </c>
      <c r="E846" s="137" t="str">
        <f t="array" ref="E846">IFERROR(IF(A846="","",VLOOKUP(A846,INDIRECT("HISTÓRICO COBROS!A3:E"&amp;COUNTA('HISTÓRICO COBROS'!A:A)),5,FALSE)),"")</f>
        <v/>
      </c>
      <c r="F846" s="137" t="str">
        <f t="array" ref="F846">IF(A846="","",VLOOKUP(A846,INDIRECT("CXC!A2:I"&amp;COUNTA(CXC!A:A)),9,FALSE))</f>
        <v/>
      </c>
      <c r="G846" s="137" t="str">
        <f t="array" ref="G846">IFERROR(IF(A846="","",VLOOKUP(A846,INDIRECT("HISTÓRICO COBROS!A3:F"&amp;COUNTA('HISTÓRICO COBROS'!A:A)),6,FALSE)),"")</f>
        <v/>
      </c>
      <c r="H846" s="138" t="str">
        <f t="shared" ref="H846:I846" si="847">IF(D846="","",D846+F846)</f>
        <v/>
      </c>
      <c r="I846" s="135" t="str">
        <f t="shared" si="847"/>
        <v/>
      </c>
      <c r="J846" s="140" t="str">
        <f t="shared" si="3"/>
        <v/>
      </c>
      <c r="K846" s="140" t="str">
        <f t="shared" si="4"/>
        <v/>
      </c>
    </row>
    <row r="847" ht="22.5" customHeight="1">
      <c r="A847" s="140"/>
      <c r="B847" s="135" t="str">
        <f t="array" ref="B847">IF(A847="","",VLOOKUP(A847,INDIRECT("CXC!A2:B"&amp;COUNTA(CXC!A:A)),2,FALSE))</f>
        <v/>
      </c>
      <c r="C847" s="136" t="str">
        <f t="array" ref="C847">IF(A847="","",VLOOKUP(A847,INDIRECT("CXC!A2:C"&amp;COUNTA(CXC!A:A)),3,FALSE))</f>
        <v/>
      </c>
      <c r="D847" s="137" t="str">
        <f t="array" ref="D847">IF(A847="","",VLOOKUP(A847,INDIRECT("CXC!A2:H"&amp;COUNTA(CXC!A:A)),8,FALSE))</f>
        <v/>
      </c>
      <c r="E847" s="137" t="str">
        <f t="array" ref="E847">IFERROR(IF(A847="","",VLOOKUP(A847,INDIRECT("HISTÓRICO COBROS!A3:E"&amp;COUNTA('HISTÓRICO COBROS'!A:A)),5,FALSE)),"")</f>
        <v/>
      </c>
      <c r="F847" s="137" t="str">
        <f t="array" ref="F847">IF(A847="","",VLOOKUP(A847,INDIRECT("CXC!A2:I"&amp;COUNTA(CXC!A:A)),9,FALSE))</f>
        <v/>
      </c>
      <c r="G847" s="137" t="str">
        <f t="array" ref="G847">IFERROR(IF(A847="","",VLOOKUP(A847,INDIRECT("HISTÓRICO COBROS!A3:F"&amp;COUNTA('HISTÓRICO COBROS'!A:A)),6,FALSE)),"")</f>
        <v/>
      </c>
      <c r="H847" s="138" t="str">
        <f t="shared" ref="H847:I847" si="848">IF(D847="","",D847+F847)</f>
        <v/>
      </c>
      <c r="I847" s="135" t="str">
        <f t="shared" si="848"/>
        <v/>
      </c>
      <c r="J847" s="140" t="str">
        <f t="shared" si="3"/>
        <v/>
      </c>
      <c r="K847" s="140" t="str">
        <f t="shared" si="4"/>
        <v/>
      </c>
    </row>
    <row r="848" ht="22.5" customHeight="1">
      <c r="A848" s="140"/>
      <c r="B848" s="135" t="str">
        <f t="array" ref="B848">IF(A848="","",VLOOKUP(A848,INDIRECT("CXC!A2:B"&amp;COUNTA(CXC!A:A)),2,FALSE))</f>
        <v/>
      </c>
      <c r="C848" s="136" t="str">
        <f t="array" ref="C848">IF(A848="","",VLOOKUP(A848,INDIRECT("CXC!A2:C"&amp;COUNTA(CXC!A:A)),3,FALSE))</f>
        <v/>
      </c>
      <c r="D848" s="137" t="str">
        <f t="array" ref="D848">IF(A848="","",VLOOKUP(A848,INDIRECT("CXC!A2:H"&amp;COUNTA(CXC!A:A)),8,FALSE))</f>
        <v/>
      </c>
      <c r="E848" s="137" t="str">
        <f t="array" ref="E848">IFERROR(IF(A848="","",VLOOKUP(A848,INDIRECT("HISTÓRICO COBROS!A3:E"&amp;COUNTA('HISTÓRICO COBROS'!A:A)),5,FALSE)),"")</f>
        <v/>
      </c>
      <c r="F848" s="137" t="str">
        <f t="array" ref="F848">IF(A848="","",VLOOKUP(A848,INDIRECT("CXC!A2:I"&amp;COUNTA(CXC!A:A)),9,FALSE))</f>
        <v/>
      </c>
      <c r="G848" s="137" t="str">
        <f t="array" ref="G848">IFERROR(IF(A848="","",VLOOKUP(A848,INDIRECT("HISTÓRICO COBROS!A3:F"&amp;COUNTA('HISTÓRICO COBROS'!A:A)),6,FALSE)),"")</f>
        <v/>
      </c>
      <c r="H848" s="138" t="str">
        <f t="shared" ref="H848:I848" si="849">IF(D848="","",D848+F848)</f>
        <v/>
      </c>
      <c r="I848" s="135" t="str">
        <f t="shared" si="849"/>
        <v/>
      </c>
      <c r="J848" s="140" t="str">
        <f t="shared" si="3"/>
        <v/>
      </c>
      <c r="K848" s="140" t="str">
        <f t="shared" si="4"/>
        <v/>
      </c>
    </row>
    <row r="849" ht="22.5" customHeight="1">
      <c r="A849" s="140"/>
      <c r="B849" s="135" t="str">
        <f t="array" ref="B849">IF(A849="","",VLOOKUP(A849,INDIRECT("CXC!A2:B"&amp;COUNTA(CXC!A:A)),2,FALSE))</f>
        <v/>
      </c>
      <c r="C849" s="136" t="str">
        <f t="array" ref="C849">IF(A849="","",VLOOKUP(A849,INDIRECT("CXC!A2:C"&amp;COUNTA(CXC!A:A)),3,FALSE))</f>
        <v/>
      </c>
      <c r="D849" s="137" t="str">
        <f t="array" ref="D849">IF(A849="","",VLOOKUP(A849,INDIRECT("CXC!A2:H"&amp;COUNTA(CXC!A:A)),8,FALSE))</f>
        <v/>
      </c>
      <c r="E849" s="137" t="str">
        <f t="array" ref="E849">IFERROR(IF(A849="","",VLOOKUP(A849,INDIRECT("HISTÓRICO COBROS!A3:E"&amp;COUNTA('HISTÓRICO COBROS'!A:A)),5,FALSE)),"")</f>
        <v/>
      </c>
      <c r="F849" s="137" t="str">
        <f t="array" ref="F849">IF(A849="","",VLOOKUP(A849,INDIRECT("CXC!A2:I"&amp;COUNTA(CXC!A:A)),9,FALSE))</f>
        <v/>
      </c>
      <c r="G849" s="137" t="str">
        <f t="array" ref="G849">IFERROR(IF(A849="","",VLOOKUP(A849,INDIRECT("HISTÓRICO COBROS!A3:F"&amp;COUNTA('HISTÓRICO COBROS'!A:A)),6,FALSE)),"")</f>
        <v/>
      </c>
      <c r="H849" s="138" t="str">
        <f t="shared" ref="H849:I849" si="850">IF(D849="","",D849+F849)</f>
        <v/>
      </c>
      <c r="I849" s="135" t="str">
        <f t="shared" si="850"/>
        <v/>
      </c>
      <c r="J849" s="140" t="str">
        <f t="shared" si="3"/>
        <v/>
      </c>
      <c r="K849" s="140" t="str">
        <f t="shared" si="4"/>
        <v/>
      </c>
    </row>
    <row r="850" ht="22.5" customHeight="1">
      <c r="A850" s="140"/>
      <c r="B850" s="135" t="str">
        <f t="array" ref="B850">IF(A850="","",VLOOKUP(A850,INDIRECT("CXC!A2:B"&amp;COUNTA(CXC!A:A)),2,FALSE))</f>
        <v/>
      </c>
      <c r="C850" s="136" t="str">
        <f t="array" ref="C850">IF(A850="","",VLOOKUP(A850,INDIRECT("CXC!A2:C"&amp;COUNTA(CXC!A:A)),3,FALSE))</f>
        <v/>
      </c>
      <c r="D850" s="137" t="str">
        <f t="array" ref="D850">IF(A850="","",VLOOKUP(A850,INDIRECT("CXC!A2:H"&amp;COUNTA(CXC!A:A)),8,FALSE))</f>
        <v/>
      </c>
      <c r="E850" s="137" t="str">
        <f t="array" ref="E850">IFERROR(IF(A850="","",VLOOKUP(A850,INDIRECT("HISTÓRICO COBROS!A3:E"&amp;COUNTA('HISTÓRICO COBROS'!A:A)),5,FALSE)),"")</f>
        <v/>
      </c>
      <c r="F850" s="137" t="str">
        <f t="array" ref="F850">IF(A850="","",VLOOKUP(A850,INDIRECT("CXC!A2:I"&amp;COUNTA(CXC!A:A)),9,FALSE))</f>
        <v/>
      </c>
      <c r="G850" s="137" t="str">
        <f t="array" ref="G850">IFERROR(IF(A850="","",VLOOKUP(A850,INDIRECT("HISTÓRICO COBROS!A3:F"&amp;COUNTA('HISTÓRICO COBROS'!A:A)),6,FALSE)),"")</f>
        <v/>
      </c>
      <c r="H850" s="138" t="str">
        <f t="shared" ref="H850:I850" si="851">IF(D850="","",D850+F850)</f>
        <v/>
      </c>
      <c r="I850" s="135" t="str">
        <f t="shared" si="851"/>
        <v/>
      </c>
      <c r="J850" s="140" t="str">
        <f t="shared" si="3"/>
        <v/>
      </c>
      <c r="K850" s="140" t="str">
        <f t="shared" si="4"/>
        <v/>
      </c>
    </row>
    <row r="851" ht="22.5" customHeight="1">
      <c r="A851" s="140"/>
      <c r="B851" s="135" t="str">
        <f t="array" ref="B851">IF(A851="","",VLOOKUP(A851,INDIRECT("CXC!A2:B"&amp;COUNTA(CXC!A:A)),2,FALSE))</f>
        <v/>
      </c>
      <c r="C851" s="136" t="str">
        <f t="array" ref="C851">IF(A851="","",VLOOKUP(A851,INDIRECT("CXC!A2:C"&amp;COUNTA(CXC!A:A)),3,FALSE))</f>
        <v/>
      </c>
      <c r="D851" s="137" t="str">
        <f t="array" ref="D851">IF(A851="","",VLOOKUP(A851,INDIRECT("CXC!A2:H"&amp;COUNTA(CXC!A:A)),8,FALSE))</f>
        <v/>
      </c>
      <c r="E851" s="137" t="str">
        <f t="array" ref="E851">IFERROR(IF(A851="","",VLOOKUP(A851,INDIRECT("HISTÓRICO COBROS!A3:E"&amp;COUNTA('HISTÓRICO COBROS'!A:A)),5,FALSE)),"")</f>
        <v/>
      </c>
      <c r="F851" s="137" t="str">
        <f t="array" ref="F851">IF(A851="","",VLOOKUP(A851,INDIRECT("CXC!A2:I"&amp;COUNTA(CXC!A:A)),9,FALSE))</f>
        <v/>
      </c>
      <c r="G851" s="137" t="str">
        <f t="array" ref="G851">IFERROR(IF(A851="","",VLOOKUP(A851,INDIRECT("HISTÓRICO COBROS!A3:F"&amp;COUNTA('HISTÓRICO COBROS'!A:A)),6,FALSE)),"")</f>
        <v/>
      </c>
      <c r="H851" s="138" t="str">
        <f t="shared" ref="H851:I851" si="852">IF(D851="","",D851+F851)</f>
        <v/>
      </c>
      <c r="I851" s="135" t="str">
        <f t="shared" si="852"/>
        <v/>
      </c>
      <c r="J851" s="140" t="str">
        <f t="shared" si="3"/>
        <v/>
      </c>
      <c r="K851" s="140" t="str">
        <f t="shared" si="4"/>
        <v/>
      </c>
    </row>
    <row r="852" ht="22.5" customHeight="1">
      <c r="A852" s="140"/>
      <c r="B852" s="135" t="str">
        <f t="array" ref="B852">IF(A852="","",VLOOKUP(A852,INDIRECT("CXC!A2:B"&amp;COUNTA(CXC!A:A)),2,FALSE))</f>
        <v/>
      </c>
      <c r="C852" s="136" t="str">
        <f t="array" ref="C852">IF(A852="","",VLOOKUP(A852,INDIRECT("CXC!A2:C"&amp;COUNTA(CXC!A:A)),3,FALSE))</f>
        <v/>
      </c>
      <c r="D852" s="137" t="str">
        <f t="array" ref="D852">IF(A852="","",VLOOKUP(A852,INDIRECT("CXC!A2:H"&amp;COUNTA(CXC!A:A)),8,FALSE))</f>
        <v/>
      </c>
      <c r="E852" s="137" t="str">
        <f t="array" ref="E852">IFERROR(IF(A852="","",VLOOKUP(A852,INDIRECT("HISTÓRICO COBROS!A3:E"&amp;COUNTA('HISTÓRICO COBROS'!A:A)),5,FALSE)),"")</f>
        <v/>
      </c>
      <c r="F852" s="137" t="str">
        <f t="array" ref="F852">IF(A852="","",VLOOKUP(A852,INDIRECT("CXC!A2:I"&amp;COUNTA(CXC!A:A)),9,FALSE))</f>
        <v/>
      </c>
      <c r="G852" s="137" t="str">
        <f t="array" ref="G852">IFERROR(IF(A852="","",VLOOKUP(A852,INDIRECT("HISTÓRICO COBROS!A3:F"&amp;COUNTA('HISTÓRICO COBROS'!A:A)),6,FALSE)),"")</f>
        <v/>
      </c>
      <c r="H852" s="138" t="str">
        <f t="shared" ref="H852:I852" si="853">IF(D852="","",D852+F852)</f>
        <v/>
      </c>
      <c r="I852" s="135" t="str">
        <f t="shared" si="853"/>
        <v/>
      </c>
      <c r="J852" s="140" t="str">
        <f t="shared" si="3"/>
        <v/>
      </c>
      <c r="K852" s="140" t="str">
        <f t="shared" si="4"/>
        <v/>
      </c>
    </row>
    <row r="853" ht="22.5" customHeight="1">
      <c r="A853" s="140"/>
      <c r="B853" s="135" t="str">
        <f t="array" ref="B853">IF(A853="","",VLOOKUP(A853,INDIRECT("CXC!A2:B"&amp;COUNTA(CXC!A:A)),2,FALSE))</f>
        <v/>
      </c>
      <c r="C853" s="136" t="str">
        <f t="array" ref="C853">IF(A853="","",VLOOKUP(A853,INDIRECT("CXC!A2:C"&amp;COUNTA(CXC!A:A)),3,FALSE))</f>
        <v/>
      </c>
      <c r="D853" s="137" t="str">
        <f t="array" ref="D853">IF(A853="","",VLOOKUP(A853,INDIRECT("CXC!A2:H"&amp;COUNTA(CXC!A:A)),8,FALSE))</f>
        <v/>
      </c>
      <c r="E853" s="137" t="str">
        <f t="array" ref="E853">IFERROR(IF(A853="","",VLOOKUP(A853,INDIRECT("HISTÓRICO COBROS!A3:E"&amp;COUNTA('HISTÓRICO COBROS'!A:A)),5,FALSE)),"")</f>
        <v/>
      </c>
      <c r="F853" s="137" t="str">
        <f t="array" ref="F853">IF(A853="","",VLOOKUP(A853,INDIRECT("CXC!A2:I"&amp;COUNTA(CXC!A:A)),9,FALSE))</f>
        <v/>
      </c>
      <c r="G853" s="137" t="str">
        <f t="array" ref="G853">IFERROR(IF(A853="","",VLOOKUP(A853,INDIRECT("HISTÓRICO COBROS!A3:F"&amp;COUNTA('HISTÓRICO COBROS'!A:A)),6,FALSE)),"")</f>
        <v/>
      </c>
      <c r="H853" s="138" t="str">
        <f t="shared" ref="H853:I853" si="854">IF(D853="","",D853+F853)</f>
        <v/>
      </c>
      <c r="I853" s="135" t="str">
        <f t="shared" si="854"/>
        <v/>
      </c>
      <c r="J853" s="140" t="str">
        <f t="shared" si="3"/>
        <v/>
      </c>
      <c r="K853" s="140" t="str">
        <f t="shared" si="4"/>
        <v/>
      </c>
    </row>
    <row r="854" ht="22.5" customHeight="1">
      <c r="A854" s="140"/>
      <c r="B854" s="135" t="str">
        <f t="array" ref="B854">IF(A854="","",VLOOKUP(A854,INDIRECT("CXC!A2:B"&amp;COUNTA(CXC!A:A)),2,FALSE))</f>
        <v/>
      </c>
      <c r="C854" s="136" t="str">
        <f t="array" ref="C854">IF(A854="","",VLOOKUP(A854,INDIRECT("CXC!A2:C"&amp;COUNTA(CXC!A:A)),3,FALSE))</f>
        <v/>
      </c>
      <c r="D854" s="137" t="str">
        <f t="array" ref="D854">IF(A854="","",VLOOKUP(A854,INDIRECT("CXC!A2:H"&amp;COUNTA(CXC!A:A)),8,FALSE))</f>
        <v/>
      </c>
      <c r="E854" s="137" t="str">
        <f t="array" ref="E854">IFERROR(IF(A854="","",VLOOKUP(A854,INDIRECT("HISTÓRICO COBROS!A3:E"&amp;COUNTA('HISTÓRICO COBROS'!A:A)),5,FALSE)),"")</f>
        <v/>
      </c>
      <c r="F854" s="137" t="str">
        <f t="array" ref="F854">IF(A854="","",VLOOKUP(A854,INDIRECT("CXC!A2:I"&amp;COUNTA(CXC!A:A)),9,FALSE))</f>
        <v/>
      </c>
      <c r="G854" s="137" t="str">
        <f t="array" ref="G854">IFERROR(IF(A854="","",VLOOKUP(A854,INDIRECT("HISTÓRICO COBROS!A3:F"&amp;COUNTA('HISTÓRICO COBROS'!A:A)),6,FALSE)),"")</f>
        <v/>
      </c>
      <c r="H854" s="138" t="str">
        <f t="shared" ref="H854:I854" si="855">IF(D854="","",D854+F854)</f>
        <v/>
      </c>
      <c r="I854" s="135" t="str">
        <f t="shared" si="855"/>
        <v/>
      </c>
      <c r="J854" s="140" t="str">
        <f t="shared" si="3"/>
        <v/>
      </c>
      <c r="K854" s="140" t="str">
        <f t="shared" si="4"/>
        <v/>
      </c>
    </row>
    <row r="855" ht="22.5" customHeight="1">
      <c r="A855" s="140"/>
      <c r="B855" s="135" t="str">
        <f t="array" ref="B855">IF(A855="","",VLOOKUP(A855,INDIRECT("CXC!A2:B"&amp;COUNTA(CXC!A:A)),2,FALSE))</f>
        <v/>
      </c>
      <c r="C855" s="136" t="str">
        <f t="array" ref="C855">IF(A855="","",VLOOKUP(A855,INDIRECT("CXC!A2:C"&amp;COUNTA(CXC!A:A)),3,FALSE))</f>
        <v/>
      </c>
      <c r="D855" s="137" t="str">
        <f t="array" ref="D855">IF(A855="","",VLOOKUP(A855,INDIRECT("CXC!A2:H"&amp;COUNTA(CXC!A:A)),8,FALSE))</f>
        <v/>
      </c>
      <c r="E855" s="137" t="str">
        <f t="array" ref="E855">IFERROR(IF(A855="","",VLOOKUP(A855,INDIRECT("HISTÓRICO COBROS!A3:E"&amp;COUNTA('HISTÓRICO COBROS'!A:A)),5,FALSE)),"")</f>
        <v/>
      </c>
      <c r="F855" s="137" t="str">
        <f t="array" ref="F855">IF(A855="","",VLOOKUP(A855,INDIRECT("CXC!A2:I"&amp;COUNTA(CXC!A:A)),9,FALSE))</f>
        <v/>
      </c>
      <c r="G855" s="137" t="str">
        <f t="array" ref="G855">IFERROR(IF(A855="","",VLOOKUP(A855,INDIRECT("HISTÓRICO COBROS!A3:F"&amp;COUNTA('HISTÓRICO COBROS'!A:A)),6,FALSE)),"")</f>
        <v/>
      </c>
      <c r="H855" s="138" t="str">
        <f t="shared" ref="H855:I855" si="856">IF(D855="","",D855+F855)</f>
        <v/>
      </c>
      <c r="I855" s="135" t="str">
        <f t="shared" si="856"/>
        <v/>
      </c>
      <c r="J855" s="140" t="str">
        <f t="shared" si="3"/>
        <v/>
      </c>
      <c r="K855" s="140" t="str">
        <f t="shared" si="4"/>
        <v/>
      </c>
    </row>
    <row r="856" ht="22.5" customHeight="1">
      <c r="A856" s="140"/>
      <c r="B856" s="135" t="str">
        <f t="array" ref="B856">IF(A856="","",VLOOKUP(A856,INDIRECT("CXC!A2:B"&amp;COUNTA(CXC!A:A)),2,FALSE))</f>
        <v/>
      </c>
      <c r="C856" s="136" t="str">
        <f t="array" ref="C856">IF(A856="","",VLOOKUP(A856,INDIRECT("CXC!A2:C"&amp;COUNTA(CXC!A:A)),3,FALSE))</f>
        <v/>
      </c>
      <c r="D856" s="137" t="str">
        <f t="array" ref="D856">IF(A856="","",VLOOKUP(A856,INDIRECT("CXC!A2:H"&amp;COUNTA(CXC!A:A)),8,FALSE))</f>
        <v/>
      </c>
      <c r="E856" s="137" t="str">
        <f t="array" ref="E856">IFERROR(IF(A856="","",VLOOKUP(A856,INDIRECT("HISTÓRICO COBROS!A3:E"&amp;COUNTA('HISTÓRICO COBROS'!A:A)),5,FALSE)),"")</f>
        <v/>
      </c>
      <c r="F856" s="137" t="str">
        <f t="array" ref="F856">IF(A856="","",VLOOKUP(A856,INDIRECT("CXC!A2:I"&amp;COUNTA(CXC!A:A)),9,FALSE))</f>
        <v/>
      </c>
      <c r="G856" s="137" t="str">
        <f t="array" ref="G856">IFERROR(IF(A856="","",VLOOKUP(A856,INDIRECT("HISTÓRICO COBROS!A3:F"&amp;COUNTA('HISTÓRICO COBROS'!A:A)),6,FALSE)),"")</f>
        <v/>
      </c>
      <c r="H856" s="138" t="str">
        <f t="shared" ref="H856:I856" si="857">IF(D856="","",D856+F856)</f>
        <v/>
      </c>
      <c r="I856" s="135" t="str">
        <f t="shared" si="857"/>
        <v/>
      </c>
      <c r="J856" s="140" t="str">
        <f t="shared" si="3"/>
        <v/>
      </c>
      <c r="K856" s="140" t="str">
        <f t="shared" si="4"/>
        <v/>
      </c>
    </row>
    <row r="857" ht="22.5" customHeight="1">
      <c r="A857" s="140"/>
      <c r="B857" s="135" t="str">
        <f t="array" ref="B857">IF(A857="","",VLOOKUP(A857,INDIRECT("CXC!A2:B"&amp;COUNTA(CXC!A:A)),2,FALSE))</f>
        <v/>
      </c>
      <c r="C857" s="136" t="str">
        <f t="array" ref="C857">IF(A857="","",VLOOKUP(A857,INDIRECT("CXC!A2:C"&amp;COUNTA(CXC!A:A)),3,FALSE))</f>
        <v/>
      </c>
      <c r="D857" s="137" t="str">
        <f t="array" ref="D857">IF(A857="","",VLOOKUP(A857,INDIRECT("CXC!A2:H"&amp;COUNTA(CXC!A:A)),8,FALSE))</f>
        <v/>
      </c>
      <c r="E857" s="137" t="str">
        <f t="array" ref="E857">IFERROR(IF(A857="","",VLOOKUP(A857,INDIRECT("HISTÓRICO COBROS!A3:E"&amp;COUNTA('HISTÓRICO COBROS'!A:A)),5,FALSE)),"")</f>
        <v/>
      </c>
      <c r="F857" s="137" t="str">
        <f t="array" ref="F857">IF(A857="","",VLOOKUP(A857,INDIRECT("CXC!A2:I"&amp;COUNTA(CXC!A:A)),9,FALSE))</f>
        <v/>
      </c>
      <c r="G857" s="137" t="str">
        <f t="array" ref="G857">IFERROR(IF(A857="","",VLOOKUP(A857,INDIRECT("HISTÓRICO COBROS!A3:F"&amp;COUNTA('HISTÓRICO COBROS'!A:A)),6,FALSE)),"")</f>
        <v/>
      </c>
      <c r="H857" s="138" t="str">
        <f t="shared" ref="H857:I857" si="858">IF(D857="","",D857+F857)</f>
        <v/>
      </c>
      <c r="I857" s="135" t="str">
        <f t="shared" si="858"/>
        <v/>
      </c>
      <c r="J857" s="140" t="str">
        <f t="shared" si="3"/>
        <v/>
      </c>
      <c r="K857" s="140" t="str">
        <f t="shared" si="4"/>
        <v/>
      </c>
    </row>
    <row r="858" ht="22.5" customHeight="1">
      <c r="A858" s="140"/>
      <c r="B858" s="135" t="str">
        <f t="array" ref="B858">IF(A858="","",VLOOKUP(A858,INDIRECT("CXC!A2:B"&amp;COUNTA(CXC!A:A)),2,FALSE))</f>
        <v/>
      </c>
      <c r="C858" s="136" t="str">
        <f t="array" ref="C858">IF(A858="","",VLOOKUP(A858,INDIRECT("CXC!A2:C"&amp;COUNTA(CXC!A:A)),3,FALSE))</f>
        <v/>
      </c>
      <c r="D858" s="137" t="str">
        <f t="array" ref="D858">IF(A858="","",VLOOKUP(A858,INDIRECT("CXC!A2:H"&amp;COUNTA(CXC!A:A)),8,FALSE))</f>
        <v/>
      </c>
      <c r="E858" s="137" t="str">
        <f t="array" ref="E858">IFERROR(IF(A858="","",VLOOKUP(A858,INDIRECT("HISTÓRICO COBROS!A3:E"&amp;COUNTA('HISTÓRICO COBROS'!A:A)),5,FALSE)),"")</f>
        <v/>
      </c>
      <c r="F858" s="137" t="str">
        <f t="array" ref="F858">IF(A858="","",VLOOKUP(A858,INDIRECT("CXC!A2:I"&amp;COUNTA(CXC!A:A)),9,FALSE))</f>
        <v/>
      </c>
      <c r="G858" s="137" t="str">
        <f t="array" ref="G858">IFERROR(IF(A858="","",VLOOKUP(A858,INDIRECT("HISTÓRICO COBROS!A3:F"&amp;COUNTA('HISTÓRICO COBROS'!A:A)),6,FALSE)),"")</f>
        <v/>
      </c>
      <c r="H858" s="138" t="str">
        <f t="shared" ref="H858:I858" si="859">IF(D858="","",D858+F858)</f>
        <v/>
      </c>
      <c r="I858" s="135" t="str">
        <f t="shared" si="859"/>
        <v/>
      </c>
      <c r="J858" s="140" t="str">
        <f t="shared" si="3"/>
        <v/>
      </c>
      <c r="K858" s="140" t="str">
        <f t="shared" si="4"/>
        <v/>
      </c>
    </row>
    <row r="859" ht="22.5" customHeight="1">
      <c r="A859" s="140"/>
      <c r="B859" s="135" t="str">
        <f t="array" ref="B859">IF(A859="","",VLOOKUP(A859,INDIRECT("CXC!A2:B"&amp;COUNTA(CXC!A:A)),2,FALSE))</f>
        <v/>
      </c>
      <c r="C859" s="136" t="str">
        <f t="array" ref="C859">IF(A859="","",VLOOKUP(A859,INDIRECT("CXC!A2:C"&amp;COUNTA(CXC!A:A)),3,FALSE))</f>
        <v/>
      </c>
      <c r="D859" s="137" t="str">
        <f t="array" ref="D859">IF(A859="","",VLOOKUP(A859,INDIRECT("CXC!A2:H"&amp;COUNTA(CXC!A:A)),8,FALSE))</f>
        <v/>
      </c>
      <c r="E859" s="137" t="str">
        <f t="array" ref="E859">IFERROR(IF(A859="","",VLOOKUP(A859,INDIRECT("HISTÓRICO COBROS!A3:E"&amp;COUNTA('HISTÓRICO COBROS'!A:A)),5,FALSE)),"")</f>
        <v/>
      </c>
      <c r="F859" s="137" t="str">
        <f t="array" ref="F859">IF(A859="","",VLOOKUP(A859,INDIRECT("CXC!A2:I"&amp;COUNTA(CXC!A:A)),9,FALSE))</f>
        <v/>
      </c>
      <c r="G859" s="137" t="str">
        <f t="array" ref="G859">IFERROR(IF(A859="","",VLOOKUP(A859,INDIRECT("HISTÓRICO COBROS!A3:F"&amp;COUNTA('HISTÓRICO COBROS'!A:A)),6,FALSE)),"")</f>
        <v/>
      </c>
      <c r="H859" s="138" t="str">
        <f t="shared" ref="H859:I859" si="860">IF(D859="","",D859+F859)</f>
        <v/>
      </c>
      <c r="I859" s="135" t="str">
        <f t="shared" si="860"/>
        <v/>
      </c>
      <c r="J859" s="140" t="str">
        <f t="shared" si="3"/>
        <v/>
      </c>
      <c r="K859" s="140" t="str">
        <f t="shared" si="4"/>
        <v/>
      </c>
    </row>
    <row r="860" ht="22.5" customHeight="1">
      <c r="A860" s="140"/>
      <c r="B860" s="135" t="str">
        <f t="array" ref="B860">IF(A860="","",VLOOKUP(A860,INDIRECT("CXC!A2:B"&amp;COUNTA(CXC!A:A)),2,FALSE))</f>
        <v/>
      </c>
      <c r="C860" s="136" t="str">
        <f t="array" ref="C860">IF(A860="","",VLOOKUP(A860,INDIRECT("CXC!A2:C"&amp;COUNTA(CXC!A:A)),3,FALSE))</f>
        <v/>
      </c>
      <c r="D860" s="137" t="str">
        <f t="array" ref="D860">IF(A860="","",VLOOKUP(A860,INDIRECT("CXC!A2:H"&amp;COUNTA(CXC!A:A)),8,FALSE))</f>
        <v/>
      </c>
      <c r="E860" s="137" t="str">
        <f t="array" ref="E860">IFERROR(IF(A860="","",VLOOKUP(A860,INDIRECT("HISTÓRICO COBROS!A3:E"&amp;COUNTA('HISTÓRICO COBROS'!A:A)),5,FALSE)),"")</f>
        <v/>
      </c>
      <c r="F860" s="137" t="str">
        <f t="array" ref="F860">IF(A860="","",VLOOKUP(A860,INDIRECT("CXC!A2:I"&amp;COUNTA(CXC!A:A)),9,FALSE))</f>
        <v/>
      </c>
      <c r="G860" s="137" t="str">
        <f t="array" ref="G860">IFERROR(IF(A860="","",VLOOKUP(A860,INDIRECT("HISTÓRICO COBROS!A3:F"&amp;COUNTA('HISTÓRICO COBROS'!A:A)),6,FALSE)),"")</f>
        <v/>
      </c>
      <c r="H860" s="138" t="str">
        <f t="shared" ref="H860:I860" si="861">IF(D860="","",D860+F860)</f>
        <v/>
      </c>
      <c r="I860" s="135" t="str">
        <f t="shared" si="861"/>
        <v/>
      </c>
      <c r="J860" s="140" t="str">
        <f t="shared" si="3"/>
        <v/>
      </c>
      <c r="K860" s="140" t="str">
        <f t="shared" si="4"/>
        <v/>
      </c>
    </row>
    <row r="861" ht="22.5" customHeight="1">
      <c r="A861" s="140"/>
      <c r="B861" s="135" t="str">
        <f t="array" ref="B861">IF(A861="","",VLOOKUP(A861,INDIRECT("CXC!A2:B"&amp;COUNTA(CXC!A:A)),2,FALSE))</f>
        <v/>
      </c>
      <c r="C861" s="136" t="str">
        <f t="array" ref="C861">IF(A861="","",VLOOKUP(A861,INDIRECT("CXC!A2:C"&amp;COUNTA(CXC!A:A)),3,FALSE))</f>
        <v/>
      </c>
      <c r="D861" s="137" t="str">
        <f t="array" ref="D861">IF(A861="","",VLOOKUP(A861,INDIRECT("CXC!A2:H"&amp;COUNTA(CXC!A:A)),8,FALSE))</f>
        <v/>
      </c>
      <c r="E861" s="137" t="str">
        <f t="array" ref="E861">IFERROR(IF(A861="","",VLOOKUP(A861,INDIRECT("HISTÓRICO COBROS!A3:E"&amp;COUNTA('HISTÓRICO COBROS'!A:A)),5,FALSE)),"")</f>
        <v/>
      </c>
      <c r="F861" s="137" t="str">
        <f t="array" ref="F861">IF(A861="","",VLOOKUP(A861,INDIRECT("CXC!A2:I"&amp;COUNTA(CXC!A:A)),9,FALSE))</f>
        <v/>
      </c>
      <c r="G861" s="137" t="str">
        <f t="array" ref="G861">IFERROR(IF(A861="","",VLOOKUP(A861,INDIRECT("HISTÓRICO COBROS!A3:F"&amp;COUNTA('HISTÓRICO COBROS'!A:A)),6,FALSE)),"")</f>
        <v/>
      </c>
      <c r="H861" s="138" t="str">
        <f t="shared" ref="H861:I861" si="862">IF(D861="","",D861+F861)</f>
        <v/>
      </c>
      <c r="I861" s="135" t="str">
        <f t="shared" si="862"/>
        <v/>
      </c>
      <c r="J861" s="140" t="str">
        <f t="shared" si="3"/>
        <v/>
      </c>
      <c r="K861" s="140" t="str">
        <f t="shared" si="4"/>
        <v/>
      </c>
    </row>
    <row r="862" ht="22.5" customHeight="1">
      <c r="A862" s="140"/>
      <c r="B862" s="135" t="str">
        <f t="array" ref="B862">IF(A862="","",VLOOKUP(A862,INDIRECT("CXC!A2:B"&amp;COUNTA(CXC!A:A)),2,FALSE))</f>
        <v/>
      </c>
      <c r="C862" s="136" t="str">
        <f t="array" ref="C862">IF(A862="","",VLOOKUP(A862,INDIRECT("CXC!A2:C"&amp;COUNTA(CXC!A:A)),3,FALSE))</f>
        <v/>
      </c>
      <c r="D862" s="137" t="str">
        <f t="array" ref="D862">IF(A862="","",VLOOKUP(A862,INDIRECT("CXC!A2:H"&amp;COUNTA(CXC!A:A)),8,FALSE))</f>
        <v/>
      </c>
      <c r="E862" s="137" t="str">
        <f t="array" ref="E862">IFERROR(IF(A862="","",VLOOKUP(A862,INDIRECT("HISTÓRICO COBROS!A3:E"&amp;COUNTA('HISTÓRICO COBROS'!A:A)),5,FALSE)),"")</f>
        <v/>
      </c>
      <c r="F862" s="137" t="str">
        <f t="array" ref="F862">IF(A862="","",VLOOKUP(A862,INDIRECT("CXC!A2:I"&amp;COUNTA(CXC!A:A)),9,FALSE))</f>
        <v/>
      </c>
      <c r="G862" s="137" t="str">
        <f t="array" ref="G862">IFERROR(IF(A862="","",VLOOKUP(A862,INDIRECT("HISTÓRICO COBROS!A3:F"&amp;COUNTA('HISTÓRICO COBROS'!A:A)),6,FALSE)),"")</f>
        <v/>
      </c>
      <c r="H862" s="138" t="str">
        <f t="shared" ref="H862:I862" si="863">IF(D862="","",D862+F862)</f>
        <v/>
      </c>
      <c r="I862" s="135" t="str">
        <f t="shared" si="863"/>
        <v/>
      </c>
      <c r="J862" s="140" t="str">
        <f t="shared" si="3"/>
        <v/>
      </c>
      <c r="K862" s="140" t="str">
        <f t="shared" si="4"/>
        <v/>
      </c>
    </row>
    <row r="863" ht="22.5" customHeight="1">
      <c r="A863" s="140"/>
      <c r="B863" s="135" t="str">
        <f t="array" ref="B863">IF(A863="","",VLOOKUP(A863,INDIRECT("CXC!A2:B"&amp;COUNTA(CXC!A:A)),2,FALSE))</f>
        <v/>
      </c>
      <c r="C863" s="136" t="str">
        <f t="array" ref="C863">IF(A863="","",VLOOKUP(A863,INDIRECT("CXC!A2:C"&amp;COUNTA(CXC!A:A)),3,FALSE))</f>
        <v/>
      </c>
      <c r="D863" s="137" t="str">
        <f t="array" ref="D863">IF(A863="","",VLOOKUP(A863,INDIRECT("CXC!A2:H"&amp;COUNTA(CXC!A:A)),8,FALSE))</f>
        <v/>
      </c>
      <c r="E863" s="137" t="str">
        <f t="array" ref="E863">IFERROR(IF(A863="","",VLOOKUP(A863,INDIRECT("HISTÓRICO COBROS!A3:E"&amp;COUNTA('HISTÓRICO COBROS'!A:A)),5,FALSE)),"")</f>
        <v/>
      </c>
      <c r="F863" s="137" t="str">
        <f t="array" ref="F863">IF(A863="","",VLOOKUP(A863,INDIRECT("CXC!A2:I"&amp;COUNTA(CXC!A:A)),9,FALSE))</f>
        <v/>
      </c>
      <c r="G863" s="137" t="str">
        <f t="array" ref="G863">IFERROR(IF(A863="","",VLOOKUP(A863,INDIRECT("HISTÓRICO COBROS!A3:F"&amp;COUNTA('HISTÓRICO COBROS'!A:A)),6,FALSE)),"")</f>
        <v/>
      </c>
      <c r="H863" s="138" t="str">
        <f t="shared" ref="H863:I863" si="864">IF(D863="","",D863+F863)</f>
        <v/>
      </c>
      <c r="I863" s="135" t="str">
        <f t="shared" si="864"/>
        <v/>
      </c>
      <c r="J863" s="140" t="str">
        <f t="shared" si="3"/>
        <v/>
      </c>
      <c r="K863" s="140" t="str">
        <f t="shared" si="4"/>
        <v/>
      </c>
    </row>
    <row r="864" ht="22.5" customHeight="1">
      <c r="A864" s="140"/>
      <c r="B864" s="135" t="str">
        <f t="array" ref="B864">IF(A864="","",VLOOKUP(A864,INDIRECT("CXC!A2:B"&amp;COUNTA(CXC!A:A)),2,FALSE))</f>
        <v/>
      </c>
      <c r="C864" s="136" t="str">
        <f t="array" ref="C864">IF(A864="","",VLOOKUP(A864,INDIRECT("CXC!A2:C"&amp;COUNTA(CXC!A:A)),3,FALSE))</f>
        <v/>
      </c>
      <c r="D864" s="137" t="str">
        <f t="array" ref="D864">IF(A864="","",VLOOKUP(A864,INDIRECT("CXC!A2:H"&amp;COUNTA(CXC!A:A)),8,FALSE))</f>
        <v/>
      </c>
      <c r="E864" s="137" t="str">
        <f t="array" ref="E864">IFERROR(IF(A864="","",VLOOKUP(A864,INDIRECT("HISTÓRICO COBROS!A3:E"&amp;COUNTA('HISTÓRICO COBROS'!A:A)),5,FALSE)),"")</f>
        <v/>
      </c>
      <c r="F864" s="137" t="str">
        <f t="array" ref="F864">IF(A864="","",VLOOKUP(A864,INDIRECT("CXC!A2:I"&amp;COUNTA(CXC!A:A)),9,FALSE))</f>
        <v/>
      </c>
      <c r="G864" s="137" t="str">
        <f t="array" ref="G864">IFERROR(IF(A864="","",VLOOKUP(A864,INDIRECT("HISTÓRICO COBROS!A3:F"&amp;COUNTA('HISTÓRICO COBROS'!A:A)),6,FALSE)),"")</f>
        <v/>
      </c>
      <c r="H864" s="138" t="str">
        <f t="shared" ref="H864:I864" si="865">IF(D864="","",D864+F864)</f>
        <v/>
      </c>
      <c r="I864" s="135" t="str">
        <f t="shared" si="865"/>
        <v/>
      </c>
      <c r="J864" s="140" t="str">
        <f t="shared" si="3"/>
        <v/>
      </c>
      <c r="K864" s="140" t="str">
        <f t="shared" si="4"/>
        <v/>
      </c>
    </row>
    <row r="865" ht="22.5" customHeight="1">
      <c r="A865" s="140"/>
      <c r="B865" s="135" t="str">
        <f t="array" ref="B865">IF(A865="","",VLOOKUP(A865,INDIRECT("CXC!A2:B"&amp;COUNTA(CXC!A:A)),2,FALSE))</f>
        <v/>
      </c>
      <c r="C865" s="136" t="str">
        <f t="array" ref="C865">IF(A865="","",VLOOKUP(A865,INDIRECT("CXC!A2:C"&amp;COUNTA(CXC!A:A)),3,FALSE))</f>
        <v/>
      </c>
      <c r="D865" s="137" t="str">
        <f t="array" ref="D865">IF(A865="","",VLOOKUP(A865,INDIRECT("CXC!A2:H"&amp;COUNTA(CXC!A:A)),8,FALSE))</f>
        <v/>
      </c>
      <c r="E865" s="137" t="str">
        <f t="array" ref="E865">IFERROR(IF(A865="","",VLOOKUP(A865,INDIRECT("HISTÓRICO COBROS!A3:E"&amp;COUNTA('HISTÓRICO COBROS'!A:A)),5,FALSE)),"")</f>
        <v/>
      </c>
      <c r="F865" s="137" t="str">
        <f t="array" ref="F865">IF(A865="","",VLOOKUP(A865,INDIRECT("CXC!A2:I"&amp;COUNTA(CXC!A:A)),9,FALSE))</f>
        <v/>
      </c>
      <c r="G865" s="137" t="str">
        <f t="array" ref="G865">IFERROR(IF(A865="","",VLOOKUP(A865,INDIRECT("HISTÓRICO COBROS!A3:F"&amp;COUNTA('HISTÓRICO COBROS'!A:A)),6,FALSE)),"")</f>
        <v/>
      </c>
      <c r="H865" s="138" t="str">
        <f t="shared" ref="H865:I865" si="866">IF(D865="","",D865+F865)</f>
        <v/>
      </c>
      <c r="I865" s="135" t="str">
        <f t="shared" si="866"/>
        <v/>
      </c>
      <c r="J865" s="140" t="str">
        <f t="shared" si="3"/>
        <v/>
      </c>
      <c r="K865" s="140" t="str">
        <f t="shared" si="4"/>
        <v/>
      </c>
    </row>
    <row r="866" ht="22.5" customHeight="1">
      <c r="A866" s="140"/>
      <c r="B866" s="135" t="str">
        <f t="array" ref="B866">IF(A866="","",VLOOKUP(A866,INDIRECT("CXC!A2:B"&amp;COUNTA(CXC!A:A)),2,FALSE))</f>
        <v/>
      </c>
      <c r="C866" s="136" t="str">
        <f t="array" ref="C866">IF(A866="","",VLOOKUP(A866,INDIRECT("CXC!A2:C"&amp;COUNTA(CXC!A:A)),3,FALSE))</f>
        <v/>
      </c>
      <c r="D866" s="137" t="str">
        <f t="array" ref="D866">IF(A866="","",VLOOKUP(A866,INDIRECT("CXC!A2:H"&amp;COUNTA(CXC!A:A)),8,FALSE))</f>
        <v/>
      </c>
      <c r="E866" s="137" t="str">
        <f t="array" ref="E866">IFERROR(IF(A866="","",VLOOKUP(A866,INDIRECT("HISTÓRICO COBROS!A3:E"&amp;COUNTA('HISTÓRICO COBROS'!A:A)),5,FALSE)),"")</f>
        <v/>
      </c>
      <c r="F866" s="137" t="str">
        <f t="array" ref="F866">IF(A866="","",VLOOKUP(A866,INDIRECT("CXC!A2:I"&amp;COUNTA(CXC!A:A)),9,FALSE))</f>
        <v/>
      </c>
      <c r="G866" s="137" t="str">
        <f t="array" ref="G866">IFERROR(IF(A866="","",VLOOKUP(A866,INDIRECT("HISTÓRICO COBROS!A3:F"&amp;COUNTA('HISTÓRICO COBROS'!A:A)),6,FALSE)),"")</f>
        <v/>
      </c>
      <c r="H866" s="138" t="str">
        <f t="shared" ref="H866:I866" si="867">IF(D866="","",D866+F866)</f>
        <v/>
      </c>
      <c r="I866" s="135" t="str">
        <f t="shared" si="867"/>
        <v/>
      </c>
      <c r="J866" s="140" t="str">
        <f t="shared" si="3"/>
        <v/>
      </c>
      <c r="K866" s="140" t="str">
        <f t="shared" si="4"/>
        <v/>
      </c>
    </row>
    <row r="867" ht="22.5" customHeight="1">
      <c r="A867" s="140"/>
      <c r="B867" s="135" t="str">
        <f t="array" ref="B867">IF(A867="","",VLOOKUP(A867,INDIRECT("CXC!A2:B"&amp;COUNTA(CXC!A:A)),2,FALSE))</f>
        <v/>
      </c>
      <c r="C867" s="136" t="str">
        <f t="array" ref="C867">IF(A867="","",VLOOKUP(A867,INDIRECT("CXC!A2:C"&amp;COUNTA(CXC!A:A)),3,FALSE))</f>
        <v/>
      </c>
      <c r="D867" s="137" t="str">
        <f t="array" ref="D867">IF(A867="","",VLOOKUP(A867,INDIRECT("CXC!A2:H"&amp;COUNTA(CXC!A:A)),8,FALSE))</f>
        <v/>
      </c>
      <c r="E867" s="137" t="str">
        <f t="array" ref="E867">IFERROR(IF(A867="","",VLOOKUP(A867,INDIRECT("HISTÓRICO COBROS!A3:E"&amp;COUNTA('HISTÓRICO COBROS'!A:A)),5,FALSE)),"")</f>
        <v/>
      </c>
      <c r="F867" s="137" t="str">
        <f t="array" ref="F867">IF(A867="","",VLOOKUP(A867,INDIRECT("CXC!A2:I"&amp;COUNTA(CXC!A:A)),9,FALSE))</f>
        <v/>
      </c>
      <c r="G867" s="137" t="str">
        <f t="array" ref="G867">IFERROR(IF(A867="","",VLOOKUP(A867,INDIRECT("HISTÓRICO COBROS!A3:F"&amp;COUNTA('HISTÓRICO COBROS'!A:A)),6,FALSE)),"")</f>
        <v/>
      </c>
      <c r="H867" s="138" t="str">
        <f t="shared" ref="H867:I867" si="868">IF(D867="","",D867+F867)</f>
        <v/>
      </c>
      <c r="I867" s="135" t="str">
        <f t="shared" si="868"/>
        <v/>
      </c>
      <c r="J867" s="140" t="str">
        <f t="shared" si="3"/>
        <v/>
      </c>
      <c r="K867" s="140" t="str">
        <f t="shared" si="4"/>
        <v/>
      </c>
    </row>
    <row r="868" ht="22.5" customHeight="1">
      <c r="A868" s="140"/>
      <c r="B868" s="135" t="str">
        <f t="array" ref="B868">IF(A868="","",VLOOKUP(A868,INDIRECT("CXC!A2:B"&amp;COUNTA(CXC!A:A)),2,FALSE))</f>
        <v/>
      </c>
      <c r="C868" s="136" t="str">
        <f t="array" ref="C868">IF(A868="","",VLOOKUP(A868,INDIRECT("CXC!A2:C"&amp;COUNTA(CXC!A:A)),3,FALSE))</f>
        <v/>
      </c>
      <c r="D868" s="137" t="str">
        <f t="array" ref="D868">IF(A868="","",VLOOKUP(A868,INDIRECT("CXC!A2:H"&amp;COUNTA(CXC!A:A)),8,FALSE))</f>
        <v/>
      </c>
      <c r="E868" s="137" t="str">
        <f t="array" ref="E868">IFERROR(IF(A868="","",VLOOKUP(A868,INDIRECT("HISTÓRICO COBROS!A3:E"&amp;COUNTA('HISTÓRICO COBROS'!A:A)),5,FALSE)),"")</f>
        <v/>
      </c>
      <c r="F868" s="137" t="str">
        <f t="array" ref="F868">IF(A868="","",VLOOKUP(A868,INDIRECT("CXC!A2:I"&amp;COUNTA(CXC!A:A)),9,FALSE))</f>
        <v/>
      </c>
      <c r="G868" s="137" t="str">
        <f t="array" ref="G868">IFERROR(IF(A868="","",VLOOKUP(A868,INDIRECT("HISTÓRICO COBROS!A3:F"&amp;COUNTA('HISTÓRICO COBROS'!A:A)),6,FALSE)),"")</f>
        <v/>
      </c>
      <c r="H868" s="138" t="str">
        <f t="shared" ref="H868:I868" si="869">IF(D868="","",D868+F868)</f>
        <v/>
      </c>
      <c r="I868" s="135" t="str">
        <f t="shared" si="869"/>
        <v/>
      </c>
      <c r="J868" s="140" t="str">
        <f t="shared" si="3"/>
        <v/>
      </c>
      <c r="K868" s="140" t="str">
        <f t="shared" si="4"/>
        <v/>
      </c>
    </row>
    <row r="869" ht="22.5" customHeight="1">
      <c r="A869" s="140"/>
      <c r="B869" s="135" t="str">
        <f t="array" ref="B869">IF(A869="","",VLOOKUP(A869,INDIRECT("CXC!A2:B"&amp;COUNTA(CXC!A:A)),2,FALSE))</f>
        <v/>
      </c>
      <c r="C869" s="136" t="str">
        <f t="array" ref="C869">IF(A869="","",VLOOKUP(A869,INDIRECT("CXC!A2:C"&amp;COUNTA(CXC!A:A)),3,FALSE))</f>
        <v/>
      </c>
      <c r="D869" s="137" t="str">
        <f t="array" ref="D869">IF(A869="","",VLOOKUP(A869,INDIRECT("CXC!A2:H"&amp;COUNTA(CXC!A:A)),8,FALSE))</f>
        <v/>
      </c>
      <c r="E869" s="137" t="str">
        <f t="array" ref="E869">IFERROR(IF(A869="","",VLOOKUP(A869,INDIRECT("HISTÓRICO COBROS!A3:E"&amp;COUNTA('HISTÓRICO COBROS'!A:A)),5,FALSE)),"")</f>
        <v/>
      </c>
      <c r="F869" s="137" t="str">
        <f t="array" ref="F869">IF(A869="","",VLOOKUP(A869,INDIRECT("CXC!A2:I"&amp;COUNTA(CXC!A:A)),9,FALSE))</f>
        <v/>
      </c>
      <c r="G869" s="137" t="str">
        <f t="array" ref="G869">IFERROR(IF(A869="","",VLOOKUP(A869,INDIRECT("HISTÓRICO COBROS!A3:F"&amp;COUNTA('HISTÓRICO COBROS'!A:A)),6,FALSE)),"")</f>
        <v/>
      </c>
      <c r="H869" s="138" t="str">
        <f t="shared" ref="H869:I869" si="870">IF(D869="","",D869+F869)</f>
        <v/>
      </c>
      <c r="I869" s="135" t="str">
        <f t="shared" si="870"/>
        <v/>
      </c>
      <c r="J869" s="140" t="str">
        <f t="shared" si="3"/>
        <v/>
      </c>
      <c r="K869" s="140" t="str">
        <f t="shared" si="4"/>
        <v/>
      </c>
    </row>
    <row r="870" ht="22.5" customHeight="1">
      <c r="A870" s="140"/>
      <c r="B870" s="135" t="str">
        <f t="array" ref="B870">IF(A870="","",VLOOKUP(A870,INDIRECT("CXC!A2:B"&amp;COUNTA(CXC!A:A)),2,FALSE))</f>
        <v/>
      </c>
      <c r="C870" s="136" t="str">
        <f t="array" ref="C870">IF(A870="","",VLOOKUP(A870,INDIRECT("CXC!A2:C"&amp;COUNTA(CXC!A:A)),3,FALSE))</f>
        <v/>
      </c>
      <c r="D870" s="137" t="str">
        <f t="array" ref="D870">IF(A870="","",VLOOKUP(A870,INDIRECT("CXC!A2:H"&amp;COUNTA(CXC!A:A)),8,FALSE))</f>
        <v/>
      </c>
      <c r="E870" s="137" t="str">
        <f t="array" ref="E870">IFERROR(IF(A870="","",VLOOKUP(A870,INDIRECT("HISTÓRICO COBROS!A3:E"&amp;COUNTA('HISTÓRICO COBROS'!A:A)),5,FALSE)),"")</f>
        <v/>
      </c>
      <c r="F870" s="137" t="str">
        <f t="array" ref="F870">IF(A870="","",VLOOKUP(A870,INDIRECT("CXC!A2:I"&amp;COUNTA(CXC!A:A)),9,FALSE))</f>
        <v/>
      </c>
      <c r="G870" s="137" t="str">
        <f t="array" ref="G870">IFERROR(IF(A870="","",VLOOKUP(A870,INDIRECT("HISTÓRICO COBROS!A3:F"&amp;COUNTA('HISTÓRICO COBROS'!A:A)),6,FALSE)),"")</f>
        <v/>
      </c>
      <c r="H870" s="138" t="str">
        <f t="shared" ref="H870:I870" si="871">IF(D870="","",D870+F870)</f>
        <v/>
      </c>
      <c r="I870" s="135" t="str">
        <f t="shared" si="871"/>
        <v/>
      </c>
      <c r="J870" s="140" t="str">
        <f t="shared" si="3"/>
        <v/>
      </c>
      <c r="K870" s="140" t="str">
        <f t="shared" si="4"/>
        <v/>
      </c>
    </row>
    <row r="871" ht="22.5" customHeight="1">
      <c r="A871" s="140"/>
      <c r="B871" s="135" t="str">
        <f t="array" ref="B871">IF(A871="","",VLOOKUP(A871,INDIRECT("CXC!A2:B"&amp;COUNTA(CXC!A:A)),2,FALSE))</f>
        <v/>
      </c>
      <c r="C871" s="136" t="str">
        <f t="array" ref="C871">IF(A871="","",VLOOKUP(A871,INDIRECT("CXC!A2:C"&amp;COUNTA(CXC!A:A)),3,FALSE))</f>
        <v/>
      </c>
      <c r="D871" s="137" t="str">
        <f t="array" ref="D871">IF(A871="","",VLOOKUP(A871,INDIRECT("CXC!A2:H"&amp;COUNTA(CXC!A:A)),8,FALSE))</f>
        <v/>
      </c>
      <c r="E871" s="137" t="str">
        <f t="array" ref="E871">IFERROR(IF(A871="","",VLOOKUP(A871,INDIRECT("HISTÓRICO COBROS!A3:E"&amp;COUNTA('HISTÓRICO COBROS'!A:A)),5,FALSE)),"")</f>
        <v/>
      </c>
      <c r="F871" s="137" t="str">
        <f t="array" ref="F871">IF(A871="","",VLOOKUP(A871,INDIRECT("CXC!A2:I"&amp;COUNTA(CXC!A:A)),9,FALSE))</f>
        <v/>
      </c>
      <c r="G871" s="137" t="str">
        <f t="array" ref="G871">IFERROR(IF(A871="","",VLOOKUP(A871,INDIRECT("HISTÓRICO COBROS!A3:F"&amp;COUNTA('HISTÓRICO COBROS'!A:A)),6,FALSE)),"")</f>
        <v/>
      </c>
      <c r="H871" s="138" t="str">
        <f t="shared" ref="H871:I871" si="872">IF(D871="","",D871+F871)</f>
        <v/>
      </c>
      <c r="I871" s="135" t="str">
        <f t="shared" si="872"/>
        <v/>
      </c>
      <c r="J871" s="140" t="str">
        <f t="shared" si="3"/>
        <v/>
      </c>
      <c r="K871" s="140" t="str">
        <f t="shared" si="4"/>
        <v/>
      </c>
    </row>
    <row r="872" ht="22.5" customHeight="1">
      <c r="A872" s="140"/>
      <c r="B872" s="135" t="str">
        <f t="array" ref="B872">IF(A872="","",VLOOKUP(A872,INDIRECT("CXC!A2:B"&amp;COUNTA(CXC!A:A)),2,FALSE))</f>
        <v/>
      </c>
      <c r="C872" s="136" t="str">
        <f t="array" ref="C872">IF(A872="","",VLOOKUP(A872,INDIRECT("CXC!A2:C"&amp;COUNTA(CXC!A:A)),3,FALSE))</f>
        <v/>
      </c>
      <c r="D872" s="137" t="str">
        <f t="array" ref="D872">IF(A872="","",VLOOKUP(A872,INDIRECT("CXC!A2:H"&amp;COUNTA(CXC!A:A)),8,FALSE))</f>
        <v/>
      </c>
      <c r="E872" s="137" t="str">
        <f t="array" ref="E872">IFERROR(IF(A872="","",VLOOKUP(A872,INDIRECT("HISTÓRICO COBROS!A3:E"&amp;COUNTA('HISTÓRICO COBROS'!A:A)),5,FALSE)),"")</f>
        <v/>
      </c>
      <c r="F872" s="137" t="str">
        <f t="array" ref="F872">IF(A872="","",VLOOKUP(A872,INDIRECT("CXC!A2:I"&amp;COUNTA(CXC!A:A)),9,FALSE))</f>
        <v/>
      </c>
      <c r="G872" s="137" t="str">
        <f t="array" ref="G872">IFERROR(IF(A872="","",VLOOKUP(A872,INDIRECT("HISTÓRICO COBROS!A3:F"&amp;COUNTA('HISTÓRICO COBROS'!A:A)),6,FALSE)),"")</f>
        <v/>
      </c>
      <c r="H872" s="138" t="str">
        <f t="shared" ref="H872:I872" si="873">IF(D872="","",D872+F872)</f>
        <v/>
      </c>
      <c r="I872" s="135" t="str">
        <f t="shared" si="873"/>
        <v/>
      </c>
      <c r="J872" s="140" t="str">
        <f t="shared" si="3"/>
        <v/>
      </c>
      <c r="K872" s="140" t="str">
        <f t="shared" si="4"/>
        <v/>
      </c>
    </row>
    <row r="873" ht="22.5" customHeight="1">
      <c r="A873" s="140"/>
      <c r="B873" s="135" t="str">
        <f t="array" ref="B873">IF(A873="","",VLOOKUP(A873,INDIRECT("CXC!A2:B"&amp;COUNTA(CXC!A:A)),2,FALSE))</f>
        <v/>
      </c>
      <c r="C873" s="136" t="str">
        <f t="array" ref="C873">IF(A873="","",VLOOKUP(A873,INDIRECT("CXC!A2:C"&amp;COUNTA(CXC!A:A)),3,FALSE))</f>
        <v/>
      </c>
      <c r="D873" s="137" t="str">
        <f t="array" ref="D873">IF(A873="","",VLOOKUP(A873,INDIRECT("CXC!A2:H"&amp;COUNTA(CXC!A:A)),8,FALSE))</f>
        <v/>
      </c>
      <c r="E873" s="137" t="str">
        <f t="array" ref="E873">IFERROR(IF(A873="","",VLOOKUP(A873,INDIRECT("HISTÓRICO COBROS!A3:E"&amp;COUNTA('HISTÓRICO COBROS'!A:A)),5,FALSE)),"")</f>
        <v/>
      </c>
      <c r="F873" s="137" t="str">
        <f t="array" ref="F873">IF(A873="","",VLOOKUP(A873,INDIRECT("CXC!A2:I"&amp;COUNTA(CXC!A:A)),9,FALSE))</f>
        <v/>
      </c>
      <c r="G873" s="137" t="str">
        <f t="array" ref="G873">IFERROR(IF(A873="","",VLOOKUP(A873,INDIRECT("HISTÓRICO COBROS!A3:F"&amp;COUNTA('HISTÓRICO COBROS'!A:A)),6,FALSE)),"")</f>
        <v/>
      </c>
      <c r="H873" s="138" t="str">
        <f t="shared" ref="H873:I873" si="874">IF(D873="","",D873+F873)</f>
        <v/>
      </c>
      <c r="I873" s="135" t="str">
        <f t="shared" si="874"/>
        <v/>
      </c>
      <c r="J873" s="140" t="str">
        <f t="shared" si="3"/>
        <v/>
      </c>
      <c r="K873" s="140" t="str">
        <f t="shared" si="4"/>
        <v/>
      </c>
    </row>
    <row r="874" ht="22.5" customHeight="1">
      <c r="A874" s="140"/>
      <c r="B874" s="135" t="str">
        <f t="array" ref="B874">IF(A874="","",VLOOKUP(A874,INDIRECT("CXC!A2:B"&amp;COUNTA(CXC!A:A)),2,FALSE))</f>
        <v/>
      </c>
      <c r="C874" s="136" t="str">
        <f t="array" ref="C874">IF(A874="","",VLOOKUP(A874,INDIRECT("CXC!A2:C"&amp;COUNTA(CXC!A:A)),3,FALSE))</f>
        <v/>
      </c>
      <c r="D874" s="137" t="str">
        <f t="array" ref="D874">IF(A874="","",VLOOKUP(A874,INDIRECT("CXC!A2:H"&amp;COUNTA(CXC!A:A)),8,FALSE))</f>
        <v/>
      </c>
      <c r="E874" s="137" t="str">
        <f t="array" ref="E874">IFERROR(IF(A874="","",VLOOKUP(A874,INDIRECT("HISTÓRICO COBROS!A3:E"&amp;COUNTA('HISTÓRICO COBROS'!A:A)),5,FALSE)),"")</f>
        <v/>
      </c>
      <c r="F874" s="137" t="str">
        <f t="array" ref="F874">IF(A874="","",VLOOKUP(A874,INDIRECT("CXC!A2:I"&amp;COUNTA(CXC!A:A)),9,FALSE))</f>
        <v/>
      </c>
      <c r="G874" s="137" t="str">
        <f t="array" ref="G874">IFERROR(IF(A874="","",VLOOKUP(A874,INDIRECT("HISTÓRICO COBROS!A3:F"&amp;COUNTA('HISTÓRICO COBROS'!A:A)),6,FALSE)),"")</f>
        <v/>
      </c>
      <c r="H874" s="138" t="str">
        <f t="shared" ref="H874:I874" si="875">IF(D874="","",D874+F874)</f>
        <v/>
      </c>
      <c r="I874" s="135" t="str">
        <f t="shared" si="875"/>
        <v/>
      </c>
      <c r="J874" s="140" t="str">
        <f t="shared" si="3"/>
        <v/>
      </c>
      <c r="K874" s="140" t="str">
        <f t="shared" si="4"/>
        <v/>
      </c>
    </row>
    <row r="875" ht="22.5" customHeight="1">
      <c r="A875" s="140"/>
      <c r="B875" s="135" t="str">
        <f t="array" ref="B875">IF(A875="","",VLOOKUP(A875,INDIRECT("CXC!A2:B"&amp;COUNTA(CXC!A:A)),2,FALSE))</f>
        <v/>
      </c>
      <c r="C875" s="136" t="str">
        <f t="array" ref="C875">IF(A875="","",VLOOKUP(A875,INDIRECT("CXC!A2:C"&amp;COUNTA(CXC!A:A)),3,FALSE))</f>
        <v/>
      </c>
      <c r="D875" s="137" t="str">
        <f t="array" ref="D875">IF(A875="","",VLOOKUP(A875,INDIRECT("CXC!A2:H"&amp;COUNTA(CXC!A:A)),8,FALSE))</f>
        <v/>
      </c>
      <c r="E875" s="137" t="str">
        <f t="array" ref="E875">IFERROR(IF(A875="","",VLOOKUP(A875,INDIRECT("HISTÓRICO COBROS!A3:E"&amp;COUNTA('HISTÓRICO COBROS'!A:A)),5,FALSE)),"")</f>
        <v/>
      </c>
      <c r="F875" s="137" t="str">
        <f t="array" ref="F875">IF(A875="","",VLOOKUP(A875,INDIRECT("CXC!A2:I"&amp;COUNTA(CXC!A:A)),9,FALSE))</f>
        <v/>
      </c>
      <c r="G875" s="137" t="str">
        <f t="array" ref="G875">IFERROR(IF(A875="","",VLOOKUP(A875,INDIRECT("HISTÓRICO COBROS!A3:F"&amp;COUNTA('HISTÓRICO COBROS'!A:A)),6,FALSE)),"")</f>
        <v/>
      </c>
      <c r="H875" s="138" t="str">
        <f t="shared" ref="H875:I875" si="876">IF(D875="","",D875+F875)</f>
        <v/>
      </c>
      <c r="I875" s="135" t="str">
        <f t="shared" si="876"/>
        <v/>
      </c>
      <c r="J875" s="140" t="str">
        <f t="shared" si="3"/>
        <v/>
      </c>
      <c r="K875" s="140" t="str">
        <f t="shared" si="4"/>
        <v/>
      </c>
    </row>
    <row r="876" ht="22.5" customHeight="1">
      <c r="A876" s="140"/>
      <c r="B876" s="135" t="str">
        <f t="array" ref="B876">IF(A876="","",VLOOKUP(A876,INDIRECT("CXC!A2:B"&amp;COUNTA(CXC!A:A)),2,FALSE))</f>
        <v/>
      </c>
      <c r="C876" s="136" t="str">
        <f t="array" ref="C876">IF(A876="","",VLOOKUP(A876,INDIRECT("CXC!A2:C"&amp;COUNTA(CXC!A:A)),3,FALSE))</f>
        <v/>
      </c>
      <c r="D876" s="137" t="str">
        <f t="array" ref="D876">IF(A876="","",VLOOKUP(A876,INDIRECT("CXC!A2:H"&amp;COUNTA(CXC!A:A)),8,FALSE))</f>
        <v/>
      </c>
      <c r="E876" s="137" t="str">
        <f t="array" ref="E876">IFERROR(IF(A876="","",VLOOKUP(A876,INDIRECT("HISTÓRICO COBROS!A3:E"&amp;COUNTA('HISTÓRICO COBROS'!A:A)),5,FALSE)),"")</f>
        <v/>
      </c>
      <c r="F876" s="137" t="str">
        <f t="array" ref="F876">IF(A876="","",VLOOKUP(A876,INDIRECT("CXC!A2:I"&amp;COUNTA(CXC!A:A)),9,FALSE))</f>
        <v/>
      </c>
      <c r="G876" s="137" t="str">
        <f t="array" ref="G876">IFERROR(IF(A876="","",VLOOKUP(A876,INDIRECT("HISTÓRICO COBROS!A3:F"&amp;COUNTA('HISTÓRICO COBROS'!A:A)),6,FALSE)),"")</f>
        <v/>
      </c>
      <c r="H876" s="138" t="str">
        <f t="shared" ref="H876:I876" si="877">IF(D876="","",D876+F876)</f>
        <v/>
      </c>
      <c r="I876" s="135" t="str">
        <f t="shared" si="877"/>
        <v/>
      </c>
      <c r="J876" s="140" t="str">
        <f t="shared" si="3"/>
        <v/>
      </c>
      <c r="K876" s="140" t="str">
        <f t="shared" si="4"/>
        <v/>
      </c>
    </row>
    <row r="877" ht="22.5" customHeight="1">
      <c r="A877" s="140"/>
      <c r="B877" s="135" t="str">
        <f t="array" ref="B877">IF(A877="","",VLOOKUP(A877,INDIRECT("CXC!A2:B"&amp;COUNTA(CXC!A:A)),2,FALSE))</f>
        <v/>
      </c>
      <c r="C877" s="136" t="str">
        <f t="array" ref="C877">IF(A877="","",VLOOKUP(A877,INDIRECT("CXC!A2:C"&amp;COUNTA(CXC!A:A)),3,FALSE))</f>
        <v/>
      </c>
      <c r="D877" s="137" t="str">
        <f t="array" ref="D877">IF(A877="","",VLOOKUP(A877,INDIRECT("CXC!A2:H"&amp;COUNTA(CXC!A:A)),8,FALSE))</f>
        <v/>
      </c>
      <c r="E877" s="137" t="str">
        <f t="array" ref="E877">IFERROR(IF(A877="","",VLOOKUP(A877,INDIRECT("HISTÓRICO COBROS!A3:E"&amp;COUNTA('HISTÓRICO COBROS'!A:A)),5,FALSE)),"")</f>
        <v/>
      </c>
      <c r="F877" s="137" t="str">
        <f t="array" ref="F877">IF(A877="","",VLOOKUP(A877,INDIRECT("CXC!A2:I"&amp;COUNTA(CXC!A:A)),9,FALSE))</f>
        <v/>
      </c>
      <c r="G877" s="137" t="str">
        <f t="array" ref="G877">IFERROR(IF(A877="","",VLOOKUP(A877,INDIRECT("HISTÓRICO COBROS!A3:F"&amp;COUNTA('HISTÓRICO COBROS'!A:A)),6,FALSE)),"")</f>
        <v/>
      </c>
      <c r="H877" s="138" t="str">
        <f t="shared" ref="H877:I877" si="878">IF(D877="","",D877+F877)</f>
        <v/>
      </c>
      <c r="I877" s="135" t="str">
        <f t="shared" si="878"/>
        <v/>
      </c>
      <c r="J877" s="140" t="str">
        <f t="shared" si="3"/>
        <v/>
      </c>
      <c r="K877" s="140" t="str">
        <f t="shared" si="4"/>
        <v/>
      </c>
    </row>
    <row r="878" ht="22.5" customHeight="1">
      <c r="A878" s="140"/>
      <c r="B878" s="135" t="str">
        <f t="array" ref="B878">IF(A878="","",VLOOKUP(A878,INDIRECT("CXC!A2:B"&amp;COUNTA(CXC!A:A)),2,FALSE))</f>
        <v/>
      </c>
      <c r="C878" s="136" t="str">
        <f t="array" ref="C878">IF(A878="","",VLOOKUP(A878,INDIRECT("CXC!A2:C"&amp;COUNTA(CXC!A:A)),3,FALSE))</f>
        <v/>
      </c>
      <c r="D878" s="137" t="str">
        <f t="array" ref="D878">IF(A878="","",VLOOKUP(A878,INDIRECT("CXC!A2:H"&amp;COUNTA(CXC!A:A)),8,FALSE))</f>
        <v/>
      </c>
      <c r="E878" s="137" t="str">
        <f t="array" ref="E878">IFERROR(IF(A878="","",VLOOKUP(A878,INDIRECT("HISTÓRICO COBROS!A3:E"&amp;COUNTA('HISTÓRICO COBROS'!A:A)),5,FALSE)),"")</f>
        <v/>
      </c>
      <c r="F878" s="137" t="str">
        <f t="array" ref="F878">IF(A878="","",VLOOKUP(A878,INDIRECT("CXC!A2:I"&amp;COUNTA(CXC!A:A)),9,FALSE))</f>
        <v/>
      </c>
      <c r="G878" s="137" t="str">
        <f t="array" ref="G878">IFERROR(IF(A878="","",VLOOKUP(A878,INDIRECT("HISTÓRICO COBROS!A3:F"&amp;COUNTA('HISTÓRICO COBROS'!A:A)),6,FALSE)),"")</f>
        <v/>
      </c>
      <c r="H878" s="138" t="str">
        <f t="shared" ref="H878:I878" si="879">IF(D878="","",D878+F878)</f>
        <v/>
      </c>
      <c r="I878" s="135" t="str">
        <f t="shared" si="879"/>
        <v/>
      </c>
      <c r="J878" s="140" t="str">
        <f t="shared" si="3"/>
        <v/>
      </c>
      <c r="K878" s="140" t="str">
        <f t="shared" si="4"/>
        <v/>
      </c>
    </row>
    <row r="879" ht="22.5" customHeight="1">
      <c r="A879" s="140"/>
      <c r="B879" s="135" t="str">
        <f t="array" ref="B879">IF(A879="","",VLOOKUP(A879,INDIRECT("CXC!A2:B"&amp;COUNTA(CXC!A:A)),2,FALSE))</f>
        <v/>
      </c>
      <c r="C879" s="136" t="str">
        <f t="array" ref="C879">IF(A879="","",VLOOKUP(A879,INDIRECT("CXC!A2:C"&amp;COUNTA(CXC!A:A)),3,FALSE))</f>
        <v/>
      </c>
      <c r="D879" s="137" t="str">
        <f t="array" ref="D879">IF(A879="","",VLOOKUP(A879,INDIRECT("CXC!A2:H"&amp;COUNTA(CXC!A:A)),8,FALSE))</f>
        <v/>
      </c>
      <c r="E879" s="137" t="str">
        <f t="array" ref="E879">IFERROR(IF(A879="","",VLOOKUP(A879,INDIRECT("HISTÓRICO COBROS!A3:E"&amp;COUNTA('HISTÓRICO COBROS'!A:A)),5,FALSE)),"")</f>
        <v/>
      </c>
      <c r="F879" s="137" t="str">
        <f t="array" ref="F879">IF(A879="","",VLOOKUP(A879,INDIRECT("CXC!A2:I"&amp;COUNTA(CXC!A:A)),9,FALSE))</f>
        <v/>
      </c>
      <c r="G879" s="137" t="str">
        <f t="array" ref="G879">IFERROR(IF(A879="","",VLOOKUP(A879,INDIRECT("HISTÓRICO COBROS!A3:F"&amp;COUNTA('HISTÓRICO COBROS'!A:A)),6,FALSE)),"")</f>
        <v/>
      </c>
      <c r="H879" s="138" t="str">
        <f t="shared" ref="H879:I879" si="880">IF(D879="","",D879+F879)</f>
        <v/>
      </c>
      <c r="I879" s="135" t="str">
        <f t="shared" si="880"/>
        <v/>
      </c>
      <c r="J879" s="140" t="str">
        <f t="shared" si="3"/>
        <v/>
      </c>
      <c r="K879" s="140" t="str">
        <f t="shared" si="4"/>
        <v/>
      </c>
    </row>
    <row r="880" ht="22.5" customHeight="1">
      <c r="A880" s="140"/>
      <c r="B880" s="135" t="str">
        <f t="array" ref="B880">IF(A880="","",VLOOKUP(A880,INDIRECT("CXC!A2:B"&amp;COUNTA(CXC!A:A)),2,FALSE))</f>
        <v/>
      </c>
      <c r="C880" s="136" t="str">
        <f t="array" ref="C880">IF(A880="","",VLOOKUP(A880,INDIRECT("CXC!A2:C"&amp;COUNTA(CXC!A:A)),3,FALSE))</f>
        <v/>
      </c>
      <c r="D880" s="137" t="str">
        <f t="array" ref="D880">IF(A880="","",VLOOKUP(A880,INDIRECT("CXC!A2:H"&amp;COUNTA(CXC!A:A)),8,FALSE))</f>
        <v/>
      </c>
      <c r="E880" s="137" t="str">
        <f t="array" ref="E880">IFERROR(IF(A880="","",VLOOKUP(A880,INDIRECT("HISTÓRICO COBROS!A3:E"&amp;COUNTA('HISTÓRICO COBROS'!A:A)),5,FALSE)),"")</f>
        <v/>
      </c>
      <c r="F880" s="137" t="str">
        <f t="array" ref="F880">IF(A880="","",VLOOKUP(A880,INDIRECT("CXC!A2:I"&amp;COUNTA(CXC!A:A)),9,FALSE))</f>
        <v/>
      </c>
      <c r="G880" s="137" t="str">
        <f t="array" ref="G880">IFERROR(IF(A880="","",VLOOKUP(A880,INDIRECT("HISTÓRICO COBROS!A3:F"&amp;COUNTA('HISTÓRICO COBROS'!A:A)),6,FALSE)),"")</f>
        <v/>
      </c>
      <c r="H880" s="138" t="str">
        <f t="shared" ref="H880:I880" si="881">IF(D880="","",D880+F880)</f>
        <v/>
      </c>
      <c r="I880" s="135" t="str">
        <f t="shared" si="881"/>
        <v/>
      </c>
      <c r="J880" s="140" t="str">
        <f t="shared" si="3"/>
        <v/>
      </c>
      <c r="K880" s="140" t="str">
        <f t="shared" si="4"/>
        <v/>
      </c>
    </row>
    <row r="881" ht="22.5" customHeight="1">
      <c r="A881" s="140"/>
      <c r="B881" s="135" t="str">
        <f t="array" ref="B881">IF(A881="","",VLOOKUP(A881,INDIRECT("CXC!A2:B"&amp;COUNTA(CXC!A:A)),2,FALSE))</f>
        <v/>
      </c>
      <c r="C881" s="136" t="str">
        <f t="array" ref="C881">IF(A881="","",VLOOKUP(A881,INDIRECT("CXC!A2:C"&amp;COUNTA(CXC!A:A)),3,FALSE))</f>
        <v/>
      </c>
      <c r="D881" s="137" t="str">
        <f t="array" ref="D881">IF(A881="","",VLOOKUP(A881,INDIRECT("CXC!A2:H"&amp;COUNTA(CXC!A:A)),8,FALSE))</f>
        <v/>
      </c>
      <c r="E881" s="137" t="str">
        <f t="array" ref="E881">IFERROR(IF(A881="","",VLOOKUP(A881,INDIRECT("HISTÓRICO COBROS!A3:E"&amp;COUNTA('HISTÓRICO COBROS'!A:A)),5,FALSE)),"")</f>
        <v/>
      </c>
      <c r="F881" s="137" t="str">
        <f t="array" ref="F881">IF(A881="","",VLOOKUP(A881,INDIRECT("CXC!A2:I"&amp;COUNTA(CXC!A:A)),9,FALSE))</f>
        <v/>
      </c>
      <c r="G881" s="137" t="str">
        <f t="array" ref="G881">IFERROR(IF(A881="","",VLOOKUP(A881,INDIRECT("HISTÓRICO COBROS!A3:F"&amp;COUNTA('HISTÓRICO COBROS'!A:A)),6,FALSE)),"")</f>
        <v/>
      </c>
      <c r="H881" s="138" t="str">
        <f t="shared" ref="H881:I881" si="882">IF(D881="","",D881+F881)</f>
        <v/>
      </c>
      <c r="I881" s="135" t="str">
        <f t="shared" si="882"/>
        <v/>
      </c>
      <c r="J881" s="140" t="str">
        <f t="shared" si="3"/>
        <v/>
      </c>
      <c r="K881" s="140" t="str">
        <f t="shared" si="4"/>
        <v/>
      </c>
    </row>
    <row r="882" ht="22.5" customHeight="1">
      <c r="A882" s="140"/>
      <c r="B882" s="135" t="str">
        <f t="array" ref="B882">IF(A882="","",VLOOKUP(A882,INDIRECT("CXC!A2:B"&amp;COUNTA(CXC!A:A)),2,FALSE))</f>
        <v/>
      </c>
      <c r="C882" s="136" t="str">
        <f t="array" ref="C882">IF(A882="","",VLOOKUP(A882,INDIRECT("CXC!A2:C"&amp;COUNTA(CXC!A:A)),3,FALSE))</f>
        <v/>
      </c>
      <c r="D882" s="137" t="str">
        <f t="array" ref="D882">IF(A882="","",VLOOKUP(A882,INDIRECT("CXC!A2:H"&amp;COUNTA(CXC!A:A)),8,FALSE))</f>
        <v/>
      </c>
      <c r="E882" s="137" t="str">
        <f t="array" ref="E882">IFERROR(IF(A882="","",VLOOKUP(A882,INDIRECT("HISTÓRICO COBROS!A3:E"&amp;COUNTA('HISTÓRICO COBROS'!A:A)),5,FALSE)),"")</f>
        <v/>
      </c>
      <c r="F882" s="137" t="str">
        <f t="array" ref="F882">IF(A882="","",VLOOKUP(A882,INDIRECT("CXC!A2:I"&amp;COUNTA(CXC!A:A)),9,FALSE))</f>
        <v/>
      </c>
      <c r="G882" s="137" t="str">
        <f t="array" ref="G882">IFERROR(IF(A882="","",VLOOKUP(A882,INDIRECT("HISTÓRICO COBROS!A3:F"&amp;COUNTA('HISTÓRICO COBROS'!A:A)),6,FALSE)),"")</f>
        <v/>
      </c>
      <c r="H882" s="138" t="str">
        <f t="shared" ref="H882:I882" si="883">IF(D882="","",D882+F882)</f>
        <v/>
      </c>
      <c r="I882" s="135" t="str">
        <f t="shared" si="883"/>
        <v/>
      </c>
      <c r="J882" s="140" t="str">
        <f t="shared" si="3"/>
        <v/>
      </c>
      <c r="K882" s="140" t="str">
        <f t="shared" si="4"/>
        <v/>
      </c>
    </row>
    <row r="883" ht="22.5" customHeight="1">
      <c r="A883" s="140"/>
      <c r="B883" s="135" t="str">
        <f t="array" ref="B883">IF(A883="","",VLOOKUP(A883,INDIRECT("CXC!A2:B"&amp;COUNTA(CXC!A:A)),2,FALSE))</f>
        <v/>
      </c>
      <c r="C883" s="136" t="str">
        <f t="array" ref="C883">IF(A883="","",VLOOKUP(A883,INDIRECT("CXC!A2:C"&amp;COUNTA(CXC!A:A)),3,FALSE))</f>
        <v/>
      </c>
      <c r="D883" s="137" t="str">
        <f t="array" ref="D883">IF(A883="","",VLOOKUP(A883,INDIRECT("CXC!A2:H"&amp;COUNTA(CXC!A:A)),8,FALSE))</f>
        <v/>
      </c>
      <c r="E883" s="137" t="str">
        <f t="array" ref="E883">IFERROR(IF(A883="","",VLOOKUP(A883,INDIRECT("HISTÓRICO COBROS!A3:E"&amp;COUNTA('HISTÓRICO COBROS'!A:A)),5,FALSE)),"")</f>
        <v/>
      </c>
      <c r="F883" s="137" t="str">
        <f t="array" ref="F883">IF(A883="","",VLOOKUP(A883,INDIRECT("CXC!A2:I"&amp;COUNTA(CXC!A:A)),9,FALSE))</f>
        <v/>
      </c>
      <c r="G883" s="137" t="str">
        <f t="array" ref="G883">IFERROR(IF(A883="","",VLOOKUP(A883,INDIRECT("HISTÓRICO COBROS!A3:F"&amp;COUNTA('HISTÓRICO COBROS'!A:A)),6,FALSE)),"")</f>
        <v/>
      </c>
      <c r="H883" s="138" t="str">
        <f t="shared" ref="H883:I883" si="884">IF(D883="","",D883+F883)</f>
        <v/>
      </c>
      <c r="I883" s="135" t="str">
        <f t="shared" si="884"/>
        <v/>
      </c>
      <c r="J883" s="140" t="str">
        <f t="shared" si="3"/>
        <v/>
      </c>
      <c r="K883" s="140" t="str">
        <f t="shared" si="4"/>
        <v/>
      </c>
    </row>
    <row r="884" ht="22.5" customHeight="1">
      <c r="A884" s="140"/>
      <c r="B884" s="135" t="str">
        <f t="array" ref="B884">IF(A884="","",VLOOKUP(A884,INDIRECT("CXC!A2:B"&amp;COUNTA(CXC!A:A)),2,FALSE))</f>
        <v/>
      </c>
      <c r="C884" s="136" t="str">
        <f t="array" ref="C884">IF(A884="","",VLOOKUP(A884,INDIRECT("CXC!A2:C"&amp;COUNTA(CXC!A:A)),3,FALSE))</f>
        <v/>
      </c>
      <c r="D884" s="137" t="str">
        <f t="array" ref="D884">IF(A884="","",VLOOKUP(A884,INDIRECT("CXC!A2:H"&amp;COUNTA(CXC!A:A)),8,FALSE))</f>
        <v/>
      </c>
      <c r="E884" s="137" t="str">
        <f t="array" ref="E884">IFERROR(IF(A884="","",VLOOKUP(A884,INDIRECT("HISTÓRICO COBROS!A3:E"&amp;COUNTA('HISTÓRICO COBROS'!A:A)),5,FALSE)),"")</f>
        <v/>
      </c>
      <c r="F884" s="137" t="str">
        <f t="array" ref="F884">IF(A884="","",VLOOKUP(A884,INDIRECT("CXC!A2:I"&amp;COUNTA(CXC!A:A)),9,FALSE))</f>
        <v/>
      </c>
      <c r="G884" s="137" t="str">
        <f t="array" ref="G884">IFERROR(IF(A884="","",VLOOKUP(A884,INDIRECT("HISTÓRICO COBROS!A3:F"&amp;COUNTA('HISTÓRICO COBROS'!A:A)),6,FALSE)),"")</f>
        <v/>
      </c>
      <c r="H884" s="138" t="str">
        <f t="shared" ref="H884:I884" si="885">IF(D884="","",D884+F884)</f>
        <v/>
      </c>
      <c r="I884" s="135" t="str">
        <f t="shared" si="885"/>
        <v/>
      </c>
      <c r="J884" s="140" t="str">
        <f t="shared" si="3"/>
        <v/>
      </c>
      <c r="K884" s="140" t="str">
        <f t="shared" si="4"/>
        <v/>
      </c>
    </row>
    <row r="885" ht="22.5" customHeight="1">
      <c r="A885" s="140"/>
      <c r="B885" s="135" t="str">
        <f t="array" ref="B885">IF(A885="","",VLOOKUP(A885,INDIRECT("CXC!A2:B"&amp;COUNTA(CXC!A:A)),2,FALSE))</f>
        <v/>
      </c>
      <c r="C885" s="136" t="str">
        <f t="array" ref="C885">IF(A885="","",VLOOKUP(A885,INDIRECT("CXC!A2:C"&amp;COUNTA(CXC!A:A)),3,FALSE))</f>
        <v/>
      </c>
      <c r="D885" s="137" t="str">
        <f t="array" ref="D885">IF(A885="","",VLOOKUP(A885,INDIRECT("CXC!A2:H"&amp;COUNTA(CXC!A:A)),8,FALSE))</f>
        <v/>
      </c>
      <c r="E885" s="137" t="str">
        <f t="array" ref="E885">IFERROR(IF(A885="","",VLOOKUP(A885,INDIRECT("HISTÓRICO COBROS!A3:E"&amp;COUNTA('HISTÓRICO COBROS'!A:A)),5,FALSE)),"")</f>
        <v/>
      </c>
      <c r="F885" s="137" t="str">
        <f t="array" ref="F885">IF(A885="","",VLOOKUP(A885,INDIRECT("CXC!A2:I"&amp;COUNTA(CXC!A:A)),9,FALSE))</f>
        <v/>
      </c>
      <c r="G885" s="137" t="str">
        <f t="array" ref="G885">IFERROR(IF(A885="","",VLOOKUP(A885,INDIRECT("HISTÓRICO COBROS!A3:F"&amp;COUNTA('HISTÓRICO COBROS'!A:A)),6,FALSE)),"")</f>
        <v/>
      </c>
      <c r="H885" s="138" t="str">
        <f t="shared" ref="H885:I885" si="886">IF(D885="","",D885+F885)</f>
        <v/>
      </c>
      <c r="I885" s="135" t="str">
        <f t="shared" si="886"/>
        <v/>
      </c>
      <c r="J885" s="140" t="str">
        <f t="shared" si="3"/>
        <v/>
      </c>
      <c r="K885" s="140" t="str">
        <f t="shared" si="4"/>
        <v/>
      </c>
    </row>
    <row r="886" ht="22.5" customHeight="1">
      <c r="A886" s="140"/>
      <c r="B886" s="135" t="str">
        <f t="array" ref="B886">IF(A886="","",VLOOKUP(A886,INDIRECT("CXC!A2:B"&amp;COUNTA(CXC!A:A)),2,FALSE))</f>
        <v/>
      </c>
      <c r="C886" s="136" t="str">
        <f t="array" ref="C886">IF(A886="","",VLOOKUP(A886,INDIRECT("CXC!A2:C"&amp;COUNTA(CXC!A:A)),3,FALSE))</f>
        <v/>
      </c>
      <c r="D886" s="137" t="str">
        <f t="array" ref="D886">IF(A886="","",VLOOKUP(A886,INDIRECT("CXC!A2:H"&amp;COUNTA(CXC!A:A)),8,FALSE))</f>
        <v/>
      </c>
      <c r="E886" s="137" t="str">
        <f t="array" ref="E886">IFERROR(IF(A886="","",VLOOKUP(A886,INDIRECT("HISTÓRICO COBROS!A3:E"&amp;COUNTA('HISTÓRICO COBROS'!A:A)),5,FALSE)),"")</f>
        <v/>
      </c>
      <c r="F886" s="137" t="str">
        <f t="array" ref="F886">IF(A886="","",VLOOKUP(A886,INDIRECT("CXC!A2:I"&amp;COUNTA(CXC!A:A)),9,FALSE))</f>
        <v/>
      </c>
      <c r="G886" s="137" t="str">
        <f t="array" ref="G886">IFERROR(IF(A886="","",VLOOKUP(A886,INDIRECT("HISTÓRICO COBROS!A3:F"&amp;COUNTA('HISTÓRICO COBROS'!A:A)),6,FALSE)),"")</f>
        <v/>
      </c>
      <c r="H886" s="138" t="str">
        <f t="shared" ref="H886:I886" si="887">IF(D886="","",D886+F886)</f>
        <v/>
      </c>
      <c r="I886" s="135" t="str">
        <f t="shared" si="887"/>
        <v/>
      </c>
      <c r="J886" s="140" t="str">
        <f t="shared" si="3"/>
        <v/>
      </c>
      <c r="K886" s="140" t="str">
        <f t="shared" si="4"/>
        <v/>
      </c>
    </row>
    <row r="887" ht="22.5" customHeight="1">
      <c r="A887" s="140"/>
      <c r="B887" s="135" t="str">
        <f t="array" ref="B887">IF(A887="","",VLOOKUP(A887,INDIRECT("CXC!A2:B"&amp;COUNTA(CXC!A:A)),2,FALSE))</f>
        <v/>
      </c>
      <c r="C887" s="136" t="str">
        <f t="array" ref="C887">IF(A887="","",VLOOKUP(A887,INDIRECT("CXC!A2:C"&amp;COUNTA(CXC!A:A)),3,FALSE))</f>
        <v/>
      </c>
      <c r="D887" s="137" t="str">
        <f t="array" ref="D887">IF(A887="","",VLOOKUP(A887,INDIRECT("CXC!A2:H"&amp;COUNTA(CXC!A:A)),8,FALSE))</f>
        <v/>
      </c>
      <c r="E887" s="137" t="str">
        <f t="array" ref="E887">IFERROR(IF(A887="","",VLOOKUP(A887,INDIRECT("HISTÓRICO COBROS!A3:E"&amp;COUNTA('HISTÓRICO COBROS'!A:A)),5,FALSE)),"")</f>
        <v/>
      </c>
      <c r="F887" s="137" t="str">
        <f t="array" ref="F887">IF(A887="","",VLOOKUP(A887,INDIRECT("CXC!A2:I"&amp;COUNTA(CXC!A:A)),9,FALSE))</f>
        <v/>
      </c>
      <c r="G887" s="137" t="str">
        <f t="array" ref="G887">IFERROR(IF(A887="","",VLOOKUP(A887,INDIRECT("HISTÓRICO COBROS!A3:F"&amp;COUNTA('HISTÓRICO COBROS'!A:A)),6,FALSE)),"")</f>
        <v/>
      </c>
      <c r="H887" s="138" t="str">
        <f t="shared" ref="H887:I887" si="888">IF(D887="","",D887+F887)</f>
        <v/>
      </c>
      <c r="I887" s="135" t="str">
        <f t="shared" si="888"/>
        <v/>
      </c>
      <c r="J887" s="140" t="str">
        <f t="shared" si="3"/>
        <v/>
      </c>
      <c r="K887" s="140" t="str">
        <f t="shared" si="4"/>
        <v/>
      </c>
    </row>
    <row r="888" ht="22.5" customHeight="1">
      <c r="A888" s="140"/>
      <c r="B888" s="135" t="str">
        <f t="array" ref="B888">IF(A888="","",VLOOKUP(A888,INDIRECT("CXC!A2:B"&amp;COUNTA(CXC!A:A)),2,FALSE))</f>
        <v/>
      </c>
      <c r="C888" s="136" t="str">
        <f t="array" ref="C888">IF(A888="","",VLOOKUP(A888,INDIRECT("CXC!A2:C"&amp;COUNTA(CXC!A:A)),3,FALSE))</f>
        <v/>
      </c>
      <c r="D888" s="137" t="str">
        <f t="array" ref="D888">IF(A888="","",VLOOKUP(A888,INDIRECT("CXC!A2:H"&amp;COUNTA(CXC!A:A)),8,FALSE))</f>
        <v/>
      </c>
      <c r="E888" s="137" t="str">
        <f t="array" ref="E888">IFERROR(IF(A888="","",VLOOKUP(A888,INDIRECT("HISTÓRICO COBROS!A3:E"&amp;COUNTA('HISTÓRICO COBROS'!A:A)),5,FALSE)),"")</f>
        <v/>
      </c>
      <c r="F888" s="137" t="str">
        <f t="array" ref="F888">IF(A888="","",VLOOKUP(A888,INDIRECT("CXC!A2:I"&amp;COUNTA(CXC!A:A)),9,FALSE))</f>
        <v/>
      </c>
      <c r="G888" s="137" t="str">
        <f t="array" ref="G888">IFERROR(IF(A888="","",VLOOKUP(A888,INDIRECT("HISTÓRICO COBROS!A3:F"&amp;COUNTA('HISTÓRICO COBROS'!A:A)),6,FALSE)),"")</f>
        <v/>
      </c>
      <c r="H888" s="138" t="str">
        <f t="shared" ref="H888:I888" si="889">IF(D888="","",D888+F888)</f>
        <v/>
      </c>
      <c r="I888" s="135" t="str">
        <f t="shared" si="889"/>
        <v/>
      </c>
      <c r="J888" s="140" t="str">
        <f t="shared" si="3"/>
        <v/>
      </c>
      <c r="K888" s="140" t="str">
        <f t="shared" si="4"/>
        <v/>
      </c>
    </row>
    <row r="889" ht="22.5" customHeight="1">
      <c r="A889" s="140"/>
      <c r="B889" s="135" t="str">
        <f t="array" ref="B889">IF(A889="","",VLOOKUP(A889,INDIRECT("CXC!A2:B"&amp;COUNTA(CXC!A:A)),2,FALSE))</f>
        <v/>
      </c>
      <c r="C889" s="136" t="str">
        <f t="array" ref="C889">IF(A889="","",VLOOKUP(A889,INDIRECT("CXC!A2:C"&amp;COUNTA(CXC!A:A)),3,FALSE))</f>
        <v/>
      </c>
      <c r="D889" s="137" t="str">
        <f t="array" ref="D889">IF(A889="","",VLOOKUP(A889,INDIRECT("CXC!A2:H"&amp;COUNTA(CXC!A:A)),8,FALSE))</f>
        <v/>
      </c>
      <c r="E889" s="137" t="str">
        <f t="array" ref="E889">IFERROR(IF(A889="","",VLOOKUP(A889,INDIRECT("HISTÓRICO COBROS!A3:E"&amp;COUNTA('HISTÓRICO COBROS'!A:A)),5,FALSE)),"")</f>
        <v/>
      </c>
      <c r="F889" s="137" t="str">
        <f t="array" ref="F889">IF(A889="","",VLOOKUP(A889,INDIRECT("CXC!A2:I"&amp;COUNTA(CXC!A:A)),9,FALSE))</f>
        <v/>
      </c>
      <c r="G889" s="137" t="str">
        <f t="array" ref="G889">IFERROR(IF(A889="","",VLOOKUP(A889,INDIRECT("HISTÓRICO COBROS!A3:F"&amp;COUNTA('HISTÓRICO COBROS'!A:A)),6,FALSE)),"")</f>
        <v/>
      </c>
      <c r="H889" s="138" t="str">
        <f t="shared" ref="H889:I889" si="890">IF(D889="","",D889+F889)</f>
        <v/>
      </c>
      <c r="I889" s="135" t="str">
        <f t="shared" si="890"/>
        <v/>
      </c>
      <c r="J889" s="140" t="str">
        <f t="shared" si="3"/>
        <v/>
      </c>
      <c r="K889" s="140" t="str">
        <f t="shared" si="4"/>
        <v/>
      </c>
    </row>
    <row r="890" ht="22.5" customHeight="1">
      <c r="A890" s="140"/>
      <c r="B890" s="135" t="str">
        <f t="array" ref="B890">IF(A890="","",VLOOKUP(A890,INDIRECT("CXC!A2:B"&amp;COUNTA(CXC!A:A)),2,FALSE))</f>
        <v/>
      </c>
      <c r="C890" s="136" t="str">
        <f t="array" ref="C890">IF(A890="","",VLOOKUP(A890,INDIRECT("CXC!A2:C"&amp;COUNTA(CXC!A:A)),3,FALSE))</f>
        <v/>
      </c>
      <c r="D890" s="137" t="str">
        <f t="array" ref="D890">IF(A890="","",VLOOKUP(A890,INDIRECT("CXC!A2:H"&amp;COUNTA(CXC!A:A)),8,FALSE))</f>
        <v/>
      </c>
      <c r="E890" s="137" t="str">
        <f t="array" ref="E890">IFERROR(IF(A890="","",VLOOKUP(A890,INDIRECT("HISTÓRICO COBROS!A3:E"&amp;COUNTA('HISTÓRICO COBROS'!A:A)),5,FALSE)),"")</f>
        <v/>
      </c>
      <c r="F890" s="137" t="str">
        <f t="array" ref="F890">IF(A890="","",VLOOKUP(A890,INDIRECT("CXC!A2:I"&amp;COUNTA(CXC!A:A)),9,FALSE))</f>
        <v/>
      </c>
      <c r="G890" s="137" t="str">
        <f t="array" ref="G890">IFERROR(IF(A890="","",VLOOKUP(A890,INDIRECT("HISTÓRICO COBROS!A3:F"&amp;COUNTA('HISTÓRICO COBROS'!A:A)),6,FALSE)),"")</f>
        <v/>
      </c>
      <c r="H890" s="138" t="str">
        <f t="shared" ref="H890:I890" si="891">IF(D890="","",D890+F890)</f>
        <v/>
      </c>
      <c r="I890" s="135" t="str">
        <f t="shared" si="891"/>
        <v/>
      </c>
      <c r="J890" s="140" t="str">
        <f t="shared" si="3"/>
        <v/>
      </c>
      <c r="K890" s="140" t="str">
        <f t="shared" si="4"/>
        <v/>
      </c>
    </row>
    <row r="891" ht="22.5" customHeight="1">
      <c r="A891" s="140"/>
      <c r="B891" s="135" t="str">
        <f t="array" ref="B891">IF(A891="","",VLOOKUP(A891,INDIRECT("CXC!A2:B"&amp;COUNTA(CXC!A:A)),2,FALSE))</f>
        <v/>
      </c>
      <c r="C891" s="136" t="str">
        <f t="array" ref="C891">IF(A891="","",VLOOKUP(A891,INDIRECT("CXC!A2:C"&amp;COUNTA(CXC!A:A)),3,FALSE))</f>
        <v/>
      </c>
      <c r="D891" s="137" t="str">
        <f t="array" ref="D891">IF(A891="","",VLOOKUP(A891,INDIRECT("CXC!A2:H"&amp;COUNTA(CXC!A:A)),8,FALSE))</f>
        <v/>
      </c>
      <c r="E891" s="137" t="str">
        <f t="array" ref="E891">IFERROR(IF(A891="","",VLOOKUP(A891,INDIRECT("HISTÓRICO COBROS!A3:E"&amp;COUNTA('HISTÓRICO COBROS'!A:A)),5,FALSE)),"")</f>
        <v/>
      </c>
      <c r="F891" s="137" t="str">
        <f t="array" ref="F891">IF(A891="","",VLOOKUP(A891,INDIRECT("CXC!A2:I"&amp;COUNTA(CXC!A:A)),9,FALSE))</f>
        <v/>
      </c>
      <c r="G891" s="137" t="str">
        <f t="array" ref="G891">IFERROR(IF(A891="","",VLOOKUP(A891,INDIRECT("HISTÓRICO COBROS!A3:F"&amp;COUNTA('HISTÓRICO COBROS'!A:A)),6,FALSE)),"")</f>
        <v/>
      </c>
      <c r="H891" s="138" t="str">
        <f t="shared" ref="H891:I891" si="892">IF(D891="","",D891+F891)</f>
        <v/>
      </c>
      <c r="I891" s="135" t="str">
        <f t="shared" si="892"/>
        <v/>
      </c>
      <c r="J891" s="140" t="str">
        <f t="shared" si="3"/>
        <v/>
      </c>
      <c r="K891" s="140" t="str">
        <f t="shared" si="4"/>
        <v/>
      </c>
    </row>
    <row r="892" ht="22.5" customHeight="1">
      <c r="A892" s="140"/>
      <c r="B892" s="135" t="str">
        <f t="array" ref="B892">IF(A892="","",VLOOKUP(A892,INDIRECT("CXC!A2:B"&amp;COUNTA(CXC!A:A)),2,FALSE))</f>
        <v/>
      </c>
      <c r="C892" s="136" t="str">
        <f t="array" ref="C892">IF(A892="","",VLOOKUP(A892,INDIRECT("CXC!A2:C"&amp;COUNTA(CXC!A:A)),3,FALSE))</f>
        <v/>
      </c>
      <c r="D892" s="137" t="str">
        <f t="array" ref="D892">IF(A892="","",VLOOKUP(A892,INDIRECT("CXC!A2:H"&amp;COUNTA(CXC!A:A)),8,FALSE))</f>
        <v/>
      </c>
      <c r="E892" s="137" t="str">
        <f t="array" ref="E892">IFERROR(IF(A892="","",VLOOKUP(A892,INDIRECT("HISTÓRICO COBROS!A3:E"&amp;COUNTA('HISTÓRICO COBROS'!A:A)),5,FALSE)),"")</f>
        <v/>
      </c>
      <c r="F892" s="137" t="str">
        <f t="array" ref="F892">IF(A892="","",VLOOKUP(A892,INDIRECT("CXC!A2:I"&amp;COUNTA(CXC!A:A)),9,FALSE))</f>
        <v/>
      </c>
      <c r="G892" s="137" t="str">
        <f t="array" ref="G892">IFERROR(IF(A892="","",VLOOKUP(A892,INDIRECT("HISTÓRICO COBROS!A3:F"&amp;COUNTA('HISTÓRICO COBROS'!A:A)),6,FALSE)),"")</f>
        <v/>
      </c>
      <c r="H892" s="138" t="str">
        <f t="shared" ref="H892:I892" si="893">IF(D892="","",D892+F892)</f>
        <v/>
      </c>
      <c r="I892" s="135" t="str">
        <f t="shared" si="893"/>
        <v/>
      </c>
      <c r="J892" s="140" t="str">
        <f t="shared" si="3"/>
        <v/>
      </c>
      <c r="K892" s="140" t="str">
        <f t="shared" si="4"/>
        <v/>
      </c>
    </row>
    <row r="893" ht="22.5" customHeight="1">
      <c r="A893" s="140"/>
      <c r="B893" s="135" t="str">
        <f t="array" ref="B893">IF(A893="","",VLOOKUP(A893,INDIRECT("CXC!A2:B"&amp;COUNTA(CXC!A:A)),2,FALSE))</f>
        <v/>
      </c>
      <c r="C893" s="136" t="str">
        <f t="array" ref="C893">IF(A893="","",VLOOKUP(A893,INDIRECT("CXC!A2:C"&amp;COUNTA(CXC!A:A)),3,FALSE))</f>
        <v/>
      </c>
      <c r="D893" s="137" t="str">
        <f t="array" ref="D893">IF(A893="","",VLOOKUP(A893,INDIRECT("CXC!A2:H"&amp;COUNTA(CXC!A:A)),8,FALSE))</f>
        <v/>
      </c>
      <c r="E893" s="137" t="str">
        <f t="array" ref="E893">IFERROR(IF(A893="","",VLOOKUP(A893,INDIRECT("HISTÓRICO COBROS!A3:E"&amp;COUNTA('HISTÓRICO COBROS'!A:A)),5,FALSE)),"")</f>
        <v/>
      </c>
      <c r="F893" s="137" t="str">
        <f t="array" ref="F893">IF(A893="","",VLOOKUP(A893,INDIRECT("CXC!A2:I"&amp;COUNTA(CXC!A:A)),9,FALSE))</f>
        <v/>
      </c>
      <c r="G893" s="137" t="str">
        <f t="array" ref="G893">IFERROR(IF(A893="","",VLOOKUP(A893,INDIRECT("HISTÓRICO COBROS!A3:F"&amp;COUNTA('HISTÓRICO COBROS'!A:A)),6,FALSE)),"")</f>
        <v/>
      </c>
      <c r="H893" s="138" t="str">
        <f t="shared" ref="H893:I893" si="894">IF(D893="","",D893+F893)</f>
        <v/>
      </c>
      <c r="I893" s="135" t="str">
        <f t="shared" si="894"/>
        <v/>
      </c>
      <c r="J893" s="140" t="str">
        <f t="shared" si="3"/>
        <v/>
      </c>
      <c r="K893" s="140" t="str">
        <f t="shared" si="4"/>
        <v/>
      </c>
    </row>
    <row r="894" ht="22.5" customHeight="1">
      <c r="A894" s="140"/>
      <c r="B894" s="135" t="str">
        <f t="array" ref="B894">IF(A894="","",VLOOKUP(A894,INDIRECT("CXC!A2:B"&amp;COUNTA(CXC!A:A)),2,FALSE))</f>
        <v/>
      </c>
      <c r="C894" s="136" t="str">
        <f t="array" ref="C894">IF(A894="","",VLOOKUP(A894,INDIRECT("CXC!A2:C"&amp;COUNTA(CXC!A:A)),3,FALSE))</f>
        <v/>
      </c>
      <c r="D894" s="137" t="str">
        <f t="array" ref="D894">IF(A894="","",VLOOKUP(A894,INDIRECT("CXC!A2:H"&amp;COUNTA(CXC!A:A)),8,FALSE))</f>
        <v/>
      </c>
      <c r="E894" s="137" t="str">
        <f t="array" ref="E894">IFERROR(IF(A894="","",VLOOKUP(A894,INDIRECT("HISTÓRICO COBROS!A3:E"&amp;COUNTA('HISTÓRICO COBROS'!A:A)),5,FALSE)),"")</f>
        <v/>
      </c>
      <c r="F894" s="137" t="str">
        <f t="array" ref="F894">IF(A894="","",VLOOKUP(A894,INDIRECT("CXC!A2:I"&amp;COUNTA(CXC!A:A)),9,FALSE))</f>
        <v/>
      </c>
      <c r="G894" s="137" t="str">
        <f t="array" ref="G894">IFERROR(IF(A894="","",VLOOKUP(A894,INDIRECT("HISTÓRICO COBROS!A3:F"&amp;COUNTA('HISTÓRICO COBROS'!A:A)),6,FALSE)),"")</f>
        <v/>
      </c>
      <c r="H894" s="138" t="str">
        <f t="shared" ref="H894:I894" si="895">IF(D894="","",D894+F894)</f>
        <v/>
      </c>
      <c r="I894" s="135" t="str">
        <f t="shared" si="895"/>
        <v/>
      </c>
      <c r="J894" s="140" t="str">
        <f t="shared" si="3"/>
        <v/>
      </c>
      <c r="K894" s="140" t="str">
        <f t="shared" si="4"/>
        <v/>
      </c>
    </row>
    <row r="895" ht="22.5" customHeight="1">
      <c r="A895" s="140"/>
      <c r="B895" s="135" t="str">
        <f t="array" ref="B895">IF(A895="","",VLOOKUP(A895,INDIRECT("CXC!A2:B"&amp;COUNTA(CXC!A:A)),2,FALSE))</f>
        <v/>
      </c>
      <c r="C895" s="136" t="str">
        <f t="array" ref="C895">IF(A895="","",VLOOKUP(A895,INDIRECT("CXC!A2:C"&amp;COUNTA(CXC!A:A)),3,FALSE))</f>
        <v/>
      </c>
      <c r="D895" s="137" t="str">
        <f t="array" ref="D895">IF(A895="","",VLOOKUP(A895,INDIRECT("CXC!A2:H"&amp;COUNTA(CXC!A:A)),8,FALSE))</f>
        <v/>
      </c>
      <c r="E895" s="137" t="str">
        <f t="array" ref="E895">IFERROR(IF(A895="","",VLOOKUP(A895,INDIRECT("HISTÓRICO COBROS!A3:E"&amp;COUNTA('HISTÓRICO COBROS'!A:A)),5,FALSE)),"")</f>
        <v/>
      </c>
      <c r="F895" s="137" t="str">
        <f t="array" ref="F895">IF(A895="","",VLOOKUP(A895,INDIRECT("CXC!A2:I"&amp;COUNTA(CXC!A:A)),9,FALSE))</f>
        <v/>
      </c>
      <c r="G895" s="137" t="str">
        <f t="array" ref="G895">IFERROR(IF(A895="","",VLOOKUP(A895,INDIRECT("HISTÓRICO COBROS!A3:F"&amp;COUNTA('HISTÓRICO COBROS'!A:A)),6,FALSE)),"")</f>
        <v/>
      </c>
      <c r="H895" s="138" t="str">
        <f t="shared" ref="H895:I895" si="896">IF(D895="","",D895+F895)</f>
        <v/>
      </c>
      <c r="I895" s="135" t="str">
        <f t="shared" si="896"/>
        <v/>
      </c>
      <c r="J895" s="140" t="str">
        <f t="shared" si="3"/>
        <v/>
      </c>
      <c r="K895" s="140" t="str">
        <f t="shared" si="4"/>
        <v/>
      </c>
    </row>
    <row r="896" ht="22.5" customHeight="1">
      <c r="A896" s="140"/>
      <c r="B896" s="135" t="str">
        <f t="array" ref="B896">IF(A896="","",VLOOKUP(A896,INDIRECT("CXC!A2:B"&amp;COUNTA(CXC!A:A)),2,FALSE))</f>
        <v/>
      </c>
      <c r="C896" s="136" t="str">
        <f t="array" ref="C896">IF(A896="","",VLOOKUP(A896,INDIRECT("CXC!A2:C"&amp;COUNTA(CXC!A:A)),3,FALSE))</f>
        <v/>
      </c>
      <c r="D896" s="137" t="str">
        <f t="array" ref="D896">IF(A896="","",VLOOKUP(A896,INDIRECT("CXC!A2:H"&amp;COUNTA(CXC!A:A)),8,FALSE))</f>
        <v/>
      </c>
      <c r="E896" s="137" t="str">
        <f t="array" ref="E896">IFERROR(IF(A896="","",VLOOKUP(A896,INDIRECT("HISTÓRICO COBROS!A3:E"&amp;COUNTA('HISTÓRICO COBROS'!A:A)),5,FALSE)),"")</f>
        <v/>
      </c>
      <c r="F896" s="137" t="str">
        <f t="array" ref="F896">IF(A896="","",VLOOKUP(A896,INDIRECT("CXC!A2:I"&amp;COUNTA(CXC!A:A)),9,FALSE))</f>
        <v/>
      </c>
      <c r="G896" s="137" t="str">
        <f t="array" ref="G896">IFERROR(IF(A896="","",VLOOKUP(A896,INDIRECT("HISTÓRICO COBROS!A3:F"&amp;COUNTA('HISTÓRICO COBROS'!A:A)),6,FALSE)),"")</f>
        <v/>
      </c>
      <c r="H896" s="138" t="str">
        <f t="shared" ref="H896:I896" si="897">IF(D896="","",D896+F896)</f>
        <v/>
      </c>
      <c r="I896" s="135" t="str">
        <f t="shared" si="897"/>
        <v/>
      </c>
      <c r="J896" s="140" t="str">
        <f t="shared" si="3"/>
        <v/>
      </c>
      <c r="K896" s="140" t="str">
        <f t="shared" si="4"/>
        <v/>
      </c>
    </row>
    <row r="897" ht="22.5" customHeight="1">
      <c r="A897" s="140"/>
      <c r="B897" s="135" t="str">
        <f t="array" ref="B897">IF(A897="","",VLOOKUP(A897,INDIRECT("CXC!A2:B"&amp;COUNTA(CXC!A:A)),2,FALSE))</f>
        <v/>
      </c>
      <c r="C897" s="136" t="str">
        <f t="array" ref="C897">IF(A897="","",VLOOKUP(A897,INDIRECT("CXC!A2:C"&amp;COUNTA(CXC!A:A)),3,FALSE))</f>
        <v/>
      </c>
      <c r="D897" s="137" t="str">
        <f t="array" ref="D897">IF(A897="","",VLOOKUP(A897,INDIRECT("CXC!A2:H"&amp;COUNTA(CXC!A:A)),8,FALSE))</f>
        <v/>
      </c>
      <c r="E897" s="137" t="str">
        <f t="array" ref="E897">IFERROR(IF(A897="","",VLOOKUP(A897,INDIRECT("HISTÓRICO COBROS!A3:E"&amp;COUNTA('HISTÓRICO COBROS'!A:A)),5,FALSE)),"")</f>
        <v/>
      </c>
      <c r="F897" s="137" t="str">
        <f t="array" ref="F897">IF(A897="","",VLOOKUP(A897,INDIRECT("CXC!A2:I"&amp;COUNTA(CXC!A:A)),9,FALSE))</f>
        <v/>
      </c>
      <c r="G897" s="137" t="str">
        <f t="array" ref="G897">IFERROR(IF(A897="","",VLOOKUP(A897,INDIRECT("HISTÓRICO COBROS!A3:F"&amp;COUNTA('HISTÓRICO COBROS'!A:A)),6,FALSE)),"")</f>
        <v/>
      </c>
      <c r="H897" s="138" t="str">
        <f t="shared" ref="H897:I897" si="898">IF(D897="","",D897+F897)</f>
        <v/>
      </c>
      <c r="I897" s="135" t="str">
        <f t="shared" si="898"/>
        <v/>
      </c>
      <c r="J897" s="140" t="str">
        <f t="shared" si="3"/>
        <v/>
      </c>
      <c r="K897" s="140" t="str">
        <f t="shared" si="4"/>
        <v/>
      </c>
    </row>
    <row r="898" ht="22.5" customHeight="1">
      <c r="A898" s="140"/>
      <c r="B898" s="135" t="str">
        <f t="array" ref="B898">IF(A898="","",VLOOKUP(A898,INDIRECT("CXC!A2:B"&amp;COUNTA(CXC!A:A)),2,FALSE))</f>
        <v/>
      </c>
      <c r="C898" s="136" t="str">
        <f t="array" ref="C898">IF(A898="","",VLOOKUP(A898,INDIRECT("CXC!A2:C"&amp;COUNTA(CXC!A:A)),3,FALSE))</f>
        <v/>
      </c>
      <c r="D898" s="137" t="str">
        <f t="array" ref="D898">IF(A898="","",VLOOKUP(A898,INDIRECT("CXC!A2:H"&amp;COUNTA(CXC!A:A)),8,FALSE))</f>
        <v/>
      </c>
      <c r="E898" s="137" t="str">
        <f t="array" ref="E898">IFERROR(IF(A898="","",VLOOKUP(A898,INDIRECT("HISTÓRICO COBROS!A3:E"&amp;COUNTA('HISTÓRICO COBROS'!A:A)),5,FALSE)),"")</f>
        <v/>
      </c>
      <c r="F898" s="137" t="str">
        <f t="array" ref="F898">IF(A898="","",VLOOKUP(A898,INDIRECT("CXC!A2:I"&amp;COUNTA(CXC!A:A)),9,FALSE))</f>
        <v/>
      </c>
      <c r="G898" s="137" t="str">
        <f t="array" ref="G898">IFERROR(IF(A898="","",VLOOKUP(A898,INDIRECT("HISTÓRICO COBROS!A3:F"&amp;COUNTA('HISTÓRICO COBROS'!A:A)),6,FALSE)),"")</f>
        <v/>
      </c>
      <c r="H898" s="138" t="str">
        <f t="shared" ref="H898:I898" si="899">IF(D898="","",D898+F898)</f>
        <v/>
      </c>
      <c r="I898" s="135" t="str">
        <f t="shared" si="899"/>
        <v/>
      </c>
      <c r="J898" s="140" t="str">
        <f t="shared" si="3"/>
        <v/>
      </c>
      <c r="K898" s="140" t="str">
        <f t="shared" si="4"/>
        <v/>
      </c>
    </row>
    <row r="899" ht="22.5" customHeight="1">
      <c r="A899" s="140"/>
      <c r="B899" s="135" t="str">
        <f t="array" ref="B899">IF(A899="","",VLOOKUP(A899,INDIRECT("CXC!A2:B"&amp;COUNTA(CXC!A:A)),2,FALSE))</f>
        <v/>
      </c>
      <c r="C899" s="136" t="str">
        <f t="array" ref="C899">IF(A899="","",VLOOKUP(A899,INDIRECT("CXC!A2:C"&amp;COUNTA(CXC!A:A)),3,FALSE))</f>
        <v/>
      </c>
      <c r="D899" s="137" t="str">
        <f t="array" ref="D899">IF(A899="","",VLOOKUP(A899,INDIRECT("CXC!A2:H"&amp;COUNTA(CXC!A:A)),8,FALSE))</f>
        <v/>
      </c>
      <c r="E899" s="137" t="str">
        <f t="array" ref="E899">IFERROR(IF(A899="","",VLOOKUP(A899,INDIRECT("HISTÓRICO COBROS!A3:E"&amp;COUNTA('HISTÓRICO COBROS'!A:A)),5,FALSE)),"")</f>
        <v/>
      </c>
      <c r="F899" s="137" t="str">
        <f t="array" ref="F899">IF(A899="","",VLOOKUP(A899,INDIRECT("CXC!A2:I"&amp;COUNTA(CXC!A:A)),9,FALSE))</f>
        <v/>
      </c>
      <c r="G899" s="137" t="str">
        <f t="array" ref="G899">IFERROR(IF(A899="","",VLOOKUP(A899,INDIRECT("HISTÓRICO COBROS!A3:F"&amp;COUNTA('HISTÓRICO COBROS'!A:A)),6,FALSE)),"")</f>
        <v/>
      </c>
      <c r="H899" s="138" t="str">
        <f t="shared" ref="H899:I899" si="900">IF(D899="","",D899+F899)</f>
        <v/>
      </c>
      <c r="I899" s="135" t="str">
        <f t="shared" si="900"/>
        <v/>
      </c>
      <c r="J899" s="140" t="str">
        <f t="shared" si="3"/>
        <v/>
      </c>
      <c r="K899" s="140" t="str">
        <f t="shared" si="4"/>
        <v/>
      </c>
    </row>
    <row r="900" ht="22.5" customHeight="1">
      <c r="A900" s="140"/>
      <c r="B900" s="135" t="str">
        <f t="array" ref="B900">IF(A900="","",VLOOKUP(A900,INDIRECT("CXC!A2:B"&amp;COUNTA(CXC!A:A)),2,FALSE))</f>
        <v/>
      </c>
      <c r="C900" s="136" t="str">
        <f t="array" ref="C900">IF(A900="","",VLOOKUP(A900,INDIRECT("CXC!A2:C"&amp;COUNTA(CXC!A:A)),3,FALSE))</f>
        <v/>
      </c>
      <c r="D900" s="137" t="str">
        <f t="array" ref="D900">IF(A900="","",VLOOKUP(A900,INDIRECT("CXC!A2:H"&amp;COUNTA(CXC!A:A)),8,FALSE))</f>
        <v/>
      </c>
      <c r="E900" s="137" t="str">
        <f t="array" ref="E900">IFERROR(IF(A900="","",VLOOKUP(A900,INDIRECT("HISTÓRICO COBROS!A3:E"&amp;COUNTA('HISTÓRICO COBROS'!A:A)),5,FALSE)),"")</f>
        <v/>
      </c>
      <c r="F900" s="137" t="str">
        <f t="array" ref="F900">IF(A900="","",VLOOKUP(A900,INDIRECT("CXC!A2:I"&amp;COUNTA(CXC!A:A)),9,FALSE))</f>
        <v/>
      </c>
      <c r="G900" s="137" t="str">
        <f t="array" ref="G900">IFERROR(IF(A900="","",VLOOKUP(A900,INDIRECT("HISTÓRICO COBROS!A3:F"&amp;COUNTA('HISTÓRICO COBROS'!A:A)),6,FALSE)),"")</f>
        <v/>
      </c>
      <c r="H900" s="138" t="str">
        <f t="shared" ref="H900:I900" si="901">IF(D900="","",D900+F900)</f>
        <v/>
      </c>
      <c r="I900" s="135" t="str">
        <f t="shared" si="901"/>
        <v/>
      </c>
      <c r="J900" s="140" t="str">
        <f t="shared" si="3"/>
        <v/>
      </c>
      <c r="K900" s="140" t="str">
        <f t="shared" si="4"/>
        <v/>
      </c>
    </row>
    <row r="901" ht="22.5" customHeight="1">
      <c r="A901" s="140"/>
      <c r="B901" s="135" t="str">
        <f t="array" ref="B901">IF(A901="","",VLOOKUP(A901,INDIRECT("CXC!A2:B"&amp;COUNTA(CXC!A:A)),2,FALSE))</f>
        <v/>
      </c>
      <c r="C901" s="136" t="str">
        <f t="array" ref="C901">IF(A901="","",VLOOKUP(A901,INDIRECT("CXC!A2:C"&amp;COUNTA(CXC!A:A)),3,FALSE))</f>
        <v/>
      </c>
      <c r="D901" s="137" t="str">
        <f t="array" ref="D901">IF(A901="","",VLOOKUP(A901,INDIRECT("CXC!A2:H"&amp;COUNTA(CXC!A:A)),8,FALSE))</f>
        <v/>
      </c>
      <c r="E901" s="137" t="str">
        <f t="array" ref="E901">IFERROR(IF(A901="","",VLOOKUP(A901,INDIRECT("HISTÓRICO COBROS!A3:E"&amp;COUNTA('HISTÓRICO COBROS'!A:A)),5,FALSE)),"")</f>
        <v/>
      </c>
      <c r="F901" s="137" t="str">
        <f t="array" ref="F901">IF(A901="","",VLOOKUP(A901,INDIRECT("CXC!A2:I"&amp;COUNTA(CXC!A:A)),9,FALSE))</f>
        <v/>
      </c>
      <c r="G901" s="137" t="str">
        <f t="array" ref="G901">IFERROR(IF(A901="","",VLOOKUP(A901,INDIRECT("HISTÓRICO COBROS!A3:F"&amp;COUNTA('HISTÓRICO COBROS'!A:A)),6,FALSE)),"")</f>
        <v/>
      </c>
      <c r="H901" s="138" t="str">
        <f t="shared" ref="H901:I901" si="902">IF(D901="","",D901+F901)</f>
        <v/>
      </c>
      <c r="I901" s="135" t="str">
        <f t="shared" si="902"/>
        <v/>
      </c>
      <c r="J901" s="140" t="str">
        <f t="shared" si="3"/>
        <v/>
      </c>
      <c r="K901" s="140" t="str">
        <f t="shared" si="4"/>
        <v/>
      </c>
    </row>
    <row r="902" ht="22.5" customHeight="1">
      <c r="A902" s="140"/>
      <c r="B902" s="135" t="str">
        <f t="array" ref="B902">IF(A902="","",VLOOKUP(A902,INDIRECT("CXC!A2:B"&amp;COUNTA(CXC!A:A)),2,FALSE))</f>
        <v/>
      </c>
      <c r="C902" s="136" t="str">
        <f t="array" ref="C902">IF(A902="","",VLOOKUP(A902,INDIRECT("CXC!A2:C"&amp;COUNTA(CXC!A:A)),3,FALSE))</f>
        <v/>
      </c>
      <c r="D902" s="137" t="str">
        <f t="array" ref="D902">IF(A902="","",VLOOKUP(A902,INDIRECT("CXC!A2:H"&amp;COUNTA(CXC!A:A)),8,FALSE))</f>
        <v/>
      </c>
      <c r="E902" s="137" t="str">
        <f t="array" ref="E902">IFERROR(IF(A902="","",VLOOKUP(A902,INDIRECT("HISTÓRICO COBROS!A3:E"&amp;COUNTA('HISTÓRICO COBROS'!A:A)),5,FALSE)),"")</f>
        <v/>
      </c>
      <c r="F902" s="137" t="str">
        <f t="array" ref="F902">IF(A902="","",VLOOKUP(A902,INDIRECT("CXC!A2:I"&amp;COUNTA(CXC!A:A)),9,FALSE))</f>
        <v/>
      </c>
      <c r="G902" s="137" t="str">
        <f t="array" ref="G902">IFERROR(IF(A902="","",VLOOKUP(A902,INDIRECT("HISTÓRICO COBROS!A3:F"&amp;COUNTA('HISTÓRICO COBROS'!A:A)),6,FALSE)),"")</f>
        <v/>
      </c>
      <c r="H902" s="138" t="str">
        <f t="shared" ref="H902:I902" si="903">IF(D902="","",D902+F902)</f>
        <v/>
      </c>
      <c r="I902" s="135" t="str">
        <f t="shared" si="903"/>
        <v/>
      </c>
      <c r="J902" s="140" t="str">
        <f t="shared" si="3"/>
        <v/>
      </c>
      <c r="K902" s="140" t="str">
        <f t="shared" si="4"/>
        <v/>
      </c>
    </row>
    <row r="903" ht="22.5" customHeight="1">
      <c r="A903" s="140"/>
      <c r="B903" s="135" t="str">
        <f t="array" ref="B903">IF(A903="","",VLOOKUP(A903,INDIRECT("CXC!A2:B"&amp;COUNTA(CXC!A:A)),2,FALSE))</f>
        <v/>
      </c>
      <c r="C903" s="136" t="str">
        <f t="array" ref="C903">IF(A903="","",VLOOKUP(A903,INDIRECT("CXC!A2:C"&amp;COUNTA(CXC!A:A)),3,FALSE))</f>
        <v/>
      </c>
      <c r="D903" s="137" t="str">
        <f t="array" ref="D903">IF(A903="","",VLOOKUP(A903,INDIRECT("CXC!A2:H"&amp;COUNTA(CXC!A:A)),8,FALSE))</f>
        <v/>
      </c>
      <c r="E903" s="137" t="str">
        <f t="array" ref="E903">IFERROR(IF(A903="","",VLOOKUP(A903,INDIRECT("HISTÓRICO COBROS!A3:E"&amp;COUNTA('HISTÓRICO COBROS'!A:A)),5,FALSE)),"")</f>
        <v/>
      </c>
      <c r="F903" s="137" t="str">
        <f t="array" ref="F903">IF(A903="","",VLOOKUP(A903,INDIRECT("CXC!A2:I"&amp;COUNTA(CXC!A:A)),9,FALSE))</f>
        <v/>
      </c>
      <c r="G903" s="137" t="str">
        <f t="array" ref="G903">IFERROR(IF(A903="","",VLOOKUP(A903,INDIRECT("HISTÓRICO COBROS!A3:F"&amp;COUNTA('HISTÓRICO COBROS'!A:A)),6,FALSE)),"")</f>
        <v/>
      </c>
      <c r="H903" s="138" t="str">
        <f t="shared" ref="H903:I903" si="904">IF(D903="","",D903+F903)</f>
        <v/>
      </c>
      <c r="I903" s="135" t="str">
        <f t="shared" si="904"/>
        <v/>
      </c>
      <c r="J903" s="140" t="str">
        <f t="shared" si="3"/>
        <v/>
      </c>
      <c r="K903" s="140" t="str">
        <f t="shared" si="4"/>
        <v/>
      </c>
    </row>
    <row r="904" ht="22.5" customHeight="1">
      <c r="A904" s="140"/>
      <c r="B904" s="135" t="str">
        <f t="array" ref="B904">IF(A904="","",VLOOKUP(A904,INDIRECT("CXC!A2:B"&amp;COUNTA(CXC!A:A)),2,FALSE))</f>
        <v/>
      </c>
      <c r="C904" s="136" t="str">
        <f t="array" ref="C904">IF(A904="","",VLOOKUP(A904,INDIRECT("CXC!A2:C"&amp;COUNTA(CXC!A:A)),3,FALSE))</f>
        <v/>
      </c>
      <c r="D904" s="137" t="str">
        <f t="array" ref="D904">IF(A904="","",VLOOKUP(A904,INDIRECT("CXC!A2:H"&amp;COUNTA(CXC!A:A)),8,FALSE))</f>
        <v/>
      </c>
      <c r="E904" s="137" t="str">
        <f t="array" ref="E904">IFERROR(IF(A904="","",VLOOKUP(A904,INDIRECT("HISTÓRICO COBROS!A3:E"&amp;COUNTA('HISTÓRICO COBROS'!A:A)),5,FALSE)),"")</f>
        <v/>
      </c>
      <c r="F904" s="137" t="str">
        <f t="array" ref="F904">IF(A904="","",VLOOKUP(A904,INDIRECT("CXC!A2:I"&amp;COUNTA(CXC!A:A)),9,FALSE))</f>
        <v/>
      </c>
      <c r="G904" s="137" t="str">
        <f t="array" ref="G904">IFERROR(IF(A904="","",VLOOKUP(A904,INDIRECT("HISTÓRICO COBROS!A3:F"&amp;COUNTA('HISTÓRICO COBROS'!A:A)),6,FALSE)),"")</f>
        <v/>
      </c>
      <c r="H904" s="138" t="str">
        <f t="shared" ref="H904:I904" si="905">IF(D904="","",D904+F904)</f>
        <v/>
      </c>
      <c r="I904" s="135" t="str">
        <f t="shared" si="905"/>
        <v/>
      </c>
      <c r="J904" s="140" t="str">
        <f t="shared" si="3"/>
        <v/>
      </c>
      <c r="K904" s="140" t="str">
        <f t="shared" si="4"/>
        <v/>
      </c>
    </row>
    <row r="905" ht="22.5" customHeight="1">
      <c r="A905" s="140"/>
      <c r="B905" s="135" t="str">
        <f t="array" ref="B905">IF(A905="","",VLOOKUP(A905,INDIRECT("CXC!A2:B"&amp;COUNTA(CXC!A:A)),2,FALSE))</f>
        <v/>
      </c>
      <c r="C905" s="136" t="str">
        <f t="array" ref="C905">IF(A905="","",VLOOKUP(A905,INDIRECT("CXC!A2:C"&amp;COUNTA(CXC!A:A)),3,FALSE))</f>
        <v/>
      </c>
      <c r="D905" s="137" t="str">
        <f t="array" ref="D905">IF(A905="","",VLOOKUP(A905,INDIRECT("CXC!A2:H"&amp;COUNTA(CXC!A:A)),8,FALSE))</f>
        <v/>
      </c>
      <c r="E905" s="137" t="str">
        <f t="array" ref="E905">IFERROR(IF(A905="","",VLOOKUP(A905,INDIRECT("HISTÓRICO COBROS!A3:E"&amp;COUNTA('HISTÓRICO COBROS'!A:A)),5,FALSE)),"")</f>
        <v/>
      </c>
      <c r="F905" s="137" t="str">
        <f t="array" ref="F905">IF(A905="","",VLOOKUP(A905,INDIRECT("CXC!A2:I"&amp;COUNTA(CXC!A:A)),9,FALSE))</f>
        <v/>
      </c>
      <c r="G905" s="137" t="str">
        <f t="array" ref="G905">IFERROR(IF(A905="","",VLOOKUP(A905,INDIRECT("HISTÓRICO COBROS!A3:F"&amp;COUNTA('HISTÓRICO COBROS'!A:A)),6,FALSE)),"")</f>
        <v/>
      </c>
      <c r="H905" s="138" t="str">
        <f t="shared" ref="H905:I905" si="906">IF(D905="","",D905+F905)</f>
        <v/>
      </c>
      <c r="I905" s="135" t="str">
        <f t="shared" si="906"/>
        <v/>
      </c>
      <c r="J905" s="140" t="str">
        <f t="shared" si="3"/>
        <v/>
      </c>
      <c r="K905" s="140" t="str">
        <f t="shared" si="4"/>
        <v/>
      </c>
    </row>
    <row r="906" ht="22.5" customHeight="1">
      <c r="A906" s="140"/>
      <c r="B906" s="135" t="str">
        <f t="array" ref="B906">IF(A906="","",VLOOKUP(A906,INDIRECT("CXC!A2:B"&amp;COUNTA(CXC!A:A)),2,FALSE))</f>
        <v/>
      </c>
      <c r="C906" s="136" t="str">
        <f t="array" ref="C906">IF(A906="","",VLOOKUP(A906,INDIRECT("CXC!A2:C"&amp;COUNTA(CXC!A:A)),3,FALSE))</f>
        <v/>
      </c>
      <c r="D906" s="137" t="str">
        <f t="array" ref="D906">IF(A906="","",VLOOKUP(A906,INDIRECT("CXC!A2:H"&amp;COUNTA(CXC!A:A)),8,FALSE))</f>
        <v/>
      </c>
      <c r="E906" s="137" t="str">
        <f t="array" ref="E906">IFERROR(IF(A906="","",VLOOKUP(A906,INDIRECT("HISTÓRICO COBROS!A3:E"&amp;COUNTA('HISTÓRICO COBROS'!A:A)),5,FALSE)),"")</f>
        <v/>
      </c>
      <c r="F906" s="137" t="str">
        <f t="array" ref="F906">IF(A906="","",VLOOKUP(A906,INDIRECT("CXC!A2:I"&amp;COUNTA(CXC!A:A)),9,FALSE))</f>
        <v/>
      </c>
      <c r="G906" s="137" t="str">
        <f t="array" ref="G906">IFERROR(IF(A906="","",VLOOKUP(A906,INDIRECT("HISTÓRICO COBROS!A3:F"&amp;COUNTA('HISTÓRICO COBROS'!A:A)),6,FALSE)),"")</f>
        <v/>
      </c>
      <c r="H906" s="138" t="str">
        <f t="shared" ref="H906:I906" si="907">IF(D906="","",D906+F906)</f>
        <v/>
      </c>
      <c r="I906" s="135" t="str">
        <f t="shared" si="907"/>
        <v/>
      </c>
      <c r="J906" s="140" t="str">
        <f t="shared" si="3"/>
        <v/>
      </c>
      <c r="K906" s="140" t="str">
        <f t="shared" si="4"/>
        <v/>
      </c>
    </row>
    <row r="907" ht="22.5" customHeight="1">
      <c r="A907" s="140"/>
      <c r="B907" s="135" t="str">
        <f t="array" ref="B907">IF(A907="","",VLOOKUP(A907,INDIRECT("CXC!A2:B"&amp;COUNTA(CXC!A:A)),2,FALSE))</f>
        <v/>
      </c>
      <c r="C907" s="136" t="str">
        <f t="array" ref="C907">IF(A907="","",VLOOKUP(A907,INDIRECT("CXC!A2:C"&amp;COUNTA(CXC!A:A)),3,FALSE))</f>
        <v/>
      </c>
      <c r="D907" s="137" t="str">
        <f t="array" ref="D907">IF(A907="","",VLOOKUP(A907,INDIRECT("CXC!A2:H"&amp;COUNTA(CXC!A:A)),8,FALSE))</f>
        <v/>
      </c>
      <c r="E907" s="137" t="str">
        <f t="array" ref="E907">IFERROR(IF(A907="","",VLOOKUP(A907,INDIRECT("HISTÓRICO COBROS!A3:E"&amp;COUNTA('HISTÓRICO COBROS'!A:A)),5,FALSE)),"")</f>
        <v/>
      </c>
      <c r="F907" s="137" t="str">
        <f t="array" ref="F907">IF(A907="","",VLOOKUP(A907,INDIRECT("CXC!A2:I"&amp;COUNTA(CXC!A:A)),9,FALSE))</f>
        <v/>
      </c>
      <c r="G907" s="137" t="str">
        <f t="array" ref="G907">IFERROR(IF(A907="","",VLOOKUP(A907,INDIRECT("HISTÓRICO COBROS!A3:F"&amp;COUNTA('HISTÓRICO COBROS'!A:A)),6,FALSE)),"")</f>
        <v/>
      </c>
      <c r="H907" s="138" t="str">
        <f t="shared" ref="H907:I907" si="908">IF(D907="","",D907+F907)</f>
        <v/>
      </c>
      <c r="I907" s="135" t="str">
        <f t="shared" si="908"/>
        <v/>
      </c>
      <c r="J907" s="140" t="str">
        <f t="shared" si="3"/>
        <v/>
      </c>
      <c r="K907" s="140" t="str">
        <f t="shared" si="4"/>
        <v/>
      </c>
    </row>
    <row r="908" ht="22.5" customHeight="1">
      <c r="A908" s="140"/>
      <c r="B908" s="135" t="str">
        <f t="array" ref="B908">IF(A908="","",VLOOKUP(A908,INDIRECT("CXC!A2:B"&amp;COUNTA(CXC!A:A)),2,FALSE))</f>
        <v/>
      </c>
      <c r="C908" s="136" t="str">
        <f t="array" ref="C908">IF(A908="","",VLOOKUP(A908,INDIRECT("CXC!A2:C"&amp;COUNTA(CXC!A:A)),3,FALSE))</f>
        <v/>
      </c>
      <c r="D908" s="137" t="str">
        <f t="array" ref="D908">IF(A908="","",VLOOKUP(A908,INDIRECT("CXC!A2:H"&amp;COUNTA(CXC!A:A)),8,FALSE))</f>
        <v/>
      </c>
      <c r="E908" s="137" t="str">
        <f t="array" ref="E908">IFERROR(IF(A908="","",VLOOKUP(A908,INDIRECT("HISTÓRICO COBROS!A3:E"&amp;COUNTA('HISTÓRICO COBROS'!A:A)),5,FALSE)),"")</f>
        <v/>
      </c>
      <c r="F908" s="137" t="str">
        <f t="array" ref="F908">IF(A908="","",VLOOKUP(A908,INDIRECT("CXC!A2:I"&amp;COUNTA(CXC!A:A)),9,FALSE))</f>
        <v/>
      </c>
      <c r="G908" s="137" t="str">
        <f t="array" ref="G908">IFERROR(IF(A908="","",VLOOKUP(A908,INDIRECT("HISTÓRICO COBROS!A3:F"&amp;COUNTA('HISTÓRICO COBROS'!A:A)),6,FALSE)),"")</f>
        <v/>
      </c>
      <c r="H908" s="138" t="str">
        <f t="shared" ref="H908:I908" si="909">IF(D908="","",D908+F908)</f>
        <v/>
      </c>
      <c r="I908" s="135" t="str">
        <f t="shared" si="909"/>
        <v/>
      </c>
      <c r="J908" s="140" t="str">
        <f t="shared" si="3"/>
        <v/>
      </c>
      <c r="K908" s="140" t="str">
        <f t="shared" si="4"/>
        <v/>
      </c>
    </row>
    <row r="909" ht="22.5" customHeight="1">
      <c r="A909" s="140"/>
      <c r="B909" s="135" t="str">
        <f t="array" ref="B909">IF(A909="","",VLOOKUP(A909,INDIRECT("CXC!A2:B"&amp;COUNTA(CXC!A:A)),2,FALSE))</f>
        <v/>
      </c>
      <c r="C909" s="136" t="str">
        <f t="array" ref="C909">IF(A909="","",VLOOKUP(A909,INDIRECT("CXC!A2:C"&amp;COUNTA(CXC!A:A)),3,FALSE))</f>
        <v/>
      </c>
      <c r="D909" s="137" t="str">
        <f t="array" ref="D909">IF(A909="","",VLOOKUP(A909,INDIRECT("CXC!A2:H"&amp;COUNTA(CXC!A:A)),8,FALSE))</f>
        <v/>
      </c>
      <c r="E909" s="137" t="str">
        <f t="array" ref="E909">IFERROR(IF(A909="","",VLOOKUP(A909,INDIRECT("HISTÓRICO COBROS!A3:E"&amp;COUNTA('HISTÓRICO COBROS'!A:A)),5,FALSE)),"")</f>
        <v/>
      </c>
      <c r="F909" s="137" t="str">
        <f t="array" ref="F909">IF(A909="","",VLOOKUP(A909,INDIRECT("CXC!A2:I"&amp;COUNTA(CXC!A:A)),9,FALSE))</f>
        <v/>
      </c>
      <c r="G909" s="137" t="str">
        <f t="array" ref="G909">IFERROR(IF(A909="","",VLOOKUP(A909,INDIRECT("HISTÓRICO COBROS!A3:F"&amp;COUNTA('HISTÓRICO COBROS'!A:A)),6,FALSE)),"")</f>
        <v/>
      </c>
      <c r="H909" s="138" t="str">
        <f t="shared" ref="H909:I909" si="910">IF(D909="","",D909+F909)</f>
        <v/>
      </c>
      <c r="I909" s="135" t="str">
        <f t="shared" si="910"/>
        <v/>
      </c>
      <c r="J909" s="140" t="str">
        <f t="shared" si="3"/>
        <v/>
      </c>
      <c r="K909" s="140" t="str">
        <f t="shared" si="4"/>
        <v/>
      </c>
    </row>
    <row r="910" ht="22.5" customHeight="1">
      <c r="A910" s="140"/>
      <c r="B910" s="135" t="str">
        <f t="array" ref="B910">IF(A910="","",VLOOKUP(A910,INDIRECT("CXC!A2:B"&amp;COUNTA(CXC!A:A)),2,FALSE))</f>
        <v/>
      </c>
      <c r="C910" s="136" t="str">
        <f t="array" ref="C910">IF(A910="","",VLOOKUP(A910,INDIRECT("CXC!A2:C"&amp;COUNTA(CXC!A:A)),3,FALSE))</f>
        <v/>
      </c>
      <c r="D910" s="137" t="str">
        <f t="array" ref="D910">IF(A910="","",VLOOKUP(A910,INDIRECT("CXC!A2:H"&amp;COUNTA(CXC!A:A)),8,FALSE))</f>
        <v/>
      </c>
      <c r="E910" s="137" t="str">
        <f t="array" ref="E910">IFERROR(IF(A910="","",VLOOKUP(A910,INDIRECT("HISTÓRICO COBROS!A3:E"&amp;COUNTA('HISTÓRICO COBROS'!A:A)),5,FALSE)),"")</f>
        <v/>
      </c>
      <c r="F910" s="137" t="str">
        <f t="array" ref="F910">IF(A910="","",VLOOKUP(A910,INDIRECT("CXC!A2:I"&amp;COUNTA(CXC!A:A)),9,FALSE))</f>
        <v/>
      </c>
      <c r="G910" s="137" t="str">
        <f t="array" ref="G910">IFERROR(IF(A910="","",VLOOKUP(A910,INDIRECT("HISTÓRICO COBROS!A3:F"&amp;COUNTA('HISTÓRICO COBROS'!A:A)),6,FALSE)),"")</f>
        <v/>
      </c>
      <c r="H910" s="138" t="str">
        <f t="shared" ref="H910:I910" si="911">IF(D910="","",D910+F910)</f>
        <v/>
      </c>
      <c r="I910" s="135" t="str">
        <f t="shared" si="911"/>
        <v/>
      </c>
      <c r="J910" s="140" t="str">
        <f t="shared" si="3"/>
        <v/>
      </c>
      <c r="K910" s="140" t="str">
        <f t="shared" si="4"/>
        <v/>
      </c>
    </row>
    <row r="911" ht="22.5" customHeight="1">
      <c r="A911" s="140"/>
      <c r="B911" s="135" t="str">
        <f t="array" ref="B911">IF(A911="","",VLOOKUP(A911,INDIRECT("CXC!A2:B"&amp;COUNTA(CXC!A:A)),2,FALSE))</f>
        <v/>
      </c>
      <c r="C911" s="136" t="str">
        <f t="array" ref="C911">IF(A911="","",VLOOKUP(A911,INDIRECT("CXC!A2:C"&amp;COUNTA(CXC!A:A)),3,FALSE))</f>
        <v/>
      </c>
      <c r="D911" s="137" t="str">
        <f t="array" ref="D911">IF(A911="","",VLOOKUP(A911,INDIRECT("CXC!A2:H"&amp;COUNTA(CXC!A:A)),8,FALSE))</f>
        <v/>
      </c>
      <c r="E911" s="137" t="str">
        <f t="array" ref="E911">IFERROR(IF(A911="","",VLOOKUP(A911,INDIRECT("HISTÓRICO COBROS!A3:E"&amp;COUNTA('HISTÓRICO COBROS'!A:A)),5,FALSE)),"")</f>
        <v/>
      </c>
      <c r="F911" s="137" t="str">
        <f t="array" ref="F911">IF(A911="","",VLOOKUP(A911,INDIRECT("CXC!A2:I"&amp;COUNTA(CXC!A:A)),9,FALSE))</f>
        <v/>
      </c>
      <c r="G911" s="137" t="str">
        <f t="array" ref="G911">IFERROR(IF(A911="","",VLOOKUP(A911,INDIRECT("HISTÓRICO COBROS!A3:F"&amp;COUNTA('HISTÓRICO COBROS'!A:A)),6,FALSE)),"")</f>
        <v/>
      </c>
      <c r="H911" s="138" t="str">
        <f t="shared" ref="H911:I911" si="912">IF(D911="","",D911+F911)</f>
        <v/>
      </c>
      <c r="I911" s="135" t="str">
        <f t="shared" si="912"/>
        <v/>
      </c>
      <c r="J911" s="140" t="str">
        <f t="shared" si="3"/>
        <v/>
      </c>
      <c r="K911" s="140" t="str">
        <f t="shared" si="4"/>
        <v/>
      </c>
    </row>
    <row r="912" ht="22.5" customHeight="1">
      <c r="A912" s="140"/>
      <c r="B912" s="135" t="str">
        <f t="array" ref="B912">IF(A912="","",VLOOKUP(A912,INDIRECT("CXC!A2:B"&amp;COUNTA(CXC!A:A)),2,FALSE))</f>
        <v/>
      </c>
      <c r="C912" s="136" t="str">
        <f t="array" ref="C912">IF(A912="","",VLOOKUP(A912,INDIRECT("CXC!A2:C"&amp;COUNTA(CXC!A:A)),3,FALSE))</f>
        <v/>
      </c>
      <c r="D912" s="137" t="str">
        <f t="array" ref="D912">IF(A912="","",VLOOKUP(A912,INDIRECT("CXC!A2:H"&amp;COUNTA(CXC!A:A)),8,FALSE))</f>
        <v/>
      </c>
      <c r="E912" s="137" t="str">
        <f t="array" ref="E912">IFERROR(IF(A912="","",VLOOKUP(A912,INDIRECT("HISTÓRICO COBROS!A3:E"&amp;COUNTA('HISTÓRICO COBROS'!A:A)),5,FALSE)),"")</f>
        <v/>
      </c>
      <c r="F912" s="137" t="str">
        <f t="array" ref="F912">IF(A912="","",VLOOKUP(A912,INDIRECT("CXC!A2:I"&amp;COUNTA(CXC!A:A)),9,FALSE))</f>
        <v/>
      </c>
      <c r="G912" s="137" t="str">
        <f t="array" ref="G912">IFERROR(IF(A912="","",VLOOKUP(A912,INDIRECT("HISTÓRICO COBROS!A3:F"&amp;COUNTA('HISTÓRICO COBROS'!A:A)),6,FALSE)),"")</f>
        <v/>
      </c>
      <c r="H912" s="138" t="str">
        <f t="shared" ref="H912:I912" si="913">IF(D912="","",D912+F912)</f>
        <v/>
      </c>
      <c r="I912" s="135" t="str">
        <f t="shared" si="913"/>
        <v/>
      </c>
      <c r="J912" s="140" t="str">
        <f t="shared" si="3"/>
        <v/>
      </c>
      <c r="K912" s="140" t="str">
        <f t="shared" si="4"/>
        <v/>
      </c>
    </row>
    <row r="913" ht="22.5" customHeight="1">
      <c r="A913" s="140"/>
      <c r="B913" s="135" t="str">
        <f t="array" ref="B913">IF(A913="","",VLOOKUP(A913,INDIRECT("CXC!A2:B"&amp;COUNTA(CXC!A:A)),2,FALSE))</f>
        <v/>
      </c>
      <c r="C913" s="136" t="str">
        <f t="array" ref="C913">IF(A913="","",VLOOKUP(A913,INDIRECT("CXC!A2:C"&amp;COUNTA(CXC!A:A)),3,FALSE))</f>
        <v/>
      </c>
      <c r="D913" s="137" t="str">
        <f t="array" ref="D913">IF(A913="","",VLOOKUP(A913,INDIRECT("CXC!A2:H"&amp;COUNTA(CXC!A:A)),8,FALSE))</f>
        <v/>
      </c>
      <c r="E913" s="137" t="str">
        <f t="array" ref="E913">IFERROR(IF(A913="","",VLOOKUP(A913,INDIRECT("HISTÓRICO COBROS!A3:E"&amp;COUNTA('HISTÓRICO COBROS'!A:A)),5,FALSE)),"")</f>
        <v/>
      </c>
      <c r="F913" s="137" t="str">
        <f t="array" ref="F913">IF(A913="","",VLOOKUP(A913,INDIRECT("CXC!A2:I"&amp;COUNTA(CXC!A:A)),9,FALSE))</f>
        <v/>
      </c>
      <c r="G913" s="137" t="str">
        <f t="array" ref="G913">IFERROR(IF(A913="","",VLOOKUP(A913,INDIRECT("HISTÓRICO COBROS!A3:F"&amp;COUNTA('HISTÓRICO COBROS'!A:A)),6,FALSE)),"")</f>
        <v/>
      </c>
      <c r="H913" s="138" t="str">
        <f t="shared" ref="H913:I913" si="914">IF(D913="","",D913+F913)</f>
        <v/>
      </c>
      <c r="I913" s="135" t="str">
        <f t="shared" si="914"/>
        <v/>
      </c>
      <c r="J913" s="140" t="str">
        <f t="shared" si="3"/>
        <v/>
      </c>
      <c r="K913" s="140" t="str">
        <f t="shared" si="4"/>
        <v/>
      </c>
    </row>
    <row r="914" ht="22.5" customHeight="1">
      <c r="A914" s="140"/>
      <c r="B914" s="135" t="str">
        <f t="array" ref="B914">IF(A914="","",VLOOKUP(A914,INDIRECT("CXC!A2:B"&amp;COUNTA(CXC!A:A)),2,FALSE))</f>
        <v/>
      </c>
      <c r="C914" s="136" t="str">
        <f t="array" ref="C914">IF(A914="","",VLOOKUP(A914,INDIRECT("CXC!A2:C"&amp;COUNTA(CXC!A:A)),3,FALSE))</f>
        <v/>
      </c>
      <c r="D914" s="137" t="str">
        <f t="array" ref="D914">IF(A914="","",VLOOKUP(A914,INDIRECT("CXC!A2:H"&amp;COUNTA(CXC!A:A)),8,FALSE))</f>
        <v/>
      </c>
      <c r="E914" s="137" t="str">
        <f t="array" ref="E914">IFERROR(IF(A914="","",VLOOKUP(A914,INDIRECT("HISTÓRICO COBROS!A3:E"&amp;COUNTA('HISTÓRICO COBROS'!A:A)),5,FALSE)),"")</f>
        <v/>
      </c>
      <c r="F914" s="137" t="str">
        <f t="array" ref="F914">IF(A914="","",VLOOKUP(A914,INDIRECT("CXC!A2:I"&amp;COUNTA(CXC!A:A)),9,FALSE))</f>
        <v/>
      </c>
      <c r="G914" s="137" t="str">
        <f t="array" ref="G914">IFERROR(IF(A914="","",VLOOKUP(A914,INDIRECT("HISTÓRICO COBROS!A3:F"&amp;COUNTA('HISTÓRICO COBROS'!A:A)),6,FALSE)),"")</f>
        <v/>
      </c>
      <c r="H914" s="138" t="str">
        <f t="shared" ref="H914:I914" si="915">IF(D914="","",D914+F914)</f>
        <v/>
      </c>
      <c r="I914" s="135" t="str">
        <f t="shared" si="915"/>
        <v/>
      </c>
      <c r="J914" s="140" t="str">
        <f t="shared" si="3"/>
        <v/>
      </c>
      <c r="K914" s="140" t="str">
        <f t="shared" si="4"/>
        <v/>
      </c>
    </row>
    <row r="915" ht="22.5" customHeight="1">
      <c r="A915" s="140"/>
      <c r="B915" s="135" t="str">
        <f t="array" ref="B915">IF(A915="","",VLOOKUP(A915,INDIRECT("CXC!A2:B"&amp;COUNTA(CXC!A:A)),2,FALSE))</f>
        <v/>
      </c>
      <c r="C915" s="136" t="str">
        <f t="array" ref="C915">IF(A915="","",VLOOKUP(A915,INDIRECT("CXC!A2:C"&amp;COUNTA(CXC!A:A)),3,FALSE))</f>
        <v/>
      </c>
      <c r="D915" s="137" t="str">
        <f t="array" ref="D915">IF(A915="","",VLOOKUP(A915,INDIRECT("CXC!A2:H"&amp;COUNTA(CXC!A:A)),8,FALSE))</f>
        <v/>
      </c>
      <c r="E915" s="137" t="str">
        <f t="array" ref="E915">IFERROR(IF(A915="","",VLOOKUP(A915,INDIRECT("HISTÓRICO COBROS!A3:E"&amp;COUNTA('HISTÓRICO COBROS'!A:A)),5,FALSE)),"")</f>
        <v/>
      </c>
      <c r="F915" s="137" t="str">
        <f t="array" ref="F915">IF(A915="","",VLOOKUP(A915,INDIRECT("CXC!A2:I"&amp;COUNTA(CXC!A:A)),9,FALSE))</f>
        <v/>
      </c>
      <c r="G915" s="137" t="str">
        <f t="array" ref="G915">IFERROR(IF(A915="","",VLOOKUP(A915,INDIRECT("HISTÓRICO COBROS!A3:F"&amp;COUNTA('HISTÓRICO COBROS'!A:A)),6,FALSE)),"")</f>
        <v/>
      </c>
      <c r="H915" s="138" t="str">
        <f t="shared" ref="H915:I915" si="916">IF(D915="","",D915+F915)</f>
        <v/>
      </c>
      <c r="I915" s="135" t="str">
        <f t="shared" si="916"/>
        <v/>
      </c>
      <c r="J915" s="140" t="str">
        <f t="shared" si="3"/>
        <v/>
      </c>
      <c r="K915" s="140" t="str">
        <f t="shared" si="4"/>
        <v/>
      </c>
    </row>
    <row r="916" ht="22.5" customHeight="1">
      <c r="A916" s="140"/>
      <c r="B916" s="135" t="str">
        <f t="array" ref="B916">IF(A916="","",VLOOKUP(A916,INDIRECT("CXC!A2:B"&amp;COUNTA(CXC!A:A)),2,FALSE))</f>
        <v/>
      </c>
      <c r="C916" s="136" t="str">
        <f t="array" ref="C916">IF(A916="","",VLOOKUP(A916,INDIRECT("CXC!A2:C"&amp;COUNTA(CXC!A:A)),3,FALSE))</f>
        <v/>
      </c>
      <c r="D916" s="137" t="str">
        <f t="array" ref="D916">IF(A916="","",VLOOKUP(A916,INDIRECT("CXC!A2:H"&amp;COUNTA(CXC!A:A)),8,FALSE))</f>
        <v/>
      </c>
      <c r="E916" s="137" t="str">
        <f t="array" ref="E916">IFERROR(IF(A916="","",VLOOKUP(A916,INDIRECT("HISTÓRICO COBROS!A3:E"&amp;COUNTA('HISTÓRICO COBROS'!A:A)),5,FALSE)),"")</f>
        <v/>
      </c>
      <c r="F916" s="137" t="str">
        <f t="array" ref="F916">IF(A916="","",VLOOKUP(A916,INDIRECT("CXC!A2:I"&amp;COUNTA(CXC!A:A)),9,FALSE))</f>
        <v/>
      </c>
      <c r="G916" s="137" t="str">
        <f t="array" ref="G916">IFERROR(IF(A916="","",VLOOKUP(A916,INDIRECT("HISTÓRICO COBROS!A3:F"&amp;COUNTA('HISTÓRICO COBROS'!A:A)),6,FALSE)),"")</f>
        <v/>
      </c>
      <c r="H916" s="138" t="str">
        <f t="shared" ref="H916:I916" si="917">IF(D916="","",D916+F916)</f>
        <v/>
      </c>
      <c r="I916" s="135" t="str">
        <f t="shared" si="917"/>
        <v/>
      </c>
      <c r="J916" s="140" t="str">
        <f t="shared" si="3"/>
        <v/>
      </c>
      <c r="K916" s="140" t="str">
        <f t="shared" si="4"/>
        <v/>
      </c>
    </row>
    <row r="917" ht="22.5" customHeight="1">
      <c r="A917" s="140"/>
      <c r="B917" s="135" t="str">
        <f t="array" ref="B917">IF(A917="","",VLOOKUP(A917,INDIRECT("CXC!A2:B"&amp;COUNTA(CXC!A:A)),2,FALSE))</f>
        <v/>
      </c>
      <c r="C917" s="136" t="str">
        <f t="array" ref="C917">IF(A917="","",VLOOKUP(A917,INDIRECT("CXC!A2:C"&amp;COUNTA(CXC!A:A)),3,FALSE))</f>
        <v/>
      </c>
      <c r="D917" s="137" t="str">
        <f t="array" ref="D917">IF(A917="","",VLOOKUP(A917,INDIRECT("CXC!A2:H"&amp;COUNTA(CXC!A:A)),8,FALSE))</f>
        <v/>
      </c>
      <c r="E917" s="137" t="str">
        <f t="array" ref="E917">IFERROR(IF(A917="","",VLOOKUP(A917,INDIRECT("HISTÓRICO COBROS!A3:E"&amp;COUNTA('HISTÓRICO COBROS'!A:A)),5,FALSE)),"")</f>
        <v/>
      </c>
      <c r="F917" s="137" t="str">
        <f t="array" ref="F917">IF(A917="","",VLOOKUP(A917,INDIRECT("CXC!A2:I"&amp;COUNTA(CXC!A:A)),9,FALSE))</f>
        <v/>
      </c>
      <c r="G917" s="137" t="str">
        <f t="array" ref="G917">IFERROR(IF(A917="","",VLOOKUP(A917,INDIRECT("HISTÓRICO COBROS!A3:F"&amp;COUNTA('HISTÓRICO COBROS'!A:A)),6,FALSE)),"")</f>
        <v/>
      </c>
      <c r="H917" s="138" t="str">
        <f t="shared" ref="H917:I917" si="918">IF(D917="","",D917+F917)</f>
        <v/>
      </c>
      <c r="I917" s="135" t="str">
        <f t="shared" si="918"/>
        <v/>
      </c>
      <c r="J917" s="140" t="str">
        <f t="shared" si="3"/>
        <v/>
      </c>
      <c r="K917" s="140" t="str">
        <f t="shared" si="4"/>
        <v/>
      </c>
    </row>
    <row r="918" ht="22.5" customHeight="1">
      <c r="A918" s="140"/>
      <c r="B918" s="135" t="str">
        <f t="array" ref="B918">IF(A918="","",VLOOKUP(A918,INDIRECT("CXC!A2:B"&amp;COUNTA(CXC!A:A)),2,FALSE))</f>
        <v/>
      </c>
      <c r="C918" s="136" t="str">
        <f t="array" ref="C918">IF(A918="","",VLOOKUP(A918,INDIRECT("CXC!A2:C"&amp;COUNTA(CXC!A:A)),3,FALSE))</f>
        <v/>
      </c>
      <c r="D918" s="137" t="str">
        <f t="array" ref="D918">IF(A918="","",VLOOKUP(A918,INDIRECT("CXC!A2:H"&amp;COUNTA(CXC!A:A)),8,FALSE))</f>
        <v/>
      </c>
      <c r="E918" s="137" t="str">
        <f t="array" ref="E918">IFERROR(IF(A918="","",VLOOKUP(A918,INDIRECT("HISTÓRICO COBROS!A3:E"&amp;COUNTA('HISTÓRICO COBROS'!A:A)),5,FALSE)),"")</f>
        <v/>
      </c>
      <c r="F918" s="137" t="str">
        <f t="array" ref="F918">IF(A918="","",VLOOKUP(A918,INDIRECT("CXC!A2:I"&amp;COUNTA(CXC!A:A)),9,FALSE))</f>
        <v/>
      </c>
      <c r="G918" s="137" t="str">
        <f t="array" ref="G918">IFERROR(IF(A918="","",VLOOKUP(A918,INDIRECT("HISTÓRICO COBROS!A3:F"&amp;COUNTA('HISTÓRICO COBROS'!A:A)),6,FALSE)),"")</f>
        <v/>
      </c>
      <c r="H918" s="138" t="str">
        <f t="shared" ref="H918:I918" si="919">IF(D918="","",D918+F918)</f>
        <v/>
      </c>
      <c r="I918" s="135" t="str">
        <f t="shared" si="919"/>
        <v/>
      </c>
      <c r="J918" s="140" t="str">
        <f t="shared" si="3"/>
        <v/>
      </c>
      <c r="K918" s="140" t="str">
        <f t="shared" si="4"/>
        <v/>
      </c>
    </row>
    <row r="919" ht="22.5" customHeight="1">
      <c r="A919" s="140"/>
      <c r="B919" s="135" t="str">
        <f t="array" ref="B919">IF(A919="","",VLOOKUP(A919,INDIRECT("CXC!A2:B"&amp;COUNTA(CXC!A:A)),2,FALSE))</f>
        <v/>
      </c>
      <c r="C919" s="136" t="str">
        <f t="array" ref="C919">IF(A919="","",VLOOKUP(A919,INDIRECT("CXC!A2:C"&amp;COUNTA(CXC!A:A)),3,FALSE))</f>
        <v/>
      </c>
      <c r="D919" s="137" t="str">
        <f t="array" ref="D919">IF(A919="","",VLOOKUP(A919,INDIRECT("CXC!A2:H"&amp;COUNTA(CXC!A:A)),8,FALSE))</f>
        <v/>
      </c>
      <c r="E919" s="137" t="str">
        <f t="array" ref="E919">IFERROR(IF(A919="","",VLOOKUP(A919,INDIRECT("HISTÓRICO COBROS!A3:E"&amp;COUNTA('HISTÓRICO COBROS'!A:A)),5,FALSE)),"")</f>
        <v/>
      </c>
      <c r="F919" s="137" t="str">
        <f t="array" ref="F919">IF(A919="","",VLOOKUP(A919,INDIRECT("CXC!A2:I"&amp;COUNTA(CXC!A:A)),9,FALSE))</f>
        <v/>
      </c>
      <c r="G919" s="137" t="str">
        <f t="array" ref="G919">IFERROR(IF(A919="","",VLOOKUP(A919,INDIRECT("HISTÓRICO COBROS!A3:F"&amp;COUNTA('HISTÓRICO COBROS'!A:A)),6,FALSE)),"")</f>
        <v/>
      </c>
      <c r="H919" s="138" t="str">
        <f t="shared" ref="H919:I919" si="920">IF(D919="","",D919+F919)</f>
        <v/>
      </c>
      <c r="I919" s="135" t="str">
        <f t="shared" si="920"/>
        <v/>
      </c>
      <c r="J919" s="140" t="str">
        <f t="shared" si="3"/>
        <v/>
      </c>
      <c r="K919" s="140" t="str">
        <f t="shared" si="4"/>
        <v/>
      </c>
    </row>
    <row r="920" ht="22.5" customHeight="1">
      <c r="A920" s="140"/>
      <c r="B920" s="135" t="str">
        <f t="array" ref="B920">IF(A920="","",VLOOKUP(A920,INDIRECT("CXC!A2:B"&amp;COUNTA(CXC!A:A)),2,FALSE))</f>
        <v/>
      </c>
      <c r="C920" s="136" t="str">
        <f t="array" ref="C920">IF(A920="","",VLOOKUP(A920,INDIRECT("CXC!A2:C"&amp;COUNTA(CXC!A:A)),3,FALSE))</f>
        <v/>
      </c>
      <c r="D920" s="137" t="str">
        <f t="array" ref="D920">IF(A920="","",VLOOKUP(A920,INDIRECT("CXC!A2:H"&amp;COUNTA(CXC!A:A)),8,FALSE))</f>
        <v/>
      </c>
      <c r="E920" s="137" t="str">
        <f t="array" ref="E920">IFERROR(IF(A920="","",VLOOKUP(A920,INDIRECT("HISTÓRICO COBROS!A3:E"&amp;COUNTA('HISTÓRICO COBROS'!A:A)),5,FALSE)),"")</f>
        <v/>
      </c>
      <c r="F920" s="137" t="str">
        <f t="array" ref="F920">IF(A920="","",VLOOKUP(A920,INDIRECT("CXC!A2:I"&amp;COUNTA(CXC!A:A)),9,FALSE))</f>
        <v/>
      </c>
      <c r="G920" s="137" t="str">
        <f t="array" ref="G920">IFERROR(IF(A920="","",VLOOKUP(A920,INDIRECT("HISTÓRICO COBROS!A3:F"&amp;COUNTA('HISTÓRICO COBROS'!A:A)),6,FALSE)),"")</f>
        <v/>
      </c>
      <c r="H920" s="138" t="str">
        <f t="shared" ref="H920:I920" si="921">IF(D920="","",D920+F920)</f>
        <v/>
      </c>
      <c r="I920" s="135" t="str">
        <f t="shared" si="921"/>
        <v/>
      </c>
      <c r="J920" s="140" t="str">
        <f t="shared" si="3"/>
        <v/>
      </c>
      <c r="K920" s="140" t="str">
        <f t="shared" si="4"/>
        <v/>
      </c>
    </row>
    <row r="921" ht="22.5" customHeight="1">
      <c r="A921" s="140"/>
      <c r="B921" s="135" t="str">
        <f t="array" ref="B921">IF(A921="","",VLOOKUP(A921,INDIRECT("CXC!A2:B"&amp;COUNTA(CXC!A:A)),2,FALSE))</f>
        <v/>
      </c>
      <c r="C921" s="136" t="str">
        <f t="array" ref="C921">IF(A921="","",VLOOKUP(A921,INDIRECT("CXC!A2:C"&amp;COUNTA(CXC!A:A)),3,FALSE))</f>
        <v/>
      </c>
      <c r="D921" s="137" t="str">
        <f t="array" ref="D921">IF(A921="","",VLOOKUP(A921,INDIRECT("CXC!A2:H"&amp;COUNTA(CXC!A:A)),8,FALSE))</f>
        <v/>
      </c>
      <c r="E921" s="137" t="str">
        <f t="array" ref="E921">IFERROR(IF(A921="","",VLOOKUP(A921,INDIRECT("HISTÓRICO COBROS!A3:E"&amp;COUNTA('HISTÓRICO COBROS'!A:A)),5,FALSE)),"")</f>
        <v/>
      </c>
      <c r="F921" s="137" t="str">
        <f t="array" ref="F921">IF(A921="","",VLOOKUP(A921,INDIRECT("CXC!A2:I"&amp;COUNTA(CXC!A:A)),9,FALSE))</f>
        <v/>
      </c>
      <c r="G921" s="137" t="str">
        <f t="array" ref="G921">IFERROR(IF(A921="","",VLOOKUP(A921,INDIRECT("HISTÓRICO COBROS!A3:F"&amp;COUNTA('HISTÓRICO COBROS'!A:A)),6,FALSE)),"")</f>
        <v/>
      </c>
      <c r="H921" s="138" t="str">
        <f t="shared" ref="H921:I921" si="922">IF(D921="","",D921+F921)</f>
        <v/>
      </c>
      <c r="I921" s="135" t="str">
        <f t="shared" si="922"/>
        <v/>
      </c>
      <c r="J921" s="140" t="str">
        <f t="shared" si="3"/>
        <v/>
      </c>
      <c r="K921" s="140" t="str">
        <f t="shared" si="4"/>
        <v/>
      </c>
    </row>
    <row r="922" ht="22.5" customHeight="1">
      <c r="A922" s="140"/>
      <c r="B922" s="135" t="str">
        <f t="array" ref="B922">IF(A922="","",VLOOKUP(A922,INDIRECT("CXC!A2:B"&amp;COUNTA(CXC!A:A)),2,FALSE))</f>
        <v/>
      </c>
      <c r="C922" s="136" t="str">
        <f t="array" ref="C922">IF(A922="","",VLOOKUP(A922,INDIRECT("CXC!A2:C"&amp;COUNTA(CXC!A:A)),3,FALSE))</f>
        <v/>
      </c>
      <c r="D922" s="137" t="str">
        <f t="array" ref="D922">IF(A922="","",VLOOKUP(A922,INDIRECT("CXC!A2:H"&amp;COUNTA(CXC!A:A)),8,FALSE))</f>
        <v/>
      </c>
      <c r="E922" s="137" t="str">
        <f t="array" ref="E922">IFERROR(IF(A922="","",VLOOKUP(A922,INDIRECT("HISTÓRICO COBROS!A3:E"&amp;COUNTA('HISTÓRICO COBROS'!A:A)),5,FALSE)),"")</f>
        <v/>
      </c>
      <c r="F922" s="137" t="str">
        <f t="array" ref="F922">IF(A922="","",VLOOKUP(A922,INDIRECT("CXC!A2:I"&amp;COUNTA(CXC!A:A)),9,FALSE))</f>
        <v/>
      </c>
      <c r="G922" s="137" t="str">
        <f t="array" ref="G922">IFERROR(IF(A922="","",VLOOKUP(A922,INDIRECT("HISTÓRICO COBROS!A3:F"&amp;COUNTA('HISTÓRICO COBROS'!A:A)),6,FALSE)),"")</f>
        <v/>
      </c>
      <c r="H922" s="138" t="str">
        <f t="shared" ref="H922:I922" si="923">IF(D922="","",D922+F922)</f>
        <v/>
      </c>
      <c r="I922" s="135" t="str">
        <f t="shared" si="923"/>
        <v/>
      </c>
      <c r="J922" s="140" t="str">
        <f t="shared" si="3"/>
        <v/>
      </c>
      <c r="K922" s="140" t="str">
        <f t="shared" si="4"/>
        <v/>
      </c>
    </row>
    <row r="923" ht="22.5" customHeight="1">
      <c r="A923" s="140"/>
      <c r="B923" s="135" t="str">
        <f t="array" ref="B923">IF(A923="","",VLOOKUP(A923,INDIRECT("CXC!A2:B"&amp;COUNTA(CXC!A:A)),2,FALSE))</f>
        <v/>
      </c>
      <c r="C923" s="136" t="str">
        <f t="array" ref="C923">IF(A923="","",VLOOKUP(A923,INDIRECT("CXC!A2:C"&amp;COUNTA(CXC!A:A)),3,FALSE))</f>
        <v/>
      </c>
      <c r="D923" s="137" t="str">
        <f t="array" ref="D923">IF(A923="","",VLOOKUP(A923,INDIRECT("CXC!A2:H"&amp;COUNTA(CXC!A:A)),8,FALSE))</f>
        <v/>
      </c>
      <c r="E923" s="137" t="str">
        <f t="array" ref="E923">IFERROR(IF(A923="","",VLOOKUP(A923,INDIRECT("HISTÓRICO COBROS!A3:E"&amp;COUNTA('HISTÓRICO COBROS'!A:A)),5,FALSE)),"")</f>
        <v/>
      </c>
      <c r="F923" s="137" t="str">
        <f t="array" ref="F923">IF(A923="","",VLOOKUP(A923,INDIRECT("CXC!A2:I"&amp;COUNTA(CXC!A:A)),9,FALSE))</f>
        <v/>
      </c>
      <c r="G923" s="137" t="str">
        <f t="array" ref="G923">IFERROR(IF(A923="","",VLOOKUP(A923,INDIRECT("HISTÓRICO COBROS!A3:F"&amp;COUNTA('HISTÓRICO COBROS'!A:A)),6,FALSE)),"")</f>
        <v/>
      </c>
      <c r="H923" s="138" t="str">
        <f t="shared" ref="H923:I923" si="924">IF(D923="","",D923+F923)</f>
        <v/>
      </c>
      <c r="I923" s="135" t="str">
        <f t="shared" si="924"/>
        <v/>
      </c>
      <c r="J923" s="140" t="str">
        <f t="shared" si="3"/>
        <v/>
      </c>
      <c r="K923" s="140" t="str">
        <f t="shared" si="4"/>
        <v/>
      </c>
    </row>
    <row r="924" ht="22.5" customHeight="1">
      <c r="A924" s="140"/>
      <c r="B924" s="135" t="str">
        <f t="array" ref="B924">IF(A924="","",VLOOKUP(A924,INDIRECT("CXC!A2:B"&amp;COUNTA(CXC!A:A)),2,FALSE))</f>
        <v/>
      </c>
      <c r="C924" s="136" t="str">
        <f t="array" ref="C924">IF(A924="","",VLOOKUP(A924,INDIRECT("CXC!A2:C"&amp;COUNTA(CXC!A:A)),3,FALSE))</f>
        <v/>
      </c>
      <c r="D924" s="137" t="str">
        <f t="array" ref="D924">IF(A924="","",VLOOKUP(A924,INDIRECT("CXC!A2:H"&amp;COUNTA(CXC!A:A)),8,FALSE))</f>
        <v/>
      </c>
      <c r="E924" s="137" t="str">
        <f t="array" ref="E924">IFERROR(IF(A924="","",VLOOKUP(A924,INDIRECT("HISTÓRICO COBROS!A3:E"&amp;COUNTA('HISTÓRICO COBROS'!A:A)),5,FALSE)),"")</f>
        <v/>
      </c>
      <c r="F924" s="137" t="str">
        <f t="array" ref="F924">IF(A924="","",VLOOKUP(A924,INDIRECT("CXC!A2:I"&amp;COUNTA(CXC!A:A)),9,FALSE))</f>
        <v/>
      </c>
      <c r="G924" s="137" t="str">
        <f t="array" ref="G924">IFERROR(IF(A924="","",VLOOKUP(A924,INDIRECT("HISTÓRICO COBROS!A3:F"&amp;COUNTA('HISTÓRICO COBROS'!A:A)),6,FALSE)),"")</f>
        <v/>
      </c>
      <c r="H924" s="138" t="str">
        <f t="shared" ref="H924:I924" si="925">IF(D924="","",D924+F924)</f>
        <v/>
      </c>
      <c r="I924" s="135" t="str">
        <f t="shared" si="925"/>
        <v/>
      </c>
      <c r="J924" s="140" t="str">
        <f t="shared" si="3"/>
        <v/>
      </c>
      <c r="K924" s="140" t="str">
        <f t="shared" si="4"/>
        <v/>
      </c>
    </row>
    <row r="925" ht="22.5" customHeight="1">
      <c r="A925" s="140"/>
      <c r="B925" s="135" t="str">
        <f t="array" ref="B925">IF(A925="","",VLOOKUP(A925,INDIRECT("CXC!A2:B"&amp;COUNTA(CXC!A:A)),2,FALSE))</f>
        <v/>
      </c>
      <c r="C925" s="136" t="str">
        <f t="array" ref="C925">IF(A925="","",VLOOKUP(A925,INDIRECT("CXC!A2:C"&amp;COUNTA(CXC!A:A)),3,FALSE))</f>
        <v/>
      </c>
      <c r="D925" s="137" t="str">
        <f t="array" ref="D925">IF(A925="","",VLOOKUP(A925,INDIRECT("CXC!A2:H"&amp;COUNTA(CXC!A:A)),8,FALSE))</f>
        <v/>
      </c>
      <c r="E925" s="137" t="str">
        <f t="array" ref="E925">IFERROR(IF(A925="","",VLOOKUP(A925,INDIRECT("HISTÓRICO COBROS!A3:E"&amp;COUNTA('HISTÓRICO COBROS'!A:A)),5,FALSE)),"")</f>
        <v/>
      </c>
      <c r="F925" s="137" t="str">
        <f t="array" ref="F925">IF(A925="","",VLOOKUP(A925,INDIRECT("CXC!A2:I"&amp;COUNTA(CXC!A:A)),9,FALSE))</f>
        <v/>
      </c>
      <c r="G925" s="137" t="str">
        <f t="array" ref="G925">IFERROR(IF(A925="","",VLOOKUP(A925,INDIRECT("HISTÓRICO COBROS!A3:F"&amp;COUNTA('HISTÓRICO COBROS'!A:A)),6,FALSE)),"")</f>
        <v/>
      </c>
      <c r="H925" s="138" t="str">
        <f t="shared" ref="H925:I925" si="926">IF(D925="","",D925+F925)</f>
        <v/>
      </c>
      <c r="I925" s="135" t="str">
        <f t="shared" si="926"/>
        <v/>
      </c>
      <c r="J925" s="140" t="str">
        <f t="shared" si="3"/>
        <v/>
      </c>
      <c r="K925" s="140" t="str">
        <f t="shared" si="4"/>
        <v/>
      </c>
    </row>
    <row r="926" ht="22.5" customHeight="1">
      <c r="A926" s="140"/>
      <c r="B926" s="135" t="str">
        <f t="array" ref="B926">IF(A926="","",VLOOKUP(A926,INDIRECT("CXC!A2:B"&amp;COUNTA(CXC!A:A)),2,FALSE))</f>
        <v/>
      </c>
      <c r="C926" s="136" t="str">
        <f t="array" ref="C926">IF(A926="","",VLOOKUP(A926,INDIRECT("CXC!A2:C"&amp;COUNTA(CXC!A:A)),3,FALSE))</f>
        <v/>
      </c>
      <c r="D926" s="137" t="str">
        <f t="array" ref="D926">IF(A926="","",VLOOKUP(A926,INDIRECT("CXC!A2:H"&amp;COUNTA(CXC!A:A)),8,FALSE))</f>
        <v/>
      </c>
      <c r="E926" s="137" t="str">
        <f t="array" ref="E926">IFERROR(IF(A926="","",VLOOKUP(A926,INDIRECT("HISTÓRICO COBROS!A3:E"&amp;COUNTA('HISTÓRICO COBROS'!A:A)),5,FALSE)),"")</f>
        <v/>
      </c>
      <c r="F926" s="137" t="str">
        <f t="array" ref="F926">IF(A926="","",VLOOKUP(A926,INDIRECT("CXC!A2:I"&amp;COUNTA(CXC!A:A)),9,FALSE))</f>
        <v/>
      </c>
      <c r="G926" s="137" t="str">
        <f t="array" ref="G926">IFERROR(IF(A926="","",VLOOKUP(A926,INDIRECT("HISTÓRICO COBROS!A3:F"&amp;COUNTA('HISTÓRICO COBROS'!A:A)),6,FALSE)),"")</f>
        <v/>
      </c>
      <c r="H926" s="138" t="str">
        <f t="shared" ref="H926:I926" si="927">IF(D926="","",D926+F926)</f>
        <v/>
      </c>
      <c r="I926" s="135" t="str">
        <f t="shared" si="927"/>
        <v/>
      </c>
      <c r="J926" s="140" t="str">
        <f t="shared" si="3"/>
        <v/>
      </c>
      <c r="K926" s="140" t="str">
        <f t="shared" si="4"/>
        <v/>
      </c>
    </row>
    <row r="927" ht="22.5" customHeight="1">
      <c r="A927" s="140"/>
      <c r="B927" s="135" t="str">
        <f t="array" ref="B927">IF(A927="","",VLOOKUP(A927,INDIRECT("CXC!A2:B"&amp;COUNTA(CXC!A:A)),2,FALSE))</f>
        <v/>
      </c>
      <c r="C927" s="136" t="str">
        <f t="array" ref="C927">IF(A927="","",VLOOKUP(A927,INDIRECT("CXC!A2:C"&amp;COUNTA(CXC!A:A)),3,FALSE))</f>
        <v/>
      </c>
      <c r="D927" s="137" t="str">
        <f t="array" ref="D927">IF(A927="","",VLOOKUP(A927,INDIRECT("CXC!A2:H"&amp;COUNTA(CXC!A:A)),8,FALSE))</f>
        <v/>
      </c>
      <c r="E927" s="137" t="str">
        <f t="array" ref="E927">IFERROR(IF(A927="","",VLOOKUP(A927,INDIRECT("HISTÓRICO COBROS!A3:E"&amp;COUNTA('HISTÓRICO COBROS'!A:A)),5,FALSE)),"")</f>
        <v/>
      </c>
      <c r="F927" s="137" t="str">
        <f t="array" ref="F927">IF(A927="","",VLOOKUP(A927,INDIRECT("CXC!A2:I"&amp;COUNTA(CXC!A:A)),9,FALSE))</f>
        <v/>
      </c>
      <c r="G927" s="137" t="str">
        <f t="array" ref="G927">IFERROR(IF(A927="","",VLOOKUP(A927,INDIRECT("HISTÓRICO COBROS!A3:F"&amp;COUNTA('HISTÓRICO COBROS'!A:A)),6,FALSE)),"")</f>
        <v/>
      </c>
      <c r="H927" s="138" t="str">
        <f t="shared" ref="H927:I927" si="928">IF(D927="","",D927+F927)</f>
        <v/>
      </c>
      <c r="I927" s="135" t="str">
        <f t="shared" si="928"/>
        <v/>
      </c>
      <c r="J927" s="140" t="str">
        <f t="shared" si="3"/>
        <v/>
      </c>
      <c r="K927" s="140" t="str">
        <f t="shared" si="4"/>
        <v/>
      </c>
    </row>
    <row r="928" ht="22.5" customHeight="1">
      <c r="A928" s="140"/>
      <c r="B928" s="135" t="str">
        <f t="array" ref="B928">IF(A928="","",VLOOKUP(A928,INDIRECT("CXC!A2:B"&amp;COUNTA(CXC!A:A)),2,FALSE))</f>
        <v/>
      </c>
      <c r="C928" s="136" t="str">
        <f t="array" ref="C928">IF(A928="","",VLOOKUP(A928,INDIRECT("CXC!A2:C"&amp;COUNTA(CXC!A:A)),3,FALSE))</f>
        <v/>
      </c>
      <c r="D928" s="137" t="str">
        <f t="array" ref="D928">IF(A928="","",VLOOKUP(A928,INDIRECT("CXC!A2:H"&amp;COUNTA(CXC!A:A)),8,FALSE))</f>
        <v/>
      </c>
      <c r="E928" s="137" t="str">
        <f t="array" ref="E928">IFERROR(IF(A928="","",VLOOKUP(A928,INDIRECT("HISTÓRICO COBROS!A3:E"&amp;COUNTA('HISTÓRICO COBROS'!A:A)),5,FALSE)),"")</f>
        <v/>
      </c>
      <c r="F928" s="137" t="str">
        <f t="array" ref="F928">IF(A928="","",VLOOKUP(A928,INDIRECT("CXC!A2:I"&amp;COUNTA(CXC!A:A)),9,FALSE))</f>
        <v/>
      </c>
      <c r="G928" s="137" t="str">
        <f t="array" ref="G928">IFERROR(IF(A928="","",VLOOKUP(A928,INDIRECT("HISTÓRICO COBROS!A3:F"&amp;COUNTA('HISTÓRICO COBROS'!A:A)),6,FALSE)),"")</f>
        <v/>
      </c>
      <c r="H928" s="138" t="str">
        <f t="shared" ref="H928:I928" si="929">IF(D928="","",D928+F928)</f>
        <v/>
      </c>
      <c r="I928" s="135" t="str">
        <f t="shared" si="929"/>
        <v/>
      </c>
      <c r="J928" s="140" t="str">
        <f t="shared" si="3"/>
        <v/>
      </c>
      <c r="K928" s="140" t="str">
        <f t="shared" si="4"/>
        <v/>
      </c>
    </row>
    <row r="929" ht="22.5" customHeight="1">
      <c r="A929" s="140"/>
      <c r="B929" s="135" t="str">
        <f t="array" ref="B929">IF(A929="","",VLOOKUP(A929,INDIRECT("CXC!A2:B"&amp;COUNTA(CXC!A:A)),2,FALSE))</f>
        <v/>
      </c>
      <c r="C929" s="136" t="str">
        <f t="array" ref="C929">IF(A929="","",VLOOKUP(A929,INDIRECT("CXC!A2:C"&amp;COUNTA(CXC!A:A)),3,FALSE))</f>
        <v/>
      </c>
      <c r="D929" s="137" t="str">
        <f t="array" ref="D929">IF(A929="","",VLOOKUP(A929,INDIRECT("CXC!A2:H"&amp;COUNTA(CXC!A:A)),8,FALSE))</f>
        <v/>
      </c>
      <c r="E929" s="137" t="str">
        <f t="array" ref="E929">IFERROR(IF(A929="","",VLOOKUP(A929,INDIRECT("HISTÓRICO COBROS!A3:E"&amp;COUNTA('HISTÓRICO COBROS'!A:A)),5,FALSE)),"")</f>
        <v/>
      </c>
      <c r="F929" s="137" t="str">
        <f t="array" ref="F929">IF(A929="","",VLOOKUP(A929,INDIRECT("CXC!A2:I"&amp;COUNTA(CXC!A:A)),9,FALSE))</f>
        <v/>
      </c>
      <c r="G929" s="137" t="str">
        <f t="array" ref="G929">IFERROR(IF(A929="","",VLOOKUP(A929,INDIRECT("HISTÓRICO COBROS!A3:F"&amp;COUNTA('HISTÓRICO COBROS'!A:A)),6,FALSE)),"")</f>
        <v/>
      </c>
      <c r="H929" s="138" t="str">
        <f t="shared" ref="H929:I929" si="930">IF(D929="","",D929+F929)</f>
        <v/>
      </c>
      <c r="I929" s="135" t="str">
        <f t="shared" si="930"/>
        <v/>
      </c>
      <c r="J929" s="140" t="str">
        <f t="shared" si="3"/>
        <v/>
      </c>
      <c r="K929" s="140" t="str">
        <f t="shared" si="4"/>
        <v/>
      </c>
    </row>
    <row r="930" ht="22.5" customHeight="1">
      <c r="A930" s="140"/>
      <c r="B930" s="135" t="str">
        <f t="array" ref="B930">IF(A930="","",VLOOKUP(A930,INDIRECT("CXC!A2:B"&amp;COUNTA(CXC!A:A)),2,FALSE))</f>
        <v/>
      </c>
      <c r="C930" s="136" t="str">
        <f t="array" ref="C930">IF(A930="","",VLOOKUP(A930,INDIRECT("CXC!A2:C"&amp;COUNTA(CXC!A:A)),3,FALSE))</f>
        <v/>
      </c>
      <c r="D930" s="137" t="str">
        <f t="array" ref="D930">IF(A930="","",VLOOKUP(A930,INDIRECT("CXC!A2:H"&amp;COUNTA(CXC!A:A)),8,FALSE))</f>
        <v/>
      </c>
      <c r="E930" s="137" t="str">
        <f t="array" ref="E930">IFERROR(IF(A930="","",VLOOKUP(A930,INDIRECT("HISTÓRICO COBROS!A3:E"&amp;COUNTA('HISTÓRICO COBROS'!A:A)),5,FALSE)),"")</f>
        <v/>
      </c>
      <c r="F930" s="137" t="str">
        <f t="array" ref="F930">IF(A930="","",VLOOKUP(A930,INDIRECT("CXC!A2:I"&amp;COUNTA(CXC!A:A)),9,FALSE))</f>
        <v/>
      </c>
      <c r="G930" s="137" t="str">
        <f t="array" ref="G930">IFERROR(IF(A930="","",VLOOKUP(A930,INDIRECT("HISTÓRICO COBROS!A3:F"&amp;COUNTA('HISTÓRICO COBROS'!A:A)),6,FALSE)),"")</f>
        <v/>
      </c>
      <c r="H930" s="138" t="str">
        <f t="shared" ref="H930:I930" si="931">IF(D930="","",D930+F930)</f>
        <v/>
      </c>
      <c r="I930" s="135" t="str">
        <f t="shared" si="931"/>
        <v/>
      </c>
      <c r="J930" s="140" t="str">
        <f t="shared" si="3"/>
        <v/>
      </c>
      <c r="K930" s="140" t="str">
        <f t="shared" si="4"/>
        <v/>
      </c>
    </row>
    <row r="931" ht="22.5" customHeight="1">
      <c r="A931" s="140"/>
      <c r="B931" s="135" t="str">
        <f t="array" ref="B931">IF(A931="","",VLOOKUP(A931,INDIRECT("CXC!A2:B"&amp;COUNTA(CXC!A:A)),2,FALSE))</f>
        <v/>
      </c>
      <c r="C931" s="136" t="str">
        <f t="array" ref="C931">IF(A931="","",VLOOKUP(A931,INDIRECT("CXC!A2:C"&amp;COUNTA(CXC!A:A)),3,FALSE))</f>
        <v/>
      </c>
      <c r="D931" s="137" t="str">
        <f t="array" ref="D931">IF(A931="","",VLOOKUP(A931,INDIRECT("CXC!A2:H"&amp;COUNTA(CXC!A:A)),8,FALSE))</f>
        <v/>
      </c>
      <c r="E931" s="137" t="str">
        <f t="array" ref="E931">IFERROR(IF(A931="","",VLOOKUP(A931,INDIRECT("HISTÓRICO COBROS!A3:E"&amp;COUNTA('HISTÓRICO COBROS'!A:A)),5,FALSE)),"")</f>
        <v/>
      </c>
      <c r="F931" s="137" t="str">
        <f t="array" ref="F931">IF(A931="","",VLOOKUP(A931,INDIRECT("CXC!A2:I"&amp;COUNTA(CXC!A:A)),9,FALSE))</f>
        <v/>
      </c>
      <c r="G931" s="137" t="str">
        <f t="array" ref="G931">IFERROR(IF(A931="","",VLOOKUP(A931,INDIRECT("HISTÓRICO COBROS!A3:F"&amp;COUNTA('HISTÓRICO COBROS'!A:A)),6,FALSE)),"")</f>
        <v/>
      </c>
      <c r="H931" s="138" t="str">
        <f t="shared" ref="H931:I931" si="932">IF(D931="","",D931+F931)</f>
        <v/>
      </c>
      <c r="I931" s="135" t="str">
        <f t="shared" si="932"/>
        <v/>
      </c>
      <c r="J931" s="140" t="str">
        <f t="shared" si="3"/>
        <v/>
      </c>
      <c r="K931" s="140" t="str">
        <f t="shared" si="4"/>
        <v/>
      </c>
    </row>
    <row r="932" ht="22.5" customHeight="1">
      <c r="A932" s="140"/>
      <c r="B932" s="135" t="str">
        <f t="array" ref="B932">IF(A932="","",VLOOKUP(A932,INDIRECT("CXC!A2:B"&amp;COUNTA(CXC!A:A)),2,FALSE))</f>
        <v/>
      </c>
      <c r="C932" s="136" t="str">
        <f t="array" ref="C932">IF(A932="","",VLOOKUP(A932,INDIRECT("CXC!A2:C"&amp;COUNTA(CXC!A:A)),3,FALSE))</f>
        <v/>
      </c>
      <c r="D932" s="137" t="str">
        <f t="array" ref="D932">IF(A932="","",VLOOKUP(A932,INDIRECT("CXC!A2:H"&amp;COUNTA(CXC!A:A)),8,FALSE))</f>
        <v/>
      </c>
      <c r="E932" s="137" t="str">
        <f t="array" ref="E932">IFERROR(IF(A932="","",VLOOKUP(A932,INDIRECT("HISTÓRICO COBROS!A3:E"&amp;COUNTA('HISTÓRICO COBROS'!A:A)),5,FALSE)),"")</f>
        <v/>
      </c>
      <c r="F932" s="137" t="str">
        <f t="array" ref="F932">IF(A932="","",VLOOKUP(A932,INDIRECT("CXC!A2:I"&amp;COUNTA(CXC!A:A)),9,FALSE))</f>
        <v/>
      </c>
      <c r="G932" s="137" t="str">
        <f t="array" ref="G932">IFERROR(IF(A932="","",VLOOKUP(A932,INDIRECT("HISTÓRICO COBROS!A3:F"&amp;COUNTA('HISTÓRICO COBROS'!A:A)),6,FALSE)),"")</f>
        <v/>
      </c>
      <c r="H932" s="138" t="str">
        <f t="shared" ref="H932:I932" si="933">IF(D932="","",D932+F932)</f>
        <v/>
      </c>
      <c r="I932" s="135" t="str">
        <f t="shared" si="933"/>
        <v/>
      </c>
      <c r="J932" s="140" t="str">
        <f t="shared" si="3"/>
        <v/>
      </c>
      <c r="K932" s="140" t="str">
        <f t="shared" si="4"/>
        <v/>
      </c>
    </row>
    <row r="933" ht="22.5" customHeight="1">
      <c r="A933" s="140"/>
      <c r="B933" s="135" t="str">
        <f t="array" ref="B933">IF(A933="","",VLOOKUP(A933,INDIRECT("CXC!A2:B"&amp;COUNTA(CXC!A:A)),2,FALSE))</f>
        <v/>
      </c>
      <c r="C933" s="136" t="str">
        <f t="array" ref="C933">IF(A933="","",VLOOKUP(A933,INDIRECT("CXC!A2:C"&amp;COUNTA(CXC!A:A)),3,FALSE))</f>
        <v/>
      </c>
      <c r="D933" s="137" t="str">
        <f t="array" ref="D933">IF(A933="","",VLOOKUP(A933,INDIRECT("CXC!A2:H"&amp;COUNTA(CXC!A:A)),8,FALSE))</f>
        <v/>
      </c>
      <c r="E933" s="137" t="str">
        <f t="array" ref="E933">IFERROR(IF(A933="","",VLOOKUP(A933,INDIRECT("HISTÓRICO COBROS!A3:E"&amp;COUNTA('HISTÓRICO COBROS'!A:A)),5,FALSE)),"")</f>
        <v/>
      </c>
      <c r="F933" s="137" t="str">
        <f t="array" ref="F933">IF(A933="","",VLOOKUP(A933,INDIRECT("CXC!A2:I"&amp;COUNTA(CXC!A:A)),9,FALSE))</f>
        <v/>
      </c>
      <c r="G933" s="137" t="str">
        <f t="array" ref="G933">IFERROR(IF(A933="","",VLOOKUP(A933,INDIRECT("HISTÓRICO COBROS!A3:F"&amp;COUNTA('HISTÓRICO COBROS'!A:A)),6,FALSE)),"")</f>
        <v/>
      </c>
      <c r="H933" s="138" t="str">
        <f t="shared" ref="H933:I933" si="934">IF(D933="","",D933+F933)</f>
        <v/>
      </c>
      <c r="I933" s="135" t="str">
        <f t="shared" si="934"/>
        <v/>
      </c>
      <c r="J933" s="140" t="str">
        <f t="shared" si="3"/>
        <v/>
      </c>
      <c r="K933" s="140" t="str">
        <f t="shared" si="4"/>
        <v/>
      </c>
    </row>
    <row r="934" ht="22.5" customHeight="1">
      <c r="A934" s="140"/>
      <c r="B934" s="135" t="str">
        <f t="array" ref="B934">IF(A934="","",VLOOKUP(A934,INDIRECT("CXC!A2:B"&amp;COUNTA(CXC!A:A)),2,FALSE))</f>
        <v/>
      </c>
      <c r="C934" s="136" t="str">
        <f t="array" ref="C934">IF(A934="","",VLOOKUP(A934,INDIRECT("CXC!A2:C"&amp;COUNTA(CXC!A:A)),3,FALSE))</f>
        <v/>
      </c>
      <c r="D934" s="137" t="str">
        <f t="array" ref="D934">IF(A934="","",VLOOKUP(A934,INDIRECT("CXC!A2:H"&amp;COUNTA(CXC!A:A)),8,FALSE))</f>
        <v/>
      </c>
      <c r="E934" s="137" t="str">
        <f t="array" ref="E934">IFERROR(IF(A934="","",VLOOKUP(A934,INDIRECT("HISTÓRICO COBROS!A3:E"&amp;COUNTA('HISTÓRICO COBROS'!A:A)),5,FALSE)),"")</f>
        <v/>
      </c>
      <c r="F934" s="137" t="str">
        <f t="array" ref="F934">IF(A934="","",VLOOKUP(A934,INDIRECT("CXC!A2:I"&amp;COUNTA(CXC!A:A)),9,FALSE))</f>
        <v/>
      </c>
      <c r="G934" s="137" t="str">
        <f t="array" ref="G934">IFERROR(IF(A934="","",VLOOKUP(A934,INDIRECT("HISTÓRICO COBROS!A3:F"&amp;COUNTA('HISTÓRICO COBROS'!A:A)),6,FALSE)),"")</f>
        <v/>
      </c>
      <c r="H934" s="138" t="str">
        <f t="shared" ref="H934:I934" si="935">IF(D934="","",D934+F934)</f>
        <v/>
      </c>
      <c r="I934" s="135" t="str">
        <f t="shared" si="935"/>
        <v/>
      </c>
      <c r="J934" s="140" t="str">
        <f t="shared" si="3"/>
        <v/>
      </c>
      <c r="K934" s="140" t="str">
        <f t="shared" si="4"/>
        <v/>
      </c>
    </row>
    <row r="935" ht="22.5" customHeight="1">
      <c r="A935" s="140"/>
      <c r="B935" s="135" t="str">
        <f t="array" ref="B935">IF(A935="","",VLOOKUP(A935,INDIRECT("CXC!A2:B"&amp;COUNTA(CXC!A:A)),2,FALSE))</f>
        <v/>
      </c>
      <c r="C935" s="136" t="str">
        <f t="array" ref="C935">IF(A935="","",VLOOKUP(A935,INDIRECT("CXC!A2:C"&amp;COUNTA(CXC!A:A)),3,FALSE))</f>
        <v/>
      </c>
      <c r="D935" s="137" t="str">
        <f t="array" ref="D935">IF(A935="","",VLOOKUP(A935,INDIRECT("CXC!A2:H"&amp;COUNTA(CXC!A:A)),8,FALSE))</f>
        <v/>
      </c>
      <c r="E935" s="137" t="str">
        <f t="array" ref="E935">IFERROR(IF(A935="","",VLOOKUP(A935,INDIRECT("HISTÓRICO COBROS!A3:E"&amp;COUNTA('HISTÓRICO COBROS'!A:A)),5,FALSE)),"")</f>
        <v/>
      </c>
      <c r="F935" s="137" t="str">
        <f t="array" ref="F935">IF(A935="","",VLOOKUP(A935,INDIRECT("CXC!A2:I"&amp;COUNTA(CXC!A:A)),9,FALSE))</f>
        <v/>
      </c>
      <c r="G935" s="137" t="str">
        <f t="array" ref="G935">IFERROR(IF(A935="","",VLOOKUP(A935,INDIRECT("HISTÓRICO COBROS!A3:F"&amp;COUNTA('HISTÓRICO COBROS'!A:A)),6,FALSE)),"")</f>
        <v/>
      </c>
      <c r="H935" s="138" t="str">
        <f t="shared" ref="H935:I935" si="936">IF(D935="","",D935+F935)</f>
        <v/>
      </c>
      <c r="I935" s="135" t="str">
        <f t="shared" si="936"/>
        <v/>
      </c>
      <c r="J935" s="140" t="str">
        <f t="shared" si="3"/>
        <v/>
      </c>
      <c r="K935" s="140" t="str">
        <f t="shared" si="4"/>
        <v/>
      </c>
    </row>
    <row r="936" ht="22.5" customHeight="1">
      <c r="A936" s="140"/>
      <c r="B936" s="135" t="str">
        <f t="array" ref="B936">IF(A936="","",VLOOKUP(A936,INDIRECT("CXC!A2:B"&amp;COUNTA(CXC!A:A)),2,FALSE))</f>
        <v/>
      </c>
      <c r="C936" s="136" t="str">
        <f t="array" ref="C936">IF(A936="","",VLOOKUP(A936,INDIRECT("CXC!A2:C"&amp;COUNTA(CXC!A:A)),3,FALSE))</f>
        <v/>
      </c>
      <c r="D936" s="137" t="str">
        <f t="array" ref="D936">IF(A936="","",VLOOKUP(A936,INDIRECT("CXC!A2:H"&amp;COUNTA(CXC!A:A)),8,FALSE))</f>
        <v/>
      </c>
      <c r="E936" s="137" t="str">
        <f t="array" ref="E936">IFERROR(IF(A936="","",VLOOKUP(A936,INDIRECT("HISTÓRICO COBROS!A3:E"&amp;COUNTA('HISTÓRICO COBROS'!A:A)),5,FALSE)),"")</f>
        <v/>
      </c>
      <c r="F936" s="137" t="str">
        <f t="array" ref="F936">IF(A936="","",VLOOKUP(A936,INDIRECT("CXC!A2:I"&amp;COUNTA(CXC!A:A)),9,FALSE))</f>
        <v/>
      </c>
      <c r="G936" s="137" t="str">
        <f t="array" ref="G936">IFERROR(IF(A936="","",VLOOKUP(A936,INDIRECT("HISTÓRICO COBROS!A3:F"&amp;COUNTA('HISTÓRICO COBROS'!A:A)),6,FALSE)),"")</f>
        <v/>
      </c>
      <c r="H936" s="138" t="str">
        <f t="shared" ref="H936:I936" si="937">IF(D936="","",D936+F936)</f>
        <v/>
      </c>
      <c r="I936" s="135" t="str">
        <f t="shared" si="937"/>
        <v/>
      </c>
      <c r="J936" s="140" t="str">
        <f t="shared" si="3"/>
        <v/>
      </c>
      <c r="K936" s="140" t="str">
        <f t="shared" si="4"/>
        <v/>
      </c>
    </row>
    <row r="937" ht="22.5" customHeight="1">
      <c r="A937" s="140"/>
      <c r="B937" s="135" t="str">
        <f t="array" ref="B937">IF(A937="","",VLOOKUP(A937,INDIRECT("CXC!A2:B"&amp;COUNTA(CXC!A:A)),2,FALSE))</f>
        <v/>
      </c>
      <c r="C937" s="136" t="str">
        <f t="array" ref="C937">IF(A937="","",VLOOKUP(A937,INDIRECT("CXC!A2:C"&amp;COUNTA(CXC!A:A)),3,FALSE))</f>
        <v/>
      </c>
      <c r="D937" s="137" t="str">
        <f t="array" ref="D937">IF(A937="","",VLOOKUP(A937,INDIRECT("CXC!A2:H"&amp;COUNTA(CXC!A:A)),8,FALSE))</f>
        <v/>
      </c>
      <c r="E937" s="137" t="str">
        <f t="array" ref="E937">IFERROR(IF(A937="","",VLOOKUP(A937,INDIRECT("HISTÓRICO COBROS!A3:E"&amp;COUNTA('HISTÓRICO COBROS'!A:A)),5,FALSE)),"")</f>
        <v/>
      </c>
      <c r="F937" s="137" t="str">
        <f t="array" ref="F937">IF(A937="","",VLOOKUP(A937,INDIRECT("CXC!A2:I"&amp;COUNTA(CXC!A:A)),9,FALSE))</f>
        <v/>
      </c>
      <c r="G937" s="137" t="str">
        <f t="array" ref="G937">IFERROR(IF(A937="","",VLOOKUP(A937,INDIRECT("HISTÓRICO COBROS!A3:F"&amp;COUNTA('HISTÓRICO COBROS'!A:A)),6,FALSE)),"")</f>
        <v/>
      </c>
      <c r="H937" s="138" t="str">
        <f t="shared" ref="H937:I937" si="938">IF(D937="","",D937+F937)</f>
        <v/>
      </c>
      <c r="I937" s="135" t="str">
        <f t="shared" si="938"/>
        <v/>
      </c>
      <c r="J937" s="140" t="str">
        <f t="shared" si="3"/>
        <v/>
      </c>
      <c r="K937" s="140" t="str">
        <f t="shared" si="4"/>
        <v/>
      </c>
    </row>
    <row r="938" ht="22.5" customHeight="1">
      <c r="A938" s="140"/>
      <c r="B938" s="135" t="str">
        <f t="array" ref="B938">IF(A938="","",VLOOKUP(A938,INDIRECT("CXC!A2:B"&amp;COUNTA(CXC!A:A)),2,FALSE))</f>
        <v/>
      </c>
      <c r="C938" s="136" t="str">
        <f t="array" ref="C938">IF(A938="","",VLOOKUP(A938,INDIRECT("CXC!A2:C"&amp;COUNTA(CXC!A:A)),3,FALSE))</f>
        <v/>
      </c>
      <c r="D938" s="137" t="str">
        <f t="array" ref="D938">IF(A938="","",VLOOKUP(A938,INDIRECT("CXC!A2:H"&amp;COUNTA(CXC!A:A)),8,FALSE))</f>
        <v/>
      </c>
      <c r="E938" s="137" t="str">
        <f t="array" ref="E938">IFERROR(IF(A938="","",VLOOKUP(A938,INDIRECT("HISTÓRICO COBROS!A3:E"&amp;COUNTA('HISTÓRICO COBROS'!A:A)),5,FALSE)),"")</f>
        <v/>
      </c>
      <c r="F938" s="137" t="str">
        <f t="array" ref="F938">IF(A938="","",VLOOKUP(A938,INDIRECT("CXC!A2:I"&amp;COUNTA(CXC!A:A)),9,FALSE))</f>
        <v/>
      </c>
      <c r="G938" s="137" t="str">
        <f t="array" ref="G938">IFERROR(IF(A938="","",VLOOKUP(A938,INDIRECT("HISTÓRICO COBROS!A3:F"&amp;COUNTA('HISTÓRICO COBROS'!A:A)),6,FALSE)),"")</f>
        <v/>
      </c>
      <c r="H938" s="138" t="str">
        <f t="shared" ref="H938:I938" si="939">IF(D938="","",D938+F938)</f>
        <v/>
      </c>
      <c r="I938" s="135" t="str">
        <f t="shared" si="939"/>
        <v/>
      </c>
      <c r="J938" s="140" t="str">
        <f t="shared" si="3"/>
        <v/>
      </c>
      <c r="K938" s="140" t="str">
        <f t="shared" si="4"/>
        <v/>
      </c>
    </row>
    <row r="939" ht="22.5" customHeight="1">
      <c r="A939" s="140"/>
      <c r="B939" s="135" t="str">
        <f t="array" ref="B939">IF(A939="","",VLOOKUP(A939,INDIRECT("CXC!A2:B"&amp;COUNTA(CXC!A:A)),2,FALSE))</f>
        <v/>
      </c>
      <c r="C939" s="136" t="str">
        <f t="array" ref="C939">IF(A939="","",VLOOKUP(A939,INDIRECT("CXC!A2:C"&amp;COUNTA(CXC!A:A)),3,FALSE))</f>
        <v/>
      </c>
      <c r="D939" s="137" t="str">
        <f t="array" ref="D939">IF(A939="","",VLOOKUP(A939,INDIRECT("CXC!A2:H"&amp;COUNTA(CXC!A:A)),8,FALSE))</f>
        <v/>
      </c>
      <c r="E939" s="137" t="str">
        <f t="array" ref="E939">IFERROR(IF(A939="","",VLOOKUP(A939,INDIRECT("HISTÓRICO COBROS!A3:E"&amp;COUNTA('HISTÓRICO COBROS'!A:A)),5,FALSE)),"")</f>
        <v/>
      </c>
      <c r="F939" s="137" t="str">
        <f t="array" ref="F939">IF(A939="","",VLOOKUP(A939,INDIRECT("CXC!A2:I"&amp;COUNTA(CXC!A:A)),9,FALSE))</f>
        <v/>
      </c>
      <c r="G939" s="137" t="str">
        <f t="array" ref="G939">IFERROR(IF(A939="","",VLOOKUP(A939,INDIRECT("HISTÓRICO COBROS!A3:F"&amp;COUNTA('HISTÓRICO COBROS'!A:A)),6,FALSE)),"")</f>
        <v/>
      </c>
      <c r="H939" s="138" t="str">
        <f t="shared" ref="H939:I939" si="940">IF(D939="","",D939+F939)</f>
        <v/>
      </c>
      <c r="I939" s="135" t="str">
        <f t="shared" si="940"/>
        <v/>
      </c>
      <c r="J939" s="140" t="str">
        <f t="shared" si="3"/>
        <v/>
      </c>
      <c r="K939" s="140" t="str">
        <f t="shared" si="4"/>
        <v/>
      </c>
    </row>
    <row r="940" ht="22.5" customHeight="1">
      <c r="A940" s="140"/>
      <c r="B940" s="135" t="str">
        <f t="array" ref="B940">IF(A940="","",VLOOKUP(A940,INDIRECT("CXC!A2:B"&amp;COUNTA(CXC!A:A)),2,FALSE))</f>
        <v/>
      </c>
      <c r="C940" s="136" t="str">
        <f t="array" ref="C940">IF(A940="","",VLOOKUP(A940,INDIRECT("CXC!A2:C"&amp;COUNTA(CXC!A:A)),3,FALSE))</f>
        <v/>
      </c>
      <c r="D940" s="137" t="str">
        <f t="array" ref="D940">IF(A940="","",VLOOKUP(A940,INDIRECT("CXC!A2:H"&amp;COUNTA(CXC!A:A)),8,FALSE))</f>
        <v/>
      </c>
      <c r="E940" s="137" t="str">
        <f t="array" ref="E940">IFERROR(IF(A940="","",VLOOKUP(A940,INDIRECT("HISTÓRICO COBROS!A3:E"&amp;COUNTA('HISTÓRICO COBROS'!A:A)),5,FALSE)),"")</f>
        <v/>
      </c>
      <c r="F940" s="137" t="str">
        <f t="array" ref="F940">IF(A940="","",VLOOKUP(A940,INDIRECT("CXC!A2:I"&amp;COUNTA(CXC!A:A)),9,FALSE))</f>
        <v/>
      </c>
      <c r="G940" s="137" t="str">
        <f t="array" ref="G940">IFERROR(IF(A940="","",VLOOKUP(A940,INDIRECT("HISTÓRICO COBROS!A3:F"&amp;COUNTA('HISTÓRICO COBROS'!A:A)),6,FALSE)),"")</f>
        <v/>
      </c>
      <c r="H940" s="138" t="str">
        <f t="shared" ref="H940:I940" si="941">IF(D940="","",D940+F940)</f>
        <v/>
      </c>
      <c r="I940" s="135" t="str">
        <f t="shared" si="941"/>
        <v/>
      </c>
      <c r="J940" s="140" t="str">
        <f t="shared" si="3"/>
        <v/>
      </c>
      <c r="K940" s="140" t="str">
        <f t="shared" si="4"/>
        <v/>
      </c>
    </row>
    <row r="941" ht="22.5" customHeight="1">
      <c r="A941" s="140"/>
      <c r="B941" s="135" t="str">
        <f t="array" ref="B941">IF(A941="","",VLOOKUP(A941,INDIRECT("CXC!A2:B"&amp;COUNTA(CXC!A:A)),2,FALSE))</f>
        <v/>
      </c>
      <c r="C941" s="136" t="str">
        <f t="array" ref="C941">IF(A941="","",VLOOKUP(A941,INDIRECT("CXC!A2:C"&amp;COUNTA(CXC!A:A)),3,FALSE))</f>
        <v/>
      </c>
      <c r="D941" s="137" t="str">
        <f t="array" ref="D941">IF(A941="","",VLOOKUP(A941,INDIRECT("CXC!A2:H"&amp;COUNTA(CXC!A:A)),8,FALSE))</f>
        <v/>
      </c>
      <c r="E941" s="137" t="str">
        <f t="array" ref="E941">IFERROR(IF(A941="","",VLOOKUP(A941,INDIRECT("HISTÓRICO COBROS!A3:E"&amp;COUNTA('HISTÓRICO COBROS'!A:A)),5,FALSE)),"")</f>
        <v/>
      </c>
      <c r="F941" s="137" t="str">
        <f t="array" ref="F941">IF(A941="","",VLOOKUP(A941,INDIRECT("CXC!A2:I"&amp;COUNTA(CXC!A:A)),9,FALSE))</f>
        <v/>
      </c>
      <c r="G941" s="137" t="str">
        <f t="array" ref="G941">IFERROR(IF(A941="","",VLOOKUP(A941,INDIRECT("HISTÓRICO COBROS!A3:F"&amp;COUNTA('HISTÓRICO COBROS'!A:A)),6,FALSE)),"")</f>
        <v/>
      </c>
      <c r="H941" s="138" t="str">
        <f t="shared" ref="H941:I941" si="942">IF(D941="","",D941+F941)</f>
        <v/>
      </c>
      <c r="I941" s="135" t="str">
        <f t="shared" si="942"/>
        <v/>
      </c>
      <c r="J941" s="140" t="str">
        <f t="shared" si="3"/>
        <v/>
      </c>
      <c r="K941" s="140" t="str">
        <f t="shared" si="4"/>
        <v/>
      </c>
    </row>
    <row r="942" ht="22.5" customHeight="1">
      <c r="A942" s="140"/>
      <c r="B942" s="135" t="str">
        <f t="array" ref="B942">IF(A942="","",VLOOKUP(A942,INDIRECT("CXC!A2:B"&amp;COUNTA(CXC!A:A)),2,FALSE))</f>
        <v/>
      </c>
      <c r="C942" s="136" t="str">
        <f t="array" ref="C942">IF(A942="","",VLOOKUP(A942,INDIRECT("CXC!A2:C"&amp;COUNTA(CXC!A:A)),3,FALSE))</f>
        <v/>
      </c>
      <c r="D942" s="137" t="str">
        <f t="array" ref="D942">IF(A942="","",VLOOKUP(A942,INDIRECT("CXC!A2:H"&amp;COUNTA(CXC!A:A)),8,FALSE))</f>
        <v/>
      </c>
      <c r="E942" s="137" t="str">
        <f t="array" ref="E942">IFERROR(IF(A942="","",VLOOKUP(A942,INDIRECT("HISTÓRICO COBROS!A3:E"&amp;COUNTA('HISTÓRICO COBROS'!A:A)),5,FALSE)),"")</f>
        <v/>
      </c>
      <c r="F942" s="137" t="str">
        <f t="array" ref="F942">IF(A942="","",VLOOKUP(A942,INDIRECT("CXC!A2:I"&amp;COUNTA(CXC!A:A)),9,FALSE))</f>
        <v/>
      </c>
      <c r="G942" s="137" t="str">
        <f t="array" ref="G942">IFERROR(IF(A942="","",VLOOKUP(A942,INDIRECT("HISTÓRICO COBROS!A3:F"&amp;COUNTA('HISTÓRICO COBROS'!A:A)),6,FALSE)),"")</f>
        <v/>
      </c>
      <c r="H942" s="138" t="str">
        <f t="shared" ref="H942:I942" si="943">IF(D942="","",D942+F942)</f>
        <v/>
      </c>
      <c r="I942" s="135" t="str">
        <f t="shared" si="943"/>
        <v/>
      </c>
      <c r="J942" s="140" t="str">
        <f t="shared" si="3"/>
        <v/>
      </c>
      <c r="K942" s="140" t="str">
        <f t="shared" si="4"/>
        <v/>
      </c>
    </row>
    <row r="943" ht="22.5" customHeight="1">
      <c r="A943" s="140"/>
      <c r="B943" s="135" t="str">
        <f t="array" ref="B943">IF(A943="","",VLOOKUP(A943,INDIRECT("CXC!A2:B"&amp;COUNTA(CXC!A:A)),2,FALSE))</f>
        <v/>
      </c>
      <c r="C943" s="136" t="str">
        <f t="array" ref="C943">IF(A943="","",VLOOKUP(A943,INDIRECT("CXC!A2:C"&amp;COUNTA(CXC!A:A)),3,FALSE))</f>
        <v/>
      </c>
      <c r="D943" s="137" t="str">
        <f t="array" ref="D943">IF(A943="","",VLOOKUP(A943,INDIRECT("CXC!A2:H"&amp;COUNTA(CXC!A:A)),8,FALSE))</f>
        <v/>
      </c>
      <c r="E943" s="137" t="str">
        <f t="array" ref="E943">IFERROR(IF(A943="","",VLOOKUP(A943,INDIRECT("HISTÓRICO COBROS!A3:E"&amp;COUNTA('HISTÓRICO COBROS'!A:A)),5,FALSE)),"")</f>
        <v/>
      </c>
      <c r="F943" s="137" t="str">
        <f t="array" ref="F943">IF(A943="","",VLOOKUP(A943,INDIRECT("CXC!A2:I"&amp;COUNTA(CXC!A:A)),9,FALSE))</f>
        <v/>
      </c>
      <c r="G943" s="137" t="str">
        <f t="array" ref="G943">IFERROR(IF(A943="","",VLOOKUP(A943,INDIRECT("HISTÓRICO COBROS!A3:F"&amp;COUNTA('HISTÓRICO COBROS'!A:A)),6,FALSE)),"")</f>
        <v/>
      </c>
      <c r="H943" s="138" t="str">
        <f t="shared" ref="H943:I943" si="944">IF(D943="","",D943+F943)</f>
        <v/>
      </c>
      <c r="I943" s="135" t="str">
        <f t="shared" si="944"/>
        <v/>
      </c>
      <c r="J943" s="140" t="str">
        <f t="shared" si="3"/>
        <v/>
      </c>
      <c r="K943" s="140" t="str">
        <f t="shared" si="4"/>
        <v/>
      </c>
    </row>
    <row r="944" ht="22.5" customHeight="1">
      <c r="A944" s="140"/>
      <c r="B944" s="135" t="str">
        <f t="array" ref="B944">IF(A944="","",VLOOKUP(A944,INDIRECT("CXC!A2:B"&amp;COUNTA(CXC!A:A)),2,FALSE))</f>
        <v/>
      </c>
      <c r="C944" s="136" t="str">
        <f t="array" ref="C944">IF(A944="","",VLOOKUP(A944,INDIRECT("CXC!A2:C"&amp;COUNTA(CXC!A:A)),3,FALSE))</f>
        <v/>
      </c>
      <c r="D944" s="137" t="str">
        <f t="array" ref="D944">IF(A944="","",VLOOKUP(A944,INDIRECT("CXC!A2:H"&amp;COUNTA(CXC!A:A)),8,FALSE))</f>
        <v/>
      </c>
      <c r="E944" s="137" t="str">
        <f t="array" ref="E944">IFERROR(IF(A944="","",VLOOKUP(A944,INDIRECT("HISTÓRICO COBROS!A3:E"&amp;COUNTA('HISTÓRICO COBROS'!A:A)),5,FALSE)),"")</f>
        <v/>
      </c>
      <c r="F944" s="137" t="str">
        <f t="array" ref="F944">IF(A944="","",VLOOKUP(A944,INDIRECT("CXC!A2:I"&amp;COUNTA(CXC!A:A)),9,FALSE))</f>
        <v/>
      </c>
      <c r="G944" s="137" t="str">
        <f t="array" ref="G944">IFERROR(IF(A944="","",VLOOKUP(A944,INDIRECT("HISTÓRICO COBROS!A3:F"&amp;COUNTA('HISTÓRICO COBROS'!A:A)),6,FALSE)),"")</f>
        <v/>
      </c>
      <c r="H944" s="138" t="str">
        <f t="shared" ref="H944:I944" si="945">IF(D944="","",D944+F944)</f>
        <v/>
      </c>
      <c r="I944" s="135" t="str">
        <f t="shared" si="945"/>
        <v/>
      </c>
      <c r="J944" s="140" t="str">
        <f t="shared" si="3"/>
        <v/>
      </c>
      <c r="K944" s="140" t="str">
        <f t="shared" si="4"/>
        <v/>
      </c>
    </row>
    <row r="945" ht="22.5" customHeight="1">
      <c r="A945" s="140"/>
      <c r="B945" s="135" t="str">
        <f t="array" ref="B945">IF(A945="","",VLOOKUP(A945,INDIRECT("CXC!A2:B"&amp;COUNTA(CXC!A:A)),2,FALSE))</f>
        <v/>
      </c>
      <c r="C945" s="136" t="str">
        <f t="array" ref="C945">IF(A945="","",VLOOKUP(A945,INDIRECT("CXC!A2:C"&amp;COUNTA(CXC!A:A)),3,FALSE))</f>
        <v/>
      </c>
      <c r="D945" s="137" t="str">
        <f t="array" ref="D945">IF(A945="","",VLOOKUP(A945,INDIRECT("CXC!A2:H"&amp;COUNTA(CXC!A:A)),8,FALSE))</f>
        <v/>
      </c>
      <c r="E945" s="137" t="str">
        <f t="array" ref="E945">IFERROR(IF(A945="","",VLOOKUP(A945,INDIRECT("HISTÓRICO COBROS!A3:E"&amp;COUNTA('HISTÓRICO COBROS'!A:A)),5,FALSE)),"")</f>
        <v/>
      </c>
      <c r="F945" s="137" t="str">
        <f t="array" ref="F945">IF(A945="","",VLOOKUP(A945,INDIRECT("CXC!A2:I"&amp;COUNTA(CXC!A:A)),9,FALSE))</f>
        <v/>
      </c>
      <c r="G945" s="137" t="str">
        <f t="array" ref="G945">IFERROR(IF(A945="","",VLOOKUP(A945,INDIRECT("HISTÓRICO COBROS!A3:F"&amp;COUNTA('HISTÓRICO COBROS'!A:A)),6,FALSE)),"")</f>
        <v/>
      </c>
      <c r="H945" s="138" t="str">
        <f t="shared" ref="H945:I945" si="946">IF(D945="","",D945+F945)</f>
        <v/>
      </c>
      <c r="I945" s="135" t="str">
        <f t="shared" si="946"/>
        <v/>
      </c>
      <c r="J945" s="140" t="str">
        <f t="shared" si="3"/>
        <v/>
      </c>
      <c r="K945" s="140" t="str">
        <f t="shared" si="4"/>
        <v/>
      </c>
    </row>
    <row r="946" ht="22.5" customHeight="1">
      <c r="A946" s="140"/>
      <c r="B946" s="135" t="str">
        <f t="array" ref="B946">IF(A946="","",VLOOKUP(A946,INDIRECT("CXC!A2:B"&amp;COUNTA(CXC!A:A)),2,FALSE))</f>
        <v/>
      </c>
      <c r="C946" s="136" t="str">
        <f t="array" ref="C946">IF(A946="","",VLOOKUP(A946,INDIRECT("CXC!A2:C"&amp;COUNTA(CXC!A:A)),3,FALSE))</f>
        <v/>
      </c>
      <c r="D946" s="137" t="str">
        <f t="array" ref="D946">IF(A946="","",VLOOKUP(A946,INDIRECT("CXC!A2:H"&amp;COUNTA(CXC!A:A)),8,FALSE))</f>
        <v/>
      </c>
      <c r="E946" s="137" t="str">
        <f t="array" ref="E946">IFERROR(IF(A946="","",VLOOKUP(A946,INDIRECT("HISTÓRICO COBROS!A3:E"&amp;COUNTA('HISTÓRICO COBROS'!A:A)),5,FALSE)),"")</f>
        <v/>
      </c>
      <c r="F946" s="137" t="str">
        <f t="array" ref="F946">IF(A946="","",VLOOKUP(A946,INDIRECT("CXC!A2:I"&amp;COUNTA(CXC!A:A)),9,FALSE))</f>
        <v/>
      </c>
      <c r="G946" s="137" t="str">
        <f t="array" ref="G946">IFERROR(IF(A946="","",VLOOKUP(A946,INDIRECT("HISTÓRICO COBROS!A3:F"&amp;COUNTA('HISTÓRICO COBROS'!A:A)),6,FALSE)),"")</f>
        <v/>
      </c>
      <c r="H946" s="138" t="str">
        <f t="shared" ref="H946:I946" si="947">IF(D946="","",D946+F946)</f>
        <v/>
      </c>
      <c r="I946" s="135" t="str">
        <f t="shared" si="947"/>
        <v/>
      </c>
      <c r="J946" s="140" t="str">
        <f t="shared" si="3"/>
        <v/>
      </c>
      <c r="K946" s="140" t="str">
        <f t="shared" si="4"/>
        <v/>
      </c>
    </row>
    <row r="947" ht="22.5" customHeight="1">
      <c r="A947" s="140"/>
      <c r="B947" s="135" t="str">
        <f t="array" ref="B947">IF(A947="","",VLOOKUP(A947,INDIRECT("CXC!A2:B"&amp;COUNTA(CXC!A:A)),2,FALSE))</f>
        <v/>
      </c>
      <c r="C947" s="136" t="str">
        <f t="array" ref="C947">IF(A947="","",VLOOKUP(A947,INDIRECT("CXC!A2:C"&amp;COUNTA(CXC!A:A)),3,FALSE))</f>
        <v/>
      </c>
      <c r="D947" s="137" t="str">
        <f t="array" ref="D947">IF(A947="","",VLOOKUP(A947,INDIRECT("CXC!A2:H"&amp;COUNTA(CXC!A:A)),8,FALSE))</f>
        <v/>
      </c>
      <c r="E947" s="137" t="str">
        <f t="array" ref="E947">IFERROR(IF(A947="","",VLOOKUP(A947,INDIRECT("HISTÓRICO COBROS!A3:E"&amp;COUNTA('HISTÓRICO COBROS'!A:A)),5,FALSE)),"")</f>
        <v/>
      </c>
      <c r="F947" s="137" t="str">
        <f t="array" ref="F947">IF(A947="","",VLOOKUP(A947,INDIRECT("CXC!A2:I"&amp;COUNTA(CXC!A:A)),9,FALSE))</f>
        <v/>
      </c>
      <c r="G947" s="137" t="str">
        <f t="array" ref="G947">IFERROR(IF(A947="","",VLOOKUP(A947,INDIRECT("HISTÓRICO COBROS!A3:F"&amp;COUNTA('HISTÓRICO COBROS'!A:A)),6,FALSE)),"")</f>
        <v/>
      </c>
      <c r="H947" s="138" t="str">
        <f t="shared" ref="H947:I947" si="948">IF(D947="","",D947+F947)</f>
        <v/>
      </c>
      <c r="I947" s="135" t="str">
        <f t="shared" si="948"/>
        <v/>
      </c>
      <c r="J947" s="140" t="str">
        <f t="shared" si="3"/>
        <v/>
      </c>
      <c r="K947" s="140" t="str">
        <f t="shared" si="4"/>
        <v/>
      </c>
    </row>
    <row r="948" ht="22.5" customHeight="1">
      <c r="A948" s="140"/>
      <c r="B948" s="135" t="str">
        <f t="array" ref="B948">IF(A948="","",VLOOKUP(A948,INDIRECT("CXC!A2:B"&amp;COUNTA(CXC!A:A)),2,FALSE))</f>
        <v/>
      </c>
      <c r="C948" s="136" t="str">
        <f t="array" ref="C948">IF(A948="","",VLOOKUP(A948,INDIRECT("CXC!A2:C"&amp;COUNTA(CXC!A:A)),3,FALSE))</f>
        <v/>
      </c>
      <c r="D948" s="137" t="str">
        <f t="array" ref="D948">IF(A948="","",VLOOKUP(A948,INDIRECT("CXC!A2:H"&amp;COUNTA(CXC!A:A)),8,FALSE))</f>
        <v/>
      </c>
      <c r="E948" s="137" t="str">
        <f t="array" ref="E948">IFERROR(IF(A948="","",VLOOKUP(A948,INDIRECT("HISTÓRICO COBROS!A3:E"&amp;COUNTA('HISTÓRICO COBROS'!A:A)),5,FALSE)),"")</f>
        <v/>
      </c>
      <c r="F948" s="137" t="str">
        <f t="array" ref="F948">IF(A948="","",VLOOKUP(A948,INDIRECT("CXC!A2:I"&amp;COUNTA(CXC!A:A)),9,FALSE))</f>
        <v/>
      </c>
      <c r="G948" s="137" t="str">
        <f t="array" ref="G948">IFERROR(IF(A948="","",VLOOKUP(A948,INDIRECT("HISTÓRICO COBROS!A3:F"&amp;COUNTA('HISTÓRICO COBROS'!A:A)),6,FALSE)),"")</f>
        <v/>
      </c>
      <c r="H948" s="138" t="str">
        <f t="shared" ref="H948:I948" si="949">IF(D948="","",D948+F948)</f>
        <v/>
      </c>
      <c r="I948" s="135" t="str">
        <f t="shared" si="949"/>
        <v/>
      </c>
      <c r="J948" s="140" t="str">
        <f t="shared" si="3"/>
        <v/>
      </c>
      <c r="K948" s="140" t="str">
        <f t="shared" si="4"/>
        <v/>
      </c>
    </row>
    <row r="949" ht="22.5" customHeight="1">
      <c r="A949" s="140"/>
      <c r="B949" s="135" t="str">
        <f t="array" ref="B949">IF(A949="","",VLOOKUP(A949,INDIRECT("CXC!A2:B"&amp;COUNTA(CXC!A:A)),2,FALSE))</f>
        <v/>
      </c>
      <c r="C949" s="136" t="str">
        <f t="array" ref="C949">IF(A949="","",VLOOKUP(A949,INDIRECT("CXC!A2:C"&amp;COUNTA(CXC!A:A)),3,FALSE))</f>
        <v/>
      </c>
      <c r="D949" s="137" t="str">
        <f t="array" ref="D949">IF(A949="","",VLOOKUP(A949,INDIRECT("CXC!A2:H"&amp;COUNTA(CXC!A:A)),8,FALSE))</f>
        <v/>
      </c>
      <c r="E949" s="137" t="str">
        <f t="array" ref="E949">IFERROR(IF(A949="","",VLOOKUP(A949,INDIRECT("HISTÓRICO COBROS!A3:E"&amp;COUNTA('HISTÓRICO COBROS'!A:A)),5,FALSE)),"")</f>
        <v/>
      </c>
      <c r="F949" s="137" t="str">
        <f t="array" ref="F949">IF(A949="","",VLOOKUP(A949,INDIRECT("CXC!A2:I"&amp;COUNTA(CXC!A:A)),9,FALSE))</f>
        <v/>
      </c>
      <c r="G949" s="137" t="str">
        <f t="array" ref="G949">IFERROR(IF(A949="","",VLOOKUP(A949,INDIRECT("HISTÓRICO COBROS!A3:F"&amp;COUNTA('HISTÓRICO COBROS'!A:A)),6,FALSE)),"")</f>
        <v/>
      </c>
      <c r="H949" s="138" t="str">
        <f t="shared" ref="H949:I949" si="950">IF(D949="","",D949+F949)</f>
        <v/>
      </c>
      <c r="I949" s="135" t="str">
        <f t="shared" si="950"/>
        <v/>
      </c>
      <c r="J949" s="140" t="str">
        <f t="shared" si="3"/>
        <v/>
      </c>
      <c r="K949" s="140" t="str">
        <f t="shared" si="4"/>
        <v/>
      </c>
    </row>
    <row r="950" ht="22.5" customHeight="1">
      <c r="A950" s="140"/>
      <c r="B950" s="135" t="str">
        <f t="array" ref="B950">IF(A950="","",VLOOKUP(A950,INDIRECT("CXC!A2:B"&amp;COUNTA(CXC!A:A)),2,FALSE))</f>
        <v/>
      </c>
      <c r="C950" s="136" t="str">
        <f t="array" ref="C950">IF(A950="","",VLOOKUP(A950,INDIRECT("CXC!A2:C"&amp;COUNTA(CXC!A:A)),3,FALSE))</f>
        <v/>
      </c>
      <c r="D950" s="137" t="str">
        <f t="array" ref="D950">IF(A950="","",VLOOKUP(A950,INDIRECT("CXC!A2:H"&amp;COUNTA(CXC!A:A)),8,FALSE))</f>
        <v/>
      </c>
      <c r="E950" s="137" t="str">
        <f t="array" ref="E950">IFERROR(IF(A950="","",VLOOKUP(A950,INDIRECT("HISTÓRICO COBROS!A3:E"&amp;COUNTA('HISTÓRICO COBROS'!A:A)),5,FALSE)),"")</f>
        <v/>
      </c>
      <c r="F950" s="137" t="str">
        <f t="array" ref="F950">IF(A950="","",VLOOKUP(A950,INDIRECT("CXC!A2:I"&amp;COUNTA(CXC!A:A)),9,FALSE))</f>
        <v/>
      </c>
      <c r="G950" s="137" t="str">
        <f t="array" ref="G950">IFERROR(IF(A950="","",VLOOKUP(A950,INDIRECT("HISTÓRICO COBROS!A3:F"&amp;COUNTA('HISTÓRICO COBROS'!A:A)),6,FALSE)),"")</f>
        <v/>
      </c>
      <c r="H950" s="138" t="str">
        <f t="shared" ref="H950:I950" si="951">IF(D950="","",D950+F950)</f>
        <v/>
      </c>
      <c r="I950" s="135" t="str">
        <f t="shared" si="951"/>
        <v/>
      </c>
      <c r="J950" s="140" t="str">
        <f t="shared" si="3"/>
        <v/>
      </c>
      <c r="K950" s="140" t="str">
        <f t="shared" si="4"/>
        <v/>
      </c>
    </row>
    <row r="951" ht="22.5" customHeight="1">
      <c r="A951" s="140"/>
      <c r="B951" s="135" t="str">
        <f t="array" ref="B951">IF(A951="","",VLOOKUP(A951,INDIRECT("CXC!A2:B"&amp;COUNTA(CXC!A:A)),2,FALSE))</f>
        <v/>
      </c>
      <c r="C951" s="136" t="str">
        <f t="array" ref="C951">IF(A951="","",VLOOKUP(A951,INDIRECT("CXC!A2:C"&amp;COUNTA(CXC!A:A)),3,FALSE))</f>
        <v/>
      </c>
      <c r="D951" s="137" t="str">
        <f t="array" ref="D951">IF(A951="","",VLOOKUP(A951,INDIRECT("CXC!A2:H"&amp;COUNTA(CXC!A:A)),8,FALSE))</f>
        <v/>
      </c>
      <c r="E951" s="137" t="str">
        <f t="array" ref="E951">IFERROR(IF(A951="","",VLOOKUP(A951,INDIRECT("HISTÓRICO COBROS!A3:E"&amp;COUNTA('HISTÓRICO COBROS'!A:A)),5,FALSE)),"")</f>
        <v/>
      </c>
      <c r="F951" s="137" t="str">
        <f t="array" ref="F951">IF(A951="","",VLOOKUP(A951,INDIRECT("CXC!A2:I"&amp;COUNTA(CXC!A:A)),9,FALSE))</f>
        <v/>
      </c>
      <c r="G951" s="137" t="str">
        <f t="array" ref="G951">IFERROR(IF(A951="","",VLOOKUP(A951,INDIRECT("HISTÓRICO COBROS!A3:F"&amp;COUNTA('HISTÓRICO COBROS'!A:A)),6,FALSE)),"")</f>
        <v/>
      </c>
      <c r="H951" s="138" t="str">
        <f t="shared" ref="H951:I951" si="952">IF(D951="","",D951+F951)</f>
        <v/>
      </c>
      <c r="I951" s="135" t="str">
        <f t="shared" si="952"/>
        <v/>
      </c>
      <c r="J951" s="140" t="str">
        <f t="shared" si="3"/>
        <v/>
      </c>
      <c r="K951" s="140" t="str">
        <f t="shared" si="4"/>
        <v/>
      </c>
    </row>
    <row r="952" ht="22.5" customHeight="1">
      <c r="A952" s="140"/>
      <c r="B952" s="135" t="str">
        <f t="array" ref="B952">IF(A952="","",VLOOKUP(A952,INDIRECT("CXC!A2:B"&amp;COUNTA(CXC!A:A)),2,FALSE))</f>
        <v/>
      </c>
      <c r="C952" s="136" t="str">
        <f t="array" ref="C952">IF(A952="","",VLOOKUP(A952,INDIRECT("CXC!A2:C"&amp;COUNTA(CXC!A:A)),3,FALSE))</f>
        <v/>
      </c>
      <c r="D952" s="137" t="str">
        <f t="array" ref="D952">IF(A952="","",VLOOKUP(A952,INDIRECT("CXC!A2:H"&amp;COUNTA(CXC!A:A)),8,FALSE))</f>
        <v/>
      </c>
      <c r="E952" s="137" t="str">
        <f t="array" ref="E952">IFERROR(IF(A952="","",VLOOKUP(A952,INDIRECT("HISTÓRICO COBROS!A3:E"&amp;COUNTA('HISTÓRICO COBROS'!A:A)),5,FALSE)),"")</f>
        <v/>
      </c>
      <c r="F952" s="137" t="str">
        <f t="array" ref="F952">IF(A952="","",VLOOKUP(A952,INDIRECT("CXC!A2:I"&amp;COUNTA(CXC!A:A)),9,FALSE))</f>
        <v/>
      </c>
      <c r="G952" s="137" t="str">
        <f t="array" ref="G952">IFERROR(IF(A952="","",VLOOKUP(A952,INDIRECT("HISTÓRICO COBROS!A3:F"&amp;COUNTA('HISTÓRICO COBROS'!A:A)),6,FALSE)),"")</f>
        <v/>
      </c>
      <c r="H952" s="138" t="str">
        <f t="shared" ref="H952:I952" si="953">IF(D952="","",D952+F952)</f>
        <v/>
      </c>
      <c r="I952" s="135" t="str">
        <f t="shared" si="953"/>
        <v/>
      </c>
      <c r="J952" s="140" t="str">
        <f t="shared" si="3"/>
        <v/>
      </c>
      <c r="K952" s="140" t="str">
        <f t="shared" si="4"/>
        <v/>
      </c>
    </row>
    <row r="953" ht="22.5" customHeight="1">
      <c r="A953" s="140"/>
      <c r="B953" s="135" t="str">
        <f t="array" ref="B953">IF(A953="","",VLOOKUP(A953,INDIRECT("CXC!A2:B"&amp;COUNTA(CXC!A:A)),2,FALSE))</f>
        <v/>
      </c>
      <c r="C953" s="136" t="str">
        <f t="array" ref="C953">IF(A953="","",VLOOKUP(A953,INDIRECT("CXC!A2:C"&amp;COUNTA(CXC!A:A)),3,FALSE))</f>
        <v/>
      </c>
      <c r="D953" s="137" t="str">
        <f t="array" ref="D953">IF(A953="","",VLOOKUP(A953,INDIRECT("CXC!A2:H"&amp;COUNTA(CXC!A:A)),8,FALSE))</f>
        <v/>
      </c>
      <c r="E953" s="137" t="str">
        <f t="array" ref="E953">IFERROR(IF(A953="","",VLOOKUP(A953,INDIRECT("HISTÓRICO COBROS!A3:E"&amp;COUNTA('HISTÓRICO COBROS'!A:A)),5,FALSE)),"")</f>
        <v/>
      </c>
      <c r="F953" s="137" t="str">
        <f t="array" ref="F953">IF(A953="","",VLOOKUP(A953,INDIRECT("CXC!A2:I"&amp;COUNTA(CXC!A:A)),9,FALSE))</f>
        <v/>
      </c>
      <c r="G953" s="137" t="str">
        <f t="array" ref="G953">IFERROR(IF(A953="","",VLOOKUP(A953,INDIRECT("HISTÓRICO COBROS!A3:F"&amp;COUNTA('HISTÓRICO COBROS'!A:A)),6,FALSE)),"")</f>
        <v/>
      </c>
      <c r="H953" s="138" t="str">
        <f t="shared" ref="H953:I953" si="954">IF(D953="","",D953+F953)</f>
        <v/>
      </c>
      <c r="I953" s="135" t="str">
        <f t="shared" si="954"/>
        <v/>
      </c>
      <c r="J953" s="140" t="str">
        <f t="shared" si="3"/>
        <v/>
      </c>
      <c r="K953" s="140" t="str">
        <f t="shared" si="4"/>
        <v/>
      </c>
    </row>
    <row r="954" ht="22.5" customHeight="1">
      <c r="A954" s="140"/>
      <c r="B954" s="135" t="str">
        <f t="array" ref="B954">IF(A954="","",VLOOKUP(A954,INDIRECT("CXC!A2:B"&amp;COUNTA(CXC!A:A)),2,FALSE))</f>
        <v/>
      </c>
      <c r="C954" s="136" t="str">
        <f t="array" ref="C954">IF(A954="","",VLOOKUP(A954,INDIRECT("CXC!A2:C"&amp;COUNTA(CXC!A:A)),3,FALSE))</f>
        <v/>
      </c>
      <c r="D954" s="137" t="str">
        <f t="array" ref="D954">IF(A954="","",VLOOKUP(A954,INDIRECT("CXC!A2:H"&amp;COUNTA(CXC!A:A)),8,FALSE))</f>
        <v/>
      </c>
      <c r="E954" s="137" t="str">
        <f t="array" ref="E954">IFERROR(IF(A954="","",VLOOKUP(A954,INDIRECT("HISTÓRICO COBROS!A3:E"&amp;COUNTA('HISTÓRICO COBROS'!A:A)),5,FALSE)),"")</f>
        <v/>
      </c>
      <c r="F954" s="137" t="str">
        <f t="array" ref="F954">IF(A954="","",VLOOKUP(A954,INDIRECT("CXC!A2:I"&amp;COUNTA(CXC!A:A)),9,FALSE))</f>
        <v/>
      </c>
      <c r="G954" s="137" t="str">
        <f t="array" ref="G954">IFERROR(IF(A954="","",VLOOKUP(A954,INDIRECT("HISTÓRICO COBROS!A3:F"&amp;COUNTA('HISTÓRICO COBROS'!A:A)),6,FALSE)),"")</f>
        <v/>
      </c>
      <c r="H954" s="138" t="str">
        <f t="shared" ref="H954:I954" si="955">IF(D954="","",D954+F954)</f>
        <v/>
      </c>
      <c r="I954" s="135" t="str">
        <f t="shared" si="955"/>
        <v/>
      </c>
      <c r="J954" s="140" t="str">
        <f t="shared" si="3"/>
        <v/>
      </c>
      <c r="K954" s="140" t="str">
        <f t="shared" si="4"/>
        <v/>
      </c>
    </row>
    <row r="955" ht="22.5" customHeight="1">
      <c r="A955" s="140"/>
      <c r="B955" s="135" t="str">
        <f t="array" ref="B955">IF(A955="","",VLOOKUP(A955,INDIRECT("CXC!A2:B"&amp;COUNTA(CXC!A:A)),2,FALSE))</f>
        <v/>
      </c>
      <c r="C955" s="136" t="str">
        <f t="array" ref="C955">IF(A955="","",VLOOKUP(A955,INDIRECT("CXC!A2:C"&amp;COUNTA(CXC!A:A)),3,FALSE))</f>
        <v/>
      </c>
      <c r="D955" s="137" t="str">
        <f t="array" ref="D955">IF(A955="","",VLOOKUP(A955,INDIRECT("CXC!A2:H"&amp;COUNTA(CXC!A:A)),8,FALSE))</f>
        <v/>
      </c>
      <c r="E955" s="137" t="str">
        <f t="array" ref="E955">IFERROR(IF(A955="","",VLOOKUP(A955,INDIRECT("HISTÓRICO COBROS!A3:E"&amp;COUNTA('HISTÓRICO COBROS'!A:A)),5,FALSE)),"")</f>
        <v/>
      </c>
      <c r="F955" s="137" t="str">
        <f t="array" ref="F955">IF(A955="","",VLOOKUP(A955,INDIRECT("CXC!A2:I"&amp;COUNTA(CXC!A:A)),9,FALSE))</f>
        <v/>
      </c>
      <c r="G955" s="137" t="str">
        <f t="array" ref="G955">IFERROR(IF(A955="","",VLOOKUP(A955,INDIRECT("HISTÓRICO COBROS!A3:F"&amp;COUNTA('HISTÓRICO COBROS'!A:A)),6,FALSE)),"")</f>
        <v/>
      </c>
      <c r="H955" s="138" t="str">
        <f t="shared" ref="H955:I955" si="956">IF(D955="","",D955+F955)</f>
        <v/>
      </c>
      <c r="I955" s="135" t="str">
        <f t="shared" si="956"/>
        <v/>
      </c>
      <c r="J955" s="140" t="str">
        <f t="shared" si="3"/>
        <v/>
      </c>
      <c r="K955" s="140" t="str">
        <f t="shared" si="4"/>
        <v/>
      </c>
    </row>
    <row r="956" ht="22.5" customHeight="1">
      <c r="A956" s="140"/>
      <c r="B956" s="135" t="str">
        <f t="array" ref="B956">IF(A956="","",VLOOKUP(A956,INDIRECT("CXC!A2:B"&amp;COUNTA(CXC!A:A)),2,FALSE))</f>
        <v/>
      </c>
      <c r="C956" s="136" t="str">
        <f t="array" ref="C956">IF(A956="","",VLOOKUP(A956,INDIRECT("CXC!A2:C"&amp;COUNTA(CXC!A:A)),3,FALSE))</f>
        <v/>
      </c>
      <c r="D956" s="137" t="str">
        <f t="array" ref="D956">IF(A956="","",VLOOKUP(A956,INDIRECT("CXC!A2:H"&amp;COUNTA(CXC!A:A)),8,FALSE))</f>
        <v/>
      </c>
      <c r="E956" s="137" t="str">
        <f t="array" ref="E956">IFERROR(IF(A956="","",VLOOKUP(A956,INDIRECT("HISTÓRICO COBROS!A3:E"&amp;COUNTA('HISTÓRICO COBROS'!A:A)),5,FALSE)),"")</f>
        <v/>
      </c>
      <c r="F956" s="137" t="str">
        <f t="array" ref="F956">IF(A956="","",VLOOKUP(A956,INDIRECT("CXC!A2:I"&amp;COUNTA(CXC!A:A)),9,FALSE))</f>
        <v/>
      </c>
      <c r="G956" s="137" t="str">
        <f t="array" ref="G956">IFERROR(IF(A956="","",VLOOKUP(A956,INDIRECT("HISTÓRICO COBROS!A3:F"&amp;COUNTA('HISTÓRICO COBROS'!A:A)),6,FALSE)),"")</f>
        <v/>
      </c>
      <c r="H956" s="138" t="str">
        <f t="shared" ref="H956:I956" si="957">IF(D956="","",D956+F956)</f>
        <v/>
      </c>
      <c r="I956" s="135" t="str">
        <f t="shared" si="957"/>
        <v/>
      </c>
      <c r="J956" s="140" t="str">
        <f t="shared" si="3"/>
        <v/>
      </c>
      <c r="K956" s="140" t="str">
        <f t="shared" si="4"/>
        <v/>
      </c>
    </row>
    <row r="957" ht="22.5" customHeight="1">
      <c r="A957" s="140"/>
      <c r="B957" s="135" t="str">
        <f t="array" ref="B957">IF(A957="","",VLOOKUP(A957,INDIRECT("CXC!A2:B"&amp;COUNTA(CXC!A:A)),2,FALSE))</f>
        <v/>
      </c>
      <c r="C957" s="136" t="str">
        <f t="array" ref="C957">IF(A957="","",VLOOKUP(A957,INDIRECT("CXC!A2:C"&amp;COUNTA(CXC!A:A)),3,FALSE))</f>
        <v/>
      </c>
      <c r="D957" s="137" t="str">
        <f t="array" ref="D957">IF(A957="","",VLOOKUP(A957,INDIRECT("CXC!A2:H"&amp;COUNTA(CXC!A:A)),8,FALSE))</f>
        <v/>
      </c>
      <c r="E957" s="137" t="str">
        <f t="array" ref="E957">IFERROR(IF(A957="","",VLOOKUP(A957,INDIRECT("HISTÓRICO COBROS!A3:E"&amp;COUNTA('HISTÓRICO COBROS'!A:A)),5,FALSE)),"")</f>
        <v/>
      </c>
      <c r="F957" s="137" t="str">
        <f t="array" ref="F957">IF(A957="","",VLOOKUP(A957,INDIRECT("CXC!A2:I"&amp;COUNTA(CXC!A:A)),9,FALSE))</f>
        <v/>
      </c>
      <c r="G957" s="137" t="str">
        <f t="array" ref="G957">IFERROR(IF(A957="","",VLOOKUP(A957,INDIRECT("HISTÓRICO COBROS!A3:F"&amp;COUNTA('HISTÓRICO COBROS'!A:A)),6,FALSE)),"")</f>
        <v/>
      </c>
      <c r="H957" s="138" t="str">
        <f t="shared" ref="H957:I957" si="958">IF(D957="","",D957+F957)</f>
        <v/>
      </c>
      <c r="I957" s="135" t="str">
        <f t="shared" si="958"/>
        <v/>
      </c>
      <c r="J957" s="140" t="str">
        <f t="shared" si="3"/>
        <v/>
      </c>
      <c r="K957" s="140" t="str">
        <f t="shared" si="4"/>
        <v/>
      </c>
    </row>
    <row r="958" ht="22.5" customHeight="1">
      <c r="A958" s="140"/>
      <c r="B958" s="135" t="str">
        <f t="array" ref="B958">IF(A958="","",VLOOKUP(A958,INDIRECT("CXC!A2:B"&amp;COUNTA(CXC!A:A)),2,FALSE))</f>
        <v/>
      </c>
      <c r="C958" s="136" t="str">
        <f t="array" ref="C958">IF(A958="","",VLOOKUP(A958,INDIRECT("CXC!A2:C"&amp;COUNTA(CXC!A:A)),3,FALSE))</f>
        <v/>
      </c>
      <c r="D958" s="137" t="str">
        <f t="array" ref="D958">IF(A958="","",VLOOKUP(A958,INDIRECT("CXC!A2:H"&amp;COUNTA(CXC!A:A)),8,FALSE))</f>
        <v/>
      </c>
      <c r="E958" s="137" t="str">
        <f t="array" ref="E958">IFERROR(IF(A958="","",VLOOKUP(A958,INDIRECT("HISTÓRICO COBROS!A3:E"&amp;COUNTA('HISTÓRICO COBROS'!A:A)),5,FALSE)),"")</f>
        <v/>
      </c>
      <c r="F958" s="137" t="str">
        <f t="array" ref="F958">IF(A958="","",VLOOKUP(A958,INDIRECT("CXC!A2:I"&amp;COUNTA(CXC!A:A)),9,FALSE))</f>
        <v/>
      </c>
      <c r="G958" s="137" t="str">
        <f t="array" ref="G958">IFERROR(IF(A958="","",VLOOKUP(A958,INDIRECT("HISTÓRICO COBROS!A3:F"&amp;COUNTA('HISTÓRICO COBROS'!A:A)),6,FALSE)),"")</f>
        <v/>
      </c>
      <c r="H958" s="138" t="str">
        <f t="shared" ref="H958:I958" si="959">IF(D958="","",D958+F958)</f>
        <v/>
      </c>
      <c r="I958" s="135" t="str">
        <f t="shared" si="959"/>
        <v/>
      </c>
      <c r="J958" s="140" t="str">
        <f t="shared" si="3"/>
        <v/>
      </c>
      <c r="K958" s="140" t="str">
        <f t="shared" si="4"/>
        <v/>
      </c>
    </row>
    <row r="959" ht="22.5" customHeight="1">
      <c r="A959" s="140"/>
      <c r="B959" s="135" t="str">
        <f t="array" ref="B959">IF(A959="","",VLOOKUP(A959,INDIRECT("CXC!A2:B"&amp;COUNTA(CXC!A:A)),2,FALSE))</f>
        <v/>
      </c>
      <c r="C959" s="136" t="str">
        <f t="array" ref="C959">IF(A959="","",VLOOKUP(A959,INDIRECT("CXC!A2:C"&amp;COUNTA(CXC!A:A)),3,FALSE))</f>
        <v/>
      </c>
      <c r="D959" s="137" t="str">
        <f t="array" ref="D959">IF(A959="","",VLOOKUP(A959,INDIRECT("CXC!A2:H"&amp;COUNTA(CXC!A:A)),8,FALSE))</f>
        <v/>
      </c>
      <c r="E959" s="137" t="str">
        <f t="array" ref="E959">IFERROR(IF(A959="","",VLOOKUP(A959,INDIRECT("HISTÓRICO COBROS!A3:E"&amp;COUNTA('HISTÓRICO COBROS'!A:A)),5,FALSE)),"")</f>
        <v/>
      </c>
      <c r="F959" s="137" t="str">
        <f t="array" ref="F959">IF(A959="","",VLOOKUP(A959,INDIRECT("CXC!A2:I"&amp;COUNTA(CXC!A:A)),9,FALSE))</f>
        <v/>
      </c>
      <c r="G959" s="137" t="str">
        <f t="array" ref="G959">IFERROR(IF(A959="","",VLOOKUP(A959,INDIRECT("HISTÓRICO COBROS!A3:F"&amp;COUNTA('HISTÓRICO COBROS'!A:A)),6,FALSE)),"")</f>
        <v/>
      </c>
      <c r="H959" s="138" t="str">
        <f t="shared" ref="H959:I959" si="960">IF(D959="","",D959+F959)</f>
        <v/>
      </c>
      <c r="I959" s="135" t="str">
        <f t="shared" si="960"/>
        <v/>
      </c>
      <c r="J959" s="140" t="str">
        <f t="shared" si="3"/>
        <v/>
      </c>
      <c r="K959" s="140" t="str">
        <f t="shared" si="4"/>
        <v/>
      </c>
    </row>
    <row r="960" ht="22.5" customHeight="1">
      <c r="A960" s="140"/>
      <c r="B960" s="135" t="str">
        <f t="array" ref="B960">IF(A960="","",VLOOKUP(A960,INDIRECT("CXC!A2:B"&amp;COUNTA(CXC!A:A)),2,FALSE))</f>
        <v/>
      </c>
      <c r="C960" s="136" t="str">
        <f t="array" ref="C960">IF(A960="","",VLOOKUP(A960,INDIRECT("CXC!A2:C"&amp;COUNTA(CXC!A:A)),3,FALSE))</f>
        <v/>
      </c>
      <c r="D960" s="137" t="str">
        <f t="array" ref="D960">IF(A960="","",VLOOKUP(A960,INDIRECT("CXC!A2:H"&amp;COUNTA(CXC!A:A)),8,FALSE))</f>
        <v/>
      </c>
      <c r="E960" s="137" t="str">
        <f t="array" ref="E960">IFERROR(IF(A960="","",VLOOKUP(A960,INDIRECT("HISTÓRICO COBROS!A3:E"&amp;COUNTA('HISTÓRICO COBROS'!A:A)),5,FALSE)),"")</f>
        <v/>
      </c>
      <c r="F960" s="137" t="str">
        <f t="array" ref="F960">IF(A960="","",VLOOKUP(A960,INDIRECT("CXC!A2:I"&amp;COUNTA(CXC!A:A)),9,FALSE))</f>
        <v/>
      </c>
      <c r="G960" s="137" t="str">
        <f t="array" ref="G960">IFERROR(IF(A960="","",VLOOKUP(A960,INDIRECT("HISTÓRICO COBROS!A3:F"&amp;COUNTA('HISTÓRICO COBROS'!A:A)),6,FALSE)),"")</f>
        <v/>
      </c>
      <c r="H960" s="138" t="str">
        <f t="shared" ref="H960:I960" si="961">IF(D960="","",D960+F960)</f>
        <v/>
      </c>
      <c r="I960" s="135" t="str">
        <f t="shared" si="961"/>
        <v/>
      </c>
      <c r="J960" s="140" t="str">
        <f t="shared" si="3"/>
        <v/>
      </c>
      <c r="K960" s="140" t="str">
        <f t="shared" si="4"/>
        <v/>
      </c>
    </row>
    <row r="961" ht="22.5" customHeight="1">
      <c r="A961" s="140"/>
      <c r="B961" s="135" t="str">
        <f t="array" ref="B961">IF(A961="","",VLOOKUP(A961,INDIRECT("CXC!A2:B"&amp;COUNTA(CXC!A:A)),2,FALSE))</f>
        <v/>
      </c>
      <c r="C961" s="136" t="str">
        <f t="array" ref="C961">IF(A961="","",VLOOKUP(A961,INDIRECT("CXC!A2:C"&amp;COUNTA(CXC!A:A)),3,FALSE))</f>
        <v/>
      </c>
      <c r="D961" s="137" t="str">
        <f t="array" ref="D961">IF(A961="","",VLOOKUP(A961,INDIRECT("CXC!A2:H"&amp;COUNTA(CXC!A:A)),8,FALSE))</f>
        <v/>
      </c>
      <c r="E961" s="137" t="str">
        <f t="array" ref="E961">IFERROR(IF(A961="","",VLOOKUP(A961,INDIRECT("HISTÓRICO COBROS!A3:E"&amp;COUNTA('HISTÓRICO COBROS'!A:A)),5,FALSE)),"")</f>
        <v/>
      </c>
      <c r="F961" s="137" t="str">
        <f t="array" ref="F961">IF(A961="","",VLOOKUP(A961,INDIRECT("CXC!A2:I"&amp;COUNTA(CXC!A:A)),9,FALSE))</f>
        <v/>
      </c>
      <c r="G961" s="137" t="str">
        <f t="array" ref="G961">IFERROR(IF(A961="","",VLOOKUP(A961,INDIRECT("HISTÓRICO COBROS!A3:F"&amp;COUNTA('HISTÓRICO COBROS'!A:A)),6,FALSE)),"")</f>
        <v/>
      </c>
      <c r="H961" s="138" t="str">
        <f t="shared" ref="H961:I961" si="962">IF(D961="","",D961+F961)</f>
        <v/>
      </c>
      <c r="I961" s="135" t="str">
        <f t="shared" si="962"/>
        <v/>
      </c>
      <c r="J961" s="140" t="str">
        <f t="shared" si="3"/>
        <v/>
      </c>
      <c r="K961" s="140" t="str">
        <f t="shared" si="4"/>
        <v/>
      </c>
    </row>
    <row r="962" ht="22.5" customHeight="1">
      <c r="A962" s="140"/>
      <c r="B962" s="135" t="str">
        <f t="array" ref="B962">IF(A962="","",VLOOKUP(A962,INDIRECT("CXC!A2:B"&amp;COUNTA(CXC!A:A)),2,FALSE))</f>
        <v/>
      </c>
      <c r="C962" s="136" t="str">
        <f t="array" ref="C962">IF(A962="","",VLOOKUP(A962,INDIRECT("CXC!A2:C"&amp;COUNTA(CXC!A:A)),3,FALSE))</f>
        <v/>
      </c>
      <c r="D962" s="137" t="str">
        <f t="array" ref="D962">IF(A962="","",VLOOKUP(A962,INDIRECT("CXC!A2:H"&amp;COUNTA(CXC!A:A)),8,FALSE))</f>
        <v/>
      </c>
      <c r="E962" s="137" t="str">
        <f t="array" ref="E962">IFERROR(IF(A962="","",VLOOKUP(A962,INDIRECT("HISTÓRICO COBROS!A3:E"&amp;COUNTA('HISTÓRICO COBROS'!A:A)),5,FALSE)),"")</f>
        <v/>
      </c>
      <c r="F962" s="137" t="str">
        <f t="array" ref="F962">IF(A962="","",VLOOKUP(A962,INDIRECT("CXC!A2:I"&amp;COUNTA(CXC!A:A)),9,FALSE))</f>
        <v/>
      </c>
      <c r="G962" s="137" t="str">
        <f t="array" ref="G962">IFERROR(IF(A962="","",VLOOKUP(A962,INDIRECT("HISTÓRICO COBROS!A3:F"&amp;COUNTA('HISTÓRICO COBROS'!A:A)),6,FALSE)),"")</f>
        <v/>
      </c>
      <c r="H962" s="138" t="str">
        <f t="shared" ref="H962:I962" si="963">IF(D962="","",D962+F962)</f>
        <v/>
      </c>
      <c r="I962" s="135" t="str">
        <f t="shared" si="963"/>
        <v/>
      </c>
      <c r="J962" s="140" t="str">
        <f t="shared" si="3"/>
        <v/>
      </c>
      <c r="K962" s="140" t="str">
        <f t="shared" si="4"/>
        <v/>
      </c>
    </row>
    <row r="963" ht="22.5" customHeight="1">
      <c r="A963" s="140"/>
      <c r="B963" s="135" t="str">
        <f t="array" ref="B963">IF(A963="","",VLOOKUP(A963,INDIRECT("CXC!A2:B"&amp;COUNTA(CXC!A:A)),2,FALSE))</f>
        <v/>
      </c>
      <c r="C963" s="136" t="str">
        <f t="array" ref="C963">IF(A963="","",VLOOKUP(A963,INDIRECT("CXC!A2:C"&amp;COUNTA(CXC!A:A)),3,FALSE))</f>
        <v/>
      </c>
      <c r="D963" s="137" t="str">
        <f t="array" ref="D963">IF(A963="","",VLOOKUP(A963,INDIRECT("CXC!A2:H"&amp;COUNTA(CXC!A:A)),8,FALSE))</f>
        <v/>
      </c>
      <c r="E963" s="137" t="str">
        <f t="array" ref="E963">IFERROR(IF(A963="","",VLOOKUP(A963,INDIRECT("HISTÓRICO COBROS!A3:E"&amp;COUNTA('HISTÓRICO COBROS'!A:A)),5,FALSE)),"")</f>
        <v/>
      </c>
      <c r="F963" s="137" t="str">
        <f t="array" ref="F963">IF(A963="","",VLOOKUP(A963,INDIRECT("CXC!A2:I"&amp;COUNTA(CXC!A:A)),9,FALSE))</f>
        <v/>
      </c>
      <c r="G963" s="137" t="str">
        <f t="array" ref="G963">IFERROR(IF(A963="","",VLOOKUP(A963,INDIRECT("HISTÓRICO COBROS!A3:F"&amp;COUNTA('HISTÓRICO COBROS'!A:A)),6,FALSE)),"")</f>
        <v/>
      </c>
      <c r="H963" s="138" t="str">
        <f t="shared" ref="H963:I963" si="964">IF(D963="","",D963+F963)</f>
        <v/>
      </c>
      <c r="I963" s="135" t="str">
        <f t="shared" si="964"/>
        <v/>
      </c>
      <c r="J963" s="140" t="str">
        <f t="shared" si="3"/>
        <v/>
      </c>
      <c r="K963" s="140" t="str">
        <f t="shared" si="4"/>
        <v/>
      </c>
    </row>
    <row r="964" ht="22.5" customHeight="1">
      <c r="A964" s="140"/>
      <c r="B964" s="135" t="str">
        <f t="array" ref="B964">IF(A964="","",VLOOKUP(A964,INDIRECT("CXC!A2:B"&amp;COUNTA(CXC!A:A)),2,FALSE))</f>
        <v/>
      </c>
      <c r="C964" s="136" t="str">
        <f t="array" ref="C964">IF(A964="","",VLOOKUP(A964,INDIRECT("CXC!A2:C"&amp;COUNTA(CXC!A:A)),3,FALSE))</f>
        <v/>
      </c>
      <c r="D964" s="137" t="str">
        <f t="array" ref="D964">IF(A964="","",VLOOKUP(A964,INDIRECT("CXC!A2:H"&amp;COUNTA(CXC!A:A)),8,FALSE))</f>
        <v/>
      </c>
      <c r="E964" s="137" t="str">
        <f t="array" ref="E964">IFERROR(IF(A964="","",VLOOKUP(A964,INDIRECT("HISTÓRICO COBROS!A3:E"&amp;COUNTA('HISTÓRICO COBROS'!A:A)),5,FALSE)),"")</f>
        <v/>
      </c>
      <c r="F964" s="137" t="str">
        <f t="array" ref="F964">IF(A964="","",VLOOKUP(A964,INDIRECT("CXC!A2:I"&amp;COUNTA(CXC!A:A)),9,FALSE))</f>
        <v/>
      </c>
      <c r="G964" s="137" t="str">
        <f t="array" ref="G964">IFERROR(IF(A964="","",VLOOKUP(A964,INDIRECT("HISTÓRICO COBROS!A3:F"&amp;COUNTA('HISTÓRICO COBROS'!A:A)),6,FALSE)),"")</f>
        <v/>
      </c>
      <c r="H964" s="138" t="str">
        <f t="shared" ref="H964:I964" si="965">IF(D964="","",D964+F964)</f>
        <v/>
      </c>
      <c r="I964" s="135" t="str">
        <f t="shared" si="965"/>
        <v/>
      </c>
      <c r="J964" s="140" t="str">
        <f t="shared" si="3"/>
        <v/>
      </c>
      <c r="K964" s="140" t="str">
        <f t="shared" si="4"/>
        <v/>
      </c>
    </row>
    <row r="965" ht="22.5" customHeight="1">
      <c r="A965" s="140"/>
      <c r="B965" s="135" t="str">
        <f t="array" ref="B965">IF(A965="","",VLOOKUP(A965,INDIRECT("CXC!A2:B"&amp;COUNTA(CXC!A:A)),2,FALSE))</f>
        <v/>
      </c>
      <c r="C965" s="136" t="str">
        <f t="array" ref="C965">IF(A965="","",VLOOKUP(A965,INDIRECT("CXC!A2:C"&amp;COUNTA(CXC!A:A)),3,FALSE))</f>
        <v/>
      </c>
      <c r="D965" s="137" t="str">
        <f t="array" ref="D965">IF(A965="","",VLOOKUP(A965,INDIRECT("CXC!A2:H"&amp;COUNTA(CXC!A:A)),8,FALSE))</f>
        <v/>
      </c>
      <c r="E965" s="137" t="str">
        <f t="array" ref="E965">IFERROR(IF(A965="","",VLOOKUP(A965,INDIRECT("HISTÓRICO COBROS!A3:E"&amp;COUNTA('HISTÓRICO COBROS'!A:A)),5,FALSE)),"")</f>
        <v/>
      </c>
      <c r="F965" s="137" t="str">
        <f t="array" ref="F965">IF(A965="","",VLOOKUP(A965,INDIRECT("CXC!A2:I"&amp;COUNTA(CXC!A:A)),9,FALSE))</f>
        <v/>
      </c>
      <c r="G965" s="137" t="str">
        <f t="array" ref="G965">IFERROR(IF(A965="","",VLOOKUP(A965,INDIRECT("HISTÓRICO COBROS!A3:F"&amp;COUNTA('HISTÓRICO COBROS'!A:A)),6,FALSE)),"")</f>
        <v/>
      </c>
      <c r="H965" s="138" t="str">
        <f t="shared" ref="H965:I965" si="966">IF(D965="","",D965+F965)</f>
        <v/>
      </c>
      <c r="I965" s="135" t="str">
        <f t="shared" si="966"/>
        <v/>
      </c>
      <c r="J965" s="140" t="str">
        <f t="shared" si="3"/>
        <v/>
      </c>
      <c r="K965" s="140" t="str">
        <f t="shared" si="4"/>
        <v/>
      </c>
    </row>
    <row r="966" ht="22.5" customHeight="1">
      <c r="A966" s="140"/>
      <c r="B966" s="135" t="str">
        <f t="array" ref="B966">IF(A966="","",VLOOKUP(A966,INDIRECT("CXC!A2:B"&amp;COUNTA(CXC!A:A)),2,FALSE))</f>
        <v/>
      </c>
      <c r="C966" s="136" t="str">
        <f t="array" ref="C966">IF(A966="","",VLOOKUP(A966,INDIRECT("CXC!A2:C"&amp;COUNTA(CXC!A:A)),3,FALSE))</f>
        <v/>
      </c>
      <c r="D966" s="137" t="str">
        <f t="array" ref="D966">IF(A966="","",VLOOKUP(A966,INDIRECT("CXC!A2:H"&amp;COUNTA(CXC!A:A)),8,FALSE))</f>
        <v/>
      </c>
      <c r="E966" s="137" t="str">
        <f t="array" ref="E966">IFERROR(IF(A966="","",VLOOKUP(A966,INDIRECT("HISTÓRICO COBROS!A3:E"&amp;COUNTA('HISTÓRICO COBROS'!A:A)),5,FALSE)),"")</f>
        <v/>
      </c>
      <c r="F966" s="137" t="str">
        <f t="array" ref="F966">IF(A966="","",VLOOKUP(A966,INDIRECT("CXC!A2:I"&amp;COUNTA(CXC!A:A)),9,FALSE))</f>
        <v/>
      </c>
      <c r="G966" s="137" t="str">
        <f t="array" ref="G966">IFERROR(IF(A966="","",VLOOKUP(A966,INDIRECT("HISTÓRICO COBROS!A3:F"&amp;COUNTA('HISTÓRICO COBROS'!A:A)),6,FALSE)),"")</f>
        <v/>
      </c>
      <c r="H966" s="138" t="str">
        <f t="shared" ref="H966:I966" si="967">IF(D966="","",D966+F966)</f>
        <v/>
      </c>
      <c r="I966" s="135" t="str">
        <f t="shared" si="967"/>
        <v/>
      </c>
      <c r="J966" s="140" t="str">
        <f t="shared" si="3"/>
        <v/>
      </c>
      <c r="K966" s="140" t="str">
        <f t="shared" si="4"/>
        <v/>
      </c>
    </row>
    <row r="967" ht="22.5" customHeight="1">
      <c r="A967" s="140"/>
      <c r="B967" s="135" t="str">
        <f t="array" ref="B967">IF(A967="","",VLOOKUP(A967,INDIRECT("CXC!A2:B"&amp;COUNTA(CXC!A:A)),2,FALSE))</f>
        <v/>
      </c>
      <c r="C967" s="136" t="str">
        <f t="array" ref="C967">IF(A967="","",VLOOKUP(A967,INDIRECT("CXC!A2:C"&amp;COUNTA(CXC!A:A)),3,FALSE))</f>
        <v/>
      </c>
      <c r="D967" s="137" t="str">
        <f t="array" ref="D967">IF(A967="","",VLOOKUP(A967,INDIRECT("CXC!A2:H"&amp;COUNTA(CXC!A:A)),8,FALSE))</f>
        <v/>
      </c>
      <c r="E967" s="137" t="str">
        <f t="array" ref="E967">IFERROR(IF(A967="","",VLOOKUP(A967,INDIRECT("HISTÓRICO COBROS!A3:E"&amp;COUNTA('HISTÓRICO COBROS'!A:A)),5,FALSE)),"")</f>
        <v/>
      </c>
      <c r="F967" s="137" t="str">
        <f t="array" ref="F967">IF(A967="","",VLOOKUP(A967,INDIRECT("CXC!A2:I"&amp;COUNTA(CXC!A:A)),9,FALSE))</f>
        <v/>
      </c>
      <c r="G967" s="137" t="str">
        <f t="array" ref="G967">IFERROR(IF(A967="","",VLOOKUP(A967,INDIRECT("HISTÓRICO COBROS!A3:F"&amp;COUNTA('HISTÓRICO COBROS'!A:A)),6,FALSE)),"")</f>
        <v/>
      </c>
      <c r="H967" s="138" t="str">
        <f t="shared" ref="H967:I967" si="968">IF(D967="","",D967+F967)</f>
        <v/>
      </c>
      <c r="I967" s="135" t="str">
        <f t="shared" si="968"/>
        <v/>
      </c>
      <c r="J967" s="140" t="str">
        <f t="shared" si="3"/>
        <v/>
      </c>
      <c r="K967" s="140" t="str">
        <f t="shared" si="4"/>
        <v/>
      </c>
    </row>
    <row r="968" ht="22.5" customHeight="1">
      <c r="A968" s="140"/>
      <c r="B968" s="135" t="str">
        <f t="array" ref="B968">IF(A968="","",VLOOKUP(A968,INDIRECT("CXC!A2:B"&amp;COUNTA(CXC!A:A)),2,FALSE))</f>
        <v/>
      </c>
      <c r="C968" s="136" t="str">
        <f t="array" ref="C968">IF(A968="","",VLOOKUP(A968,INDIRECT("CXC!A2:C"&amp;COUNTA(CXC!A:A)),3,FALSE))</f>
        <v/>
      </c>
      <c r="D968" s="137" t="str">
        <f t="array" ref="D968">IF(A968="","",VLOOKUP(A968,INDIRECT("CXC!A2:H"&amp;COUNTA(CXC!A:A)),8,FALSE))</f>
        <v/>
      </c>
      <c r="E968" s="137" t="str">
        <f t="array" ref="E968">IFERROR(IF(A968="","",VLOOKUP(A968,INDIRECT("HISTÓRICO COBROS!A3:E"&amp;COUNTA('HISTÓRICO COBROS'!A:A)),5,FALSE)),"")</f>
        <v/>
      </c>
      <c r="F968" s="137" t="str">
        <f t="array" ref="F968">IF(A968="","",VLOOKUP(A968,INDIRECT("CXC!A2:I"&amp;COUNTA(CXC!A:A)),9,FALSE))</f>
        <v/>
      </c>
      <c r="G968" s="137" t="str">
        <f t="array" ref="G968">IFERROR(IF(A968="","",VLOOKUP(A968,INDIRECT("HISTÓRICO COBROS!A3:F"&amp;COUNTA('HISTÓRICO COBROS'!A:A)),6,FALSE)),"")</f>
        <v/>
      </c>
      <c r="H968" s="138" t="str">
        <f t="shared" ref="H968:I968" si="969">IF(D968="","",D968+F968)</f>
        <v/>
      </c>
      <c r="I968" s="135" t="str">
        <f t="shared" si="969"/>
        <v/>
      </c>
      <c r="J968" s="140" t="str">
        <f t="shared" si="3"/>
        <v/>
      </c>
      <c r="K968" s="140" t="str">
        <f t="shared" si="4"/>
        <v/>
      </c>
    </row>
    <row r="969" ht="22.5" customHeight="1">
      <c r="A969" s="140"/>
      <c r="B969" s="135" t="str">
        <f t="array" ref="B969">IF(A969="","",VLOOKUP(A969,INDIRECT("CXC!A2:B"&amp;COUNTA(CXC!A:A)),2,FALSE))</f>
        <v/>
      </c>
      <c r="C969" s="136" t="str">
        <f t="array" ref="C969">IF(A969="","",VLOOKUP(A969,INDIRECT("CXC!A2:C"&amp;COUNTA(CXC!A:A)),3,FALSE))</f>
        <v/>
      </c>
      <c r="D969" s="137" t="str">
        <f t="array" ref="D969">IF(A969="","",VLOOKUP(A969,INDIRECT("CXC!A2:H"&amp;COUNTA(CXC!A:A)),8,FALSE))</f>
        <v/>
      </c>
      <c r="E969" s="137" t="str">
        <f t="array" ref="E969">IFERROR(IF(A969="","",VLOOKUP(A969,INDIRECT("HISTÓRICO COBROS!A3:E"&amp;COUNTA('HISTÓRICO COBROS'!A:A)),5,FALSE)),"")</f>
        <v/>
      </c>
      <c r="F969" s="137" t="str">
        <f t="array" ref="F969">IF(A969="","",VLOOKUP(A969,INDIRECT("CXC!A2:I"&amp;COUNTA(CXC!A:A)),9,FALSE))</f>
        <v/>
      </c>
      <c r="G969" s="137" t="str">
        <f t="array" ref="G969">IFERROR(IF(A969="","",VLOOKUP(A969,INDIRECT("HISTÓRICO COBROS!A3:F"&amp;COUNTA('HISTÓRICO COBROS'!A:A)),6,FALSE)),"")</f>
        <v/>
      </c>
      <c r="H969" s="138" t="str">
        <f t="shared" ref="H969:I969" si="970">IF(D969="","",D969+F969)</f>
        <v/>
      </c>
      <c r="I969" s="135" t="str">
        <f t="shared" si="970"/>
        <v/>
      </c>
      <c r="J969" s="140" t="str">
        <f t="shared" si="3"/>
        <v/>
      </c>
      <c r="K969" s="140" t="str">
        <f t="shared" si="4"/>
        <v/>
      </c>
    </row>
    <row r="970" ht="22.5" customHeight="1">
      <c r="A970" s="140"/>
      <c r="B970" s="135" t="str">
        <f t="array" ref="B970">IF(A970="","",VLOOKUP(A970,INDIRECT("CXC!A2:B"&amp;COUNTA(CXC!A:A)),2,FALSE))</f>
        <v/>
      </c>
      <c r="C970" s="136" t="str">
        <f t="array" ref="C970">IF(A970="","",VLOOKUP(A970,INDIRECT("CXC!A2:C"&amp;COUNTA(CXC!A:A)),3,FALSE))</f>
        <v/>
      </c>
      <c r="D970" s="137" t="str">
        <f t="array" ref="D970">IF(A970="","",VLOOKUP(A970,INDIRECT("CXC!A2:H"&amp;COUNTA(CXC!A:A)),8,FALSE))</f>
        <v/>
      </c>
      <c r="E970" s="137" t="str">
        <f t="array" ref="E970">IFERROR(IF(A970="","",VLOOKUP(A970,INDIRECT("HISTÓRICO COBROS!A3:E"&amp;COUNTA('HISTÓRICO COBROS'!A:A)),5,FALSE)),"")</f>
        <v/>
      </c>
      <c r="F970" s="137" t="str">
        <f t="array" ref="F970">IF(A970="","",VLOOKUP(A970,INDIRECT("CXC!A2:I"&amp;COUNTA(CXC!A:A)),9,FALSE))</f>
        <v/>
      </c>
      <c r="G970" s="137" t="str">
        <f t="array" ref="G970">IFERROR(IF(A970="","",VLOOKUP(A970,INDIRECT("HISTÓRICO COBROS!A3:F"&amp;COUNTA('HISTÓRICO COBROS'!A:A)),6,FALSE)),"")</f>
        <v/>
      </c>
      <c r="H970" s="138" t="str">
        <f t="shared" ref="H970:I970" si="971">IF(D970="","",D970+F970)</f>
        <v/>
      </c>
      <c r="I970" s="135" t="str">
        <f t="shared" si="971"/>
        <v/>
      </c>
      <c r="J970" s="140" t="str">
        <f t="shared" si="3"/>
        <v/>
      </c>
      <c r="K970" s="140" t="str">
        <f t="shared" si="4"/>
        <v/>
      </c>
    </row>
    <row r="971" ht="22.5" customHeight="1">
      <c r="A971" s="140"/>
      <c r="B971" s="135" t="str">
        <f t="array" ref="B971">IF(A971="","",VLOOKUP(A971,INDIRECT("CXC!A2:B"&amp;COUNTA(CXC!A:A)),2,FALSE))</f>
        <v/>
      </c>
      <c r="C971" s="136" t="str">
        <f t="array" ref="C971">IF(A971="","",VLOOKUP(A971,INDIRECT("CXC!A2:C"&amp;COUNTA(CXC!A:A)),3,FALSE))</f>
        <v/>
      </c>
      <c r="D971" s="137" t="str">
        <f t="array" ref="D971">IF(A971="","",VLOOKUP(A971,INDIRECT("CXC!A2:H"&amp;COUNTA(CXC!A:A)),8,FALSE))</f>
        <v/>
      </c>
      <c r="E971" s="137" t="str">
        <f t="array" ref="E971">IFERROR(IF(A971="","",VLOOKUP(A971,INDIRECT("HISTÓRICO COBROS!A3:E"&amp;COUNTA('HISTÓRICO COBROS'!A:A)),5,FALSE)),"")</f>
        <v/>
      </c>
      <c r="F971" s="137" t="str">
        <f t="array" ref="F971">IF(A971="","",VLOOKUP(A971,INDIRECT("CXC!A2:I"&amp;COUNTA(CXC!A:A)),9,FALSE))</f>
        <v/>
      </c>
      <c r="G971" s="137" t="str">
        <f t="array" ref="G971">IFERROR(IF(A971="","",VLOOKUP(A971,INDIRECT("HISTÓRICO COBROS!A3:F"&amp;COUNTA('HISTÓRICO COBROS'!A:A)),6,FALSE)),"")</f>
        <v/>
      </c>
      <c r="H971" s="138" t="str">
        <f t="shared" ref="H971:I971" si="972">IF(D971="","",D971+F971)</f>
        <v/>
      </c>
      <c r="I971" s="135" t="str">
        <f t="shared" si="972"/>
        <v/>
      </c>
      <c r="J971" s="140" t="str">
        <f t="shared" si="3"/>
        <v/>
      </c>
      <c r="K971" s="140" t="str">
        <f t="shared" si="4"/>
        <v/>
      </c>
    </row>
    <row r="972" ht="22.5" customHeight="1">
      <c r="A972" s="140"/>
      <c r="B972" s="135" t="str">
        <f t="array" ref="B972">IF(A972="","",VLOOKUP(A972,INDIRECT("CXC!A2:B"&amp;COUNTA(CXC!A:A)),2,FALSE))</f>
        <v/>
      </c>
      <c r="C972" s="136" t="str">
        <f t="array" ref="C972">IF(A972="","",VLOOKUP(A972,INDIRECT("CXC!A2:C"&amp;COUNTA(CXC!A:A)),3,FALSE))</f>
        <v/>
      </c>
      <c r="D972" s="137" t="str">
        <f t="array" ref="D972">IF(A972="","",VLOOKUP(A972,INDIRECT("CXC!A2:H"&amp;COUNTA(CXC!A:A)),8,FALSE))</f>
        <v/>
      </c>
      <c r="E972" s="137" t="str">
        <f t="array" ref="E972">IFERROR(IF(A972="","",VLOOKUP(A972,INDIRECT("HISTÓRICO COBROS!A3:E"&amp;COUNTA('HISTÓRICO COBROS'!A:A)),5,FALSE)),"")</f>
        <v/>
      </c>
      <c r="F972" s="137" t="str">
        <f t="array" ref="F972">IF(A972="","",VLOOKUP(A972,INDIRECT("CXC!A2:I"&amp;COUNTA(CXC!A:A)),9,FALSE))</f>
        <v/>
      </c>
      <c r="G972" s="137" t="str">
        <f t="array" ref="G972">IFERROR(IF(A972="","",VLOOKUP(A972,INDIRECT("HISTÓRICO COBROS!A3:F"&amp;COUNTA('HISTÓRICO COBROS'!A:A)),6,FALSE)),"")</f>
        <v/>
      </c>
      <c r="H972" s="138" t="str">
        <f t="shared" ref="H972:I972" si="973">IF(D972="","",D972+F972)</f>
        <v/>
      </c>
      <c r="I972" s="135" t="str">
        <f t="shared" si="973"/>
        <v/>
      </c>
      <c r="J972" s="140" t="str">
        <f t="shared" si="3"/>
        <v/>
      </c>
      <c r="K972" s="140" t="str">
        <f t="shared" si="4"/>
        <v/>
      </c>
    </row>
    <row r="973" ht="22.5" customHeight="1">
      <c r="A973" s="140"/>
      <c r="B973" s="135" t="str">
        <f t="array" ref="B973">IF(A973="","",VLOOKUP(A973,INDIRECT("CXC!A2:B"&amp;COUNTA(CXC!A:A)),2,FALSE))</f>
        <v/>
      </c>
      <c r="C973" s="136" t="str">
        <f t="array" ref="C973">IF(A973="","",VLOOKUP(A973,INDIRECT("CXC!A2:C"&amp;COUNTA(CXC!A:A)),3,FALSE))</f>
        <v/>
      </c>
      <c r="D973" s="137" t="str">
        <f t="array" ref="D973">IF(A973="","",VLOOKUP(A973,INDIRECT("CXC!A2:H"&amp;COUNTA(CXC!A:A)),8,FALSE))</f>
        <v/>
      </c>
      <c r="E973" s="137" t="str">
        <f t="array" ref="E973">IFERROR(IF(A973="","",VLOOKUP(A973,INDIRECT("HISTÓRICO COBROS!A3:E"&amp;COUNTA('HISTÓRICO COBROS'!A:A)),5,FALSE)),"")</f>
        <v/>
      </c>
      <c r="F973" s="137" t="str">
        <f t="array" ref="F973">IF(A973="","",VLOOKUP(A973,INDIRECT("CXC!A2:I"&amp;COUNTA(CXC!A:A)),9,FALSE))</f>
        <v/>
      </c>
      <c r="G973" s="137" t="str">
        <f t="array" ref="G973">IFERROR(IF(A973="","",VLOOKUP(A973,INDIRECT("HISTÓRICO COBROS!A3:F"&amp;COUNTA('HISTÓRICO COBROS'!A:A)),6,FALSE)),"")</f>
        <v/>
      </c>
      <c r="H973" s="138" t="str">
        <f t="shared" ref="H973:I973" si="974">IF(D973="","",D973+F973)</f>
        <v/>
      </c>
      <c r="I973" s="135" t="str">
        <f t="shared" si="974"/>
        <v/>
      </c>
      <c r="J973" s="140" t="str">
        <f t="shared" si="3"/>
        <v/>
      </c>
      <c r="K973" s="140" t="str">
        <f t="shared" si="4"/>
        <v/>
      </c>
    </row>
    <row r="974" ht="22.5" customHeight="1">
      <c r="A974" s="140"/>
      <c r="B974" s="135" t="str">
        <f t="array" ref="B974">IF(A974="","",VLOOKUP(A974,INDIRECT("CXC!A2:B"&amp;COUNTA(CXC!A:A)),2,FALSE))</f>
        <v/>
      </c>
      <c r="C974" s="136" t="str">
        <f t="array" ref="C974">IF(A974="","",VLOOKUP(A974,INDIRECT("CXC!A2:C"&amp;COUNTA(CXC!A:A)),3,FALSE))</f>
        <v/>
      </c>
      <c r="D974" s="137" t="str">
        <f t="array" ref="D974">IF(A974="","",VLOOKUP(A974,INDIRECT("CXC!A2:H"&amp;COUNTA(CXC!A:A)),8,FALSE))</f>
        <v/>
      </c>
      <c r="E974" s="137" t="str">
        <f t="array" ref="E974">IFERROR(IF(A974="","",VLOOKUP(A974,INDIRECT("HISTÓRICO COBROS!A3:E"&amp;COUNTA('HISTÓRICO COBROS'!A:A)),5,FALSE)),"")</f>
        <v/>
      </c>
      <c r="F974" s="137" t="str">
        <f t="array" ref="F974">IF(A974="","",VLOOKUP(A974,INDIRECT("CXC!A2:I"&amp;COUNTA(CXC!A:A)),9,FALSE))</f>
        <v/>
      </c>
      <c r="G974" s="137" t="str">
        <f t="array" ref="G974">IFERROR(IF(A974="","",VLOOKUP(A974,INDIRECT("HISTÓRICO COBROS!A3:F"&amp;COUNTA('HISTÓRICO COBROS'!A:A)),6,FALSE)),"")</f>
        <v/>
      </c>
      <c r="H974" s="138" t="str">
        <f t="shared" ref="H974:I974" si="975">IF(D974="","",D974+F974)</f>
        <v/>
      </c>
      <c r="I974" s="135" t="str">
        <f t="shared" si="975"/>
        <v/>
      </c>
      <c r="J974" s="140" t="str">
        <f t="shared" si="3"/>
        <v/>
      </c>
      <c r="K974" s="140" t="str">
        <f t="shared" si="4"/>
        <v/>
      </c>
    </row>
    <row r="975" ht="22.5" customHeight="1">
      <c r="A975" s="140"/>
      <c r="B975" s="135" t="str">
        <f t="array" ref="B975">IF(A975="","",VLOOKUP(A975,INDIRECT("CXC!A2:B"&amp;COUNTA(CXC!A:A)),2,FALSE))</f>
        <v/>
      </c>
      <c r="C975" s="136" t="str">
        <f t="array" ref="C975">IF(A975="","",VLOOKUP(A975,INDIRECT("CXC!A2:C"&amp;COUNTA(CXC!A:A)),3,FALSE))</f>
        <v/>
      </c>
      <c r="D975" s="137" t="str">
        <f t="array" ref="D975">IF(A975="","",VLOOKUP(A975,INDIRECT("CXC!A2:H"&amp;COUNTA(CXC!A:A)),8,FALSE))</f>
        <v/>
      </c>
      <c r="E975" s="137" t="str">
        <f t="array" ref="E975">IFERROR(IF(A975="","",VLOOKUP(A975,INDIRECT("HISTÓRICO COBROS!A3:E"&amp;COUNTA('HISTÓRICO COBROS'!A:A)),5,FALSE)),"")</f>
        <v/>
      </c>
      <c r="F975" s="137" t="str">
        <f t="array" ref="F975">IF(A975="","",VLOOKUP(A975,INDIRECT("CXC!A2:I"&amp;COUNTA(CXC!A:A)),9,FALSE))</f>
        <v/>
      </c>
      <c r="G975" s="137" t="str">
        <f t="array" ref="G975">IFERROR(IF(A975="","",VLOOKUP(A975,INDIRECT("HISTÓRICO COBROS!A3:F"&amp;COUNTA('HISTÓRICO COBROS'!A:A)),6,FALSE)),"")</f>
        <v/>
      </c>
      <c r="H975" s="138" t="str">
        <f t="shared" ref="H975:I975" si="976">IF(D975="","",D975+F975)</f>
        <v/>
      </c>
      <c r="I975" s="135" t="str">
        <f t="shared" si="976"/>
        <v/>
      </c>
      <c r="J975" s="140" t="str">
        <f t="shared" si="3"/>
        <v/>
      </c>
      <c r="K975" s="140" t="str">
        <f t="shared" si="4"/>
        <v/>
      </c>
    </row>
    <row r="976" ht="22.5" customHeight="1">
      <c r="A976" s="140"/>
      <c r="B976" s="135" t="str">
        <f t="array" ref="B976">IF(A976="","",VLOOKUP(A976,INDIRECT("CXC!A2:B"&amp;COUNTA(CXC!A:A)),2,FALSE))</f>
        <v/>
      </c>
      <c r="C976" s="136" t="str">
        <f t="array" ref="C976">IF(A976="","",VLOOKUP(A976,INDIRECT("CXC!A2:C"&amp;COUNTA(CXC!A:A)),3,FALSE))</f>
        <v/>
      </c>
      <c r="D976" s="137" t="str">
        <f t="array" ref="D976">IF(A976="","",VLOOKUP(A976,INDIRECT("CXC!A2:H"&amp;COUNTA(CXC!A:A)),8,FALSE))</f>
        <v/>
      </c>
      <c r="E976" s="137" t="str">
        <f t="array" ref="E976">IFERROR(IF(A976="","",VLOOKUP(A976,INDIRECT("HISTÓRICO COBROS!A3:E"&amp;COUNTA('HISTÓRICO COBROS'!A:A)),5,FALSE)),"")</f>
        <v/>
      </c>
      <c r="F976" s="137" t="str">
        <f t="array" ref="F976">IF(A976="","",VLOOKUP(A976,INDIRECT("CXC!A2:I"&amp;COUNTA(CXC!A:A)),9,FALSE))</f>
        <v/>
      </c>
      <c r="G976" s="137" t="str">
        <f t="array" ref="G976">IFERROR(IF(A976="","",VLOOKUP(A976,INDIRECT("HISTÓRICO COBROS!A3:F"&amp;COUNTA('HISTÓRICO COBROS'!A:A)),6,FALSE)),"")</f>
        <v/>
      </c>
      <c r="H976" s="138" t="str">
        <f t="shared" ref="H976:I976" si="977">IF(D976="","",D976+F976)</f>
        <v/>
      </c>
      <c r="I976" s="135" t="str">
        <f t="shared" si="977"/>
        <v/>
      </c>
      <c r="J976" s="140" t="str">
        <f t="shared" si="3"/>
        <v/>
      </c>
      <c r="K976" s="140" t="str">
        <f t="shared" si="4"/>
        <v/>
      </c>
    </row>
    <row r="977" ht="22.5" customHeight="1">
      <c r="A977" s="140"/>
      <c r="B977" s="135" t="str">
        <f t="array" ref="B977">IF(A977="","",VLOOKUP(A977,INDIRECT("CXC!A2:B"&amp;COUNTA(CXC!A:A)),2,FALSE))</f>
        <v/>
      </c>
      <c r="C977" s="136" t="str">
        <f t="array" ref="C977">IF(A977="","",VLOOKUP(A977,INDIRECT("CXC!A2:C"&amp;COUNTA(CXC!A:A)),3,FALSE))</f>
        <v/>
      </c>
      <c r="D977" s="137" t="str">
        <f t="array" ref="D977">IF(A977="","",VLOOKUP(A977,INDIRECT("CXC!A2:H"&amp;COUNTA(CXC!A:A)),8,FALSE))</f>
        <v/>
      </c>
      <c r="E977" s="137" t="str">
        <f t="array" ref="E977">IFERROR(IF(A977="","",VLOOKUP(A977,INDIRECT("HISTÓRICO COBROS!A3:E"&amp;COUNTA('HISTÓRICO COBROS'!A:A)),5,FALSE)),"")</f>
        <v/>
      </c>
      <c r="F977" s="137" t="str">
        <f t="array" ref="F977">IF(A977="","",VLOOKUP(A977,INDIRECT("CXC!A2:I"&amp;COUNTA(CXC!A:A)),9,FALSE))</f>
        <v/>
      </c>
      <c r="G977" s="137" t="str">
        <f t="array" ref="G977">IFERROR(IF(A977="","",VLOOKUP(A977,INDIRECT("HISTÓRICO COBROS!A3:F"&amp;COUNTA('HISTÓRICO COBROS'!A:A)),6,FALSE)),"")</f>
        <v/>
      </c>
      <c r="H977" s="138" t="str">
        <f t="shared" ref="H977:I977" si="978">IF(D977="","",D977+F977)</f>
        <v/>
      </c>
      <c r="I977" s="135" t="str">
        <f t="shared" si="978"/>
        <v/>
      </c>
      <c r="J977" s="140" t="str">
        <f t="shared" si="3"/>
        <v/>
      </c>
      <c r="K977" s="140" t="str">
        <f t="shared" si="4"/>
        <v/>
      </c>
    </row>
    <row r="978" ht="22.5" customHeight="1">
      <c r="A978" s="140"/>
      <c r="B978" s="135" t="str">
        <f t="array" ref="B978">IF(A978="","",VLOOKUP(A978,INDIRECT("CXC!A2:B"&amp;COUNTA(CXC!A:A)),2,FALSE))</f>
        <v/>
      </c>
      <c r="C978" s="136" t="str">
        <f t="array" ref="C978">IF(A978="","",VLOOKUP(A978,INDIRECT("CXC!A2:C"&amp;COUNTA(CXC!A:A)),3,FALSE))</f>
        <v/>
      </c>
      <c r="D978" s="137" t="str">
        <f t="array" ref="D978">IF(A978="","",VLOOKUP(A978,INDIRECT("CXC!A2:H"&amp;COUNTA(CXC!A:A)),8,FALSE))</f>
        <v/>
      </c>
      <c r="E978" s="137" t="str">
        <f t="array" ref="E978">IFERROR(IF(A978="","",VLOOKUP(A978,INDIRECT("HISTÓRICO COBROS!A3:E"&amp;COUNTA('HISTÓRICO COBROS'!A:A)),5,FALSE)),"")</f>
        <v/>
      </c>
      <c r="F978" s="137" t="str">
        <f t="array" ref="F978">IF(A978="","",VLOOKUP(A978,INDIRECT("CXC!A2:I"&amp;COUNTA(CXC!A:A)),9,FALSE))</f>
        <v/>
      </c>
      <c r="G978" s="137" t="str">
        <f t="array" ref="G978">IFERROR(IF(A978="","",VLOOKUP(A978,INDIRECT("HISTÓRICO COBROS!A3:F"&amp;COUNTA('HISTÓRICO COBROS'!A:A)),6,FALSE)),"")</f>
        <v/>
      </c>
      <c r="H978" s="138" t="str">
        <f t="shared" ref="H978:I978" si="979">IF(D978="","",D978+F978)</f>
        <v/>
      </c>
      <c r="I978" s="135" t="str">
        <f t="shared" si="979"/>
        <v/>
      </c>
      <c r="J978" s="140" t="str">
        <f t="shared" si="3"/>
        <v/>
      </c>
      <c r="K978" s="140" t="str">
        <f t="shared" si="4"/>
        <v/>
      </c>
    </row>
    <row r="979" ht="22.5" customHeight="1">
      <c r="A979" s="140"/>
      <c r="B979" s="135" t="str">
        <f t="array" ref="B979">IF(A979="","",VLOOKUP(A979,INDIRECT("CXC!A2:B"&amp;COUNTA(CXC!A:A)),2,FALSE))</f>
        <v/>
      </c>
      <c r="C979" s="136" t="str">
        <f t="array" ref="C979">IF(A979="","",VLOOKUP(A979,INDIRECT("CXC!A2:C"&amp;COUNTA(CXC!A:A)),3,FALSE))</f>
        <v/>
      </c>
      <c r="D979" s="137" t="str">
        <f t="array" ref="D979">IF(A979="","",VLOOKUP(A979,INDIRECT("CXC!A2:H"&amp;COUNTA(CXC!A:A)),8,FALSE))</f>
        <v/>
      </c>
      <c r="E979" s="137" t="str">
        <f t="array" ref="E979">IFERROR(IF(A979="","",VLOOKUP(A979,INDIRECT("HISTÓRICO COBROS!A3:E"&amp;COUNTA('HISTÓRICO COBROS'!A:A)),5,FALSE)),"")</f>
        <v/>
      </c>
      <c r="F979" s="137" t="str">
        <f t="array" ref="F979">IF(A979="","",VLOOKUP(A979,INDIRECT("CXC!A2:I"&amp;COUNTA(CXC!A:A)),9,FALSE))</f>
        <v/>
      </c>
      <c r="G979" s="137" t="str">
        <f t="array" ref="G979">IFERROR(IF(A979="","",VLOOKUP(A979,INDIRECT("HISTÓRICO COBROS!A3:F"&amp;COUNTA('HISTÓRICO COBROS'!A:A)),6,FALSE)),"")</f>
        <v/>
      </c>
      <c r="H979" s="138" t="str">
        <f t="shared" ref="H979:I979" si="980">IF(D979="","",D979+F979)</f>
        <v/>
      </c>
      <c r="I979" s="135" t="str">
        <f t="shared" si="980"/>
        <v/>
      </c>
      <c r="J979" s="140" t="str">
        <f t="shared" si="3"/>
        <v/>
      </c>
      <c r="K979" s="140" t="str">
        <f t="shared" si="4"/>
        <v/>
      </c>
    </row>
    <row r="980" ht="22.5" customHeight="1">
      <c r="A980" s="140"/>
      <c r="B980" s="135" t="str">
        <f t="array" ref="B980">IF(A980="","",VLOOKUP(A980,INDIRECT("CXC!A2:B"&amp;COUNTA(CXC!A:A)),2,FALSE))</f>
        <v/>
      </c>
      <c r="C980" s="136" t="str">
        <f t="array" ref="C980">IF(A980="","",VLOOKUP(A980,INDIRECT("CXC!A2:C"&amp;COUNTA(CXC!A:A)),3,FALSE))</f>
        <v/>
      </c>
      <c r="D980" s="137" t="str">
        <f t="array" ref="D980">IF(A980="","",VLOOKUP(A980,INDIRECT("CXC!A2:H"&amp;COUNTA(CXC!A:A)),8,FALSE))</f>
        <v/>
      </c>
      <c r="E980" s="137" t="str">
        <f t="array" ref="E980">IFERROR(IF(A980="","",VLOOKUP(A980,INDIRECT("HISTÓRICO COBROS!A3:E"&amp;COUNTA('HISTÓRICO COBROS'!A:A)),5,FALSE)),"")</f>
        <v/>
      </c>
      <c r="F980" s="137" t="str">
        <f t="array" ref="F980">IF(A980="","",VLOOKUP(A980,INDIRECT("CXC!A2:I"&amp;COUNTA(CXC!A:A)),9,FALSE))</f>
        <v/>
      </c>
      <c r="G980" s="137" t="str">
        <f t="array" ref="G980">IFERROR(IF(A980="","",VLOOKUP(A980,INDIRECT("HISTÓRICO COBROS!A3:F"&amp;COUNTA('HISTÓRICO COBROS'!A:A)),6,FALSE)),"")</f>
        <v/>
      </c>
      <c r="H980" s="138" t="str">
        <f t="shared" ref="H980:I980" si="981">IF(D980="","",D980+F980)</f>
        <v/>
      </c>
      <c r="I980" s="135" t="str">
        <f t="shared" si="981"/>
        <v/>
      </c>
      <c r="J980" s="140" t="str">
        <f t="shared" si="3"/>
        <v/>
      </c>
      <c r="K980" s="140" t="str">
        <f t="shared" si="4"/>
        <v/>
      </c>
    </row>
    <row r="981" ht="22.5" customHeight="1">
      <c r="A981" s="140"/>
      <c r="B981" s="135" t="str">
        <f t="array" ref="B981">IF(A981="","",VLOOKUP(A981,INDIRECT("CXC!A2:B"&amp;COUNTA(CXC!A:A)),2,FALSE))</f>
        <v/>
      </c>
      <c r="C981" s="136" t="str">
        <f t="array" ref="C981">IF(A981="","",VLOOKUP(A981,INDIRECT("CXC!A2:C"&amp;COUNTA(CXC!A:A)),3,FALSE))</f>
        <v/>
      </c>
      <c r="D981" s="137" t="str">
        <f t="array" ref="D981">IF(A981="","",VLOOKUP(A981,INDIRECT("CXC!A2:H"&amp;COUNTA(CXC!A:A)),8,FALSE))</f>
        <v/>
      </c>
      <c r="E981" s="137" t="str">
        <f t="array" ref="E981">IFERROR(IF(A981="","",VLOOKUP(A981,INDIRECT("HISTÓRICO COBROS!A3:E"&amp;COUNTA('HISTÓRICO COBROS'!A:A)),5,FALSE)),"")</f>
        <v/>
      </c>
      <c r="F981" s="137" t="str">
        <f t="array" ref="F981">IF(A981="","",VLOOKUP(A981,INDIRECT("CXC!A2:I"&amp;COUNTA(CXC!A:A)),9,FALSE))</f>
        <v/>
      </c>
      <c r="G981" s="137" t="str">
        <f t="array" ref="G981">IFERROR(IF(A981="","",VLOOKUP(A981,INDIRECT("HISTÓRICO COBROS!A3:F"&amp;COUNTA('HISTÓRICO COBROS'!A:A)),6,FALSE)),"")</f>
        <v/>
      </c>
      <c r="H981" s="138" t="str">
        <f t="shared" ref="H981:I981" si="982">IF(D981="","",D981+F981)</f>
        <v/>
      </c>
      <c r="I981" s="135" t="str">
        <f t="shared" si="982"/>
        <v/>
      </c>
      <c r="J981" s="140" t="str">
        <f t="shared" si="3"/>
        <v/>
      </c>
      <c r="K981" s="140" t="str">
        <f t="shared" si="4"/>
        <v/>
      </c>
    </row>
    <row r="982" ht="22.5" customHeight="1">
      <c r="A982" s="140"/>
      <c r="B982" s="135" t="str">
        <f t="array" ref="B982">IF(A982="","",VLOOKUP(A982,INDIRECT("CXC!A2:B"&amp;COUNTA(CXC!A:A)),2,FALSE))</f>
        <v/>
      </c>
      <c r="C982" s="136" t="str">
        <f t="array" ref="C982">IF(A982="","",VLOOKUP(A982,INDIRECT("CXC!A2:C"&amp;COUNTA(CXC!A:A)),3,FALSE))</f>
        <v/>
      </c>
      <c r="D982" s="137" t="str">
        <f t="array" ref="D982">IF(A982="","",VLOOKUP(A982,INDIRECT("CXC!A2:H"&amp;COUNTA(CXC!A:A)),8,FALSE))</f>
        <v/>
      </c>
      <c r="E982" s="137" t="str">
        <f t="array" ref="E982">IFERROR(IF(A982="","",VLOOKUP(A982,INDIRECT("HISTÓRICO COBROS!A3:E"&amp;COUNTA('HISTÓRICO COBROS'!A:A)),5,FALSE)),"")</f>
        <v/>
      </c>
      <c r="F982" s="137" t="str">
        <f t="array" ref="F982">IF(A982="","",VLOOKUP(A982,INDIRECT("CXC!A2:I"&amp;COUNTA(CXC!A:A)),9,FALSE))</f>
        <v/>
      </c>
      <c r="G982" s="137" t="str">
        <f t="array" ref="G982">IFERROR(IF(A982="","",VLOOKUP(A982,INDIRECT("HISTÓRICO COBROS!A3:F"&amp;COUNTA('HISTÓRICO COBROS'!A:A)),6,FALSE)),"")</f>
        <v/>
      </c>
      <c r="H982" s="138" t="str">
        <f t="shared" ref="H982:I982" si="983">IF(D982="","",D982+F982)</f>
        <v/>
      </c>
      <c r="I982" s="135" t="str">
        <f t="shared" si="983"/>
        <v/>
      </c>
      <c r="J982" s="140" t="str">
        <f t="shared" si="3"/>
        <v/>
      </c>
      <c r="K982" s="140" t="str">
        <f t="shared" si="4"/>
        <v/>
      </c>
    </row>
    <row r="983" ht="22.5" customHeight="1">
      <c r="A983" s="140"/>
      <c r="B983" s="135" t="str">
        <f t="array" ref="B983">IF(A983="","",VLOOKUP(A983,INDIRECT("CXC!A2:B"&amp;COUNTA(CXC!A:A)),2,FALSE))</f>
        <v/>
      </c>
      <c r="C983" s="136" t="str">
        <f t="array" ref="C983">IF(A983="","",VLOOKUP(A983,INDIRECT("CXC!A2:C"&amp;COUNTA(CXC!A:A)),3,FALSE))</f>
        <v/>
      </c>
      <c r="D983" s="137" t="str">
        <f t="array" ref="D983">IF(A983="","",VLOOKUP(A983,INDIRECT("CXC!A2:H"&amp;COUNTA(CXC!A:A)),8,FALSE))</f>
        <v/>
      </c>
      <c r="E983" s="137" t="str">
        <f t="array" ref="E983">IFERROR(IF(A983="","",VLOOKUP(A983,INDIRECT("HISTÓRICO COBROS!A3:E"&amp;COUNTA('HISTÓRICO COBROS'!A:A)),5,FALSE)),"")</f>
        <v/>
      </c>
      <c r="F983" s="137" t="str">
        <f t="array" ref="F983">IF(A983="","",VLOOKUP(A983,INDIRECT("CXC!A2:I"&amp;COUNTA(CXC!A:A)),9,FALSE))</f>
        <v/>
      </c>
      <c r="G983" s="137" t="str">
        <f t="array" ref="G983">IFERROR(IF(A983="","",VLOOKUP(A983,INDIRECT("HISTÓRICO COBROS!A3:F"&amp;COUNTA('HISTÓRICO COBROS'!A:A)),6,FALSE)),"")</f>
        <v/>
      </c>
      <c r="H983" s="138" t="str">
        <f t="shared" ref="H983:I983" si="984">IF(D983="","",D983+F983)</f>
        <v/>
      </c>
      <c r="I983" s="135" t="str">
        <f t="shared" si="984"/>
        <v/>
      </c>
      <c r="J983" s="140" t="str">
        <f t="shared" si="3"/>
        <v/>
      </c>
      <c r="K983" s="140" t="str">
        <f t="shared" si="4"/>
        <v/>
      </c>
    </row>
    <row r="984" ht="22.5" customHeight="1">
      <c r="A984" s="140"/>
      <c r="B984" s="135" t="str">
        <f t="array" ref="B984">IF(A984="","",VLOOKUP(A984,INDIRECT("CXC!A2:B"&amp;COUNTA(CXC!A:A)),2,FALSE))</f>
        <v/>
      </c>
      <c r="C984" s="136" t="str">
        <f t="array" ref="C984">IF(A984="","",VLOOKUP(A984,INDIRECT("CXC!A2:C"&amp;COUNTA(CXC!A:A)),3,FALSE))</f>
        <v/>
      </c>
      <c r="D984" s="137" t="str">
        <f t="array" ref="D984">IF(A984="","",VLOOKUP(A984,INDIRECT("CXC!A2:H"&amp;COUNTA(CXC!A:A)),8,FALSE))</f>
        <v/>
      </c>
      <c r="E984" s="137" t="str">
        <f t="array" ref="E984">IFERROR(IF(A984="","",VLOOKUP(A984,INDIRECT("HISTÓRICO COBROS!A3:E"&amp;COUNTA('HISTÓRICO COBROS'!A:A)),5,FALSE)),"")</f>
        <v/>
      </c>
      <c r="F984" s="137" t="str">
        <f t="array" ref="F984">IF(A984="","",VLOOKUP(A984,INDIRECT("CXC!A2:I"&amp;COUNTA(CXC!A:A)),9,FALSE))</f>
        <v/>
      </c>
      <c r="G984" s="137" t="str">
        <f t="array" ref="G984">IFERROR(IF(A984="","",VLOOKUP(A984,INDIRECT("HISTÓRICO COBROS!A3:F"&amp;COUNTA('HISTÓRICO COBROS'!A:A)),6,FALSE)),"")</f>
        <v/>
      </c>
      <c r="H984" s="138" t="str">
        <f t="shared" ref="H984:I984" si="985">IF(D984="","",D984+F984)</f>
        <v/>
      </c>
      <c r="I984" s="135" t="str">
        <f t="shared" si="985"/>
        <v/>
      </c>
      <c r="J984" s="140" t="str">
        <f t="shared" si="3"/>
        <v/>
      </c>
      <c r="K984" s="140" t="str">
        <f t="shared" si="4"/>
        <v/>
      </c>
    </row>
    <row r="985" ht="22.5" customHeight="1">
      <c r="A985" s="140"/>
      <c r="B985" s="135" t="str">
        <f t="array" ref="B985">IF(A985="","",VLOOKUP(A985,INDIRECT("CXC!A2:B"&amp;COUNTA(CXC!A:A)),2,FALSE))</f>
        <v/>
      </c>
      <c r="C985" s="136" t="str">
        <f t="array" ref="C985">IF(A985="","",VLOOKUP(A985,INDIRECT("CXC!A2:C"&amp;COUNTA(CXC!A:A)),3,FALSE))</f>
        <v/>
      </c>
      <c r="D985" s="137" t="str">
        <f t="array" ref="D985">IF(A985="","",VLOOKUP(A985,INDIRECT("CXC!A2:H"&amp;COUNTA(CXC!A:A)),8,FALSE))</f>
        <v/>
      </c>
      <c r="E985" s="137" t="str">
        <f t="array" ref="E985">IFERROR(IF(A985="","",VLOOKUP(A985,INDIRECT("HISTÓRICO COBROS!A3:E"&amp;COUNTA('HISTÓRICO COBROS'!A:A)),5,FALSE)),"")</f>
        <v/>
      </c>
      <c r="F985" s="137" t="str">
        <f t="array" ref="F985">IF(A985="","",VLOOKUP(A985,INDIRECT("CXC!A2:I"&amp;COUNTA(CXC!A:A)),9,FALSE))</f>
        <v/>
      </c>
      <c r="G985" s="137" t="str">
        <f t="array" ref="G985">IFERROR(IF(A985="","",VLOOKUP(A985,INDIRECT("HISTÓRICO COBROS!A3:F"&amp;COUNTA('HISTÓRICO COBROS'!A:A)),6,FALSE)),"")</f>
        <v/>
      </c>
      <c r="H985" s="138" t="str">
        <f t="shared" ref="H985:I985" si="986">IF(D985="","",D985+F985)</f>
        <v/>
      </c>
      <c r="I985" s="135" t="str">
        <f t="shared" si="986"/>
        <v/>
      </c>
      <c r="J985" s="140" t="str">
        <f t="shared" si="3"/>
        <v/>
      </c>
      <c r="K985" s="140" t="str">
        <f t="shared" si="4"/>
        <v/>
      </c>
    </row>
    <row r="986" ht="22.5" customHeight="1">
      <c r="A986" s="140"/>
      <c r="B986" s="135" t="str">
        <f t="array" ref="B986">IF(A986="","",VLOOKUP(A986,INDIRECT("CXC!A2:B"&amp;COUNTA(CXC!A:A)),2,FALSE))</f>
        <v/>
      </c>
      <c r="C986" s="136" t="str">
        <f t="array" ref="C986">IF(A986="","",VLOOKUP(A986,INDIRECT("CXC!A2:C"&amp;COUNTA(CXC!A:A)),3,FALSE))</f>
        <v/>
      </c>
      <c r="D986" s="137" t="str">
        <f t="array" ref="D986">IF(A986="","",VLOOKUP(A986,INDIRECT("CXC!A2:H"&amp;COUNTA(CXC!A:A)),8,FALSE))</f>
        <v/>
      </c>
      <c r="E986" s="137" t="str">
        <f t="array" ref="E986">IFERROR(IF(A986="","",VLOOKUP(A986,INDIRECT("HISTÓRICO COBROS!A3:E"&amp;COUNTA('HISTÓRICO COBROS'!A:A)),5,FALSE)),"")</f>
        <v/>
      </c>
      <c r="F986" s="137" t="str">
        <f t="array" ref="F986">IF(A986="","",VLOOKUP(A986,INDIRECT("CXC!A2:I"&amp;COUNTA(CXC!A:A)),9,FALSE))</f>
        <v/>
      </c>
      <c r="G986" s="137" t="str">
        <f t="array" ref="G986">IFERROR(IF(A986="","",VLOOKUP(A986,INDIRECT("HISTÓRICO COBROS!A3:F"&amp;COUNTA('HISTÓRICO COBROS'!A:A)),6,FALSE)),"")</f>
        <v/>
      </c>
      <c r="H986" s="138" t="str">
        <f t="shared" ref="H986:I986" si="987">IF(D986="","",D986+F986)</f>
        <v/>
      </c>
      <c r="I986" s="135" t="str">
        <f t="shared" si="987"/>
        <v/>
      </c>
      <c r="J986" s="140" t="str">
        <f t="shared" si="3"/>
        <v/>
      </c>
      <c r="K986" s="140" t="str">
        <f t="shared" si="4"/>
        <v/>
      </c>
    </row>
    <row r="987" ht="22.5" customHeight="1">
      <c r="A987" s="140"/>
      <c r="B987" s="135" t="str">
        <f t="array" ref="B987">IF(A987="","",VLOOKUP(A987,INDIRECT("CXC!A2:B"&amp;COUNTA(CXC!A:A)),2,FALSE))</f>
        <v/>
      </c>
      <c r="C987" s="136" t="str">
        <f t="array" ref="C987">IF(A987="","",VLOOKUP(A987,INDIRECT("CXC!A2:C"&amp;COUNTA(CXC!A:A)),3,FALSE))</f>
        <v/>
      </c>
      <c r="D987" s="137" t="str">
        <f t="array" ref="D987">IF(A987="","",VLOOKUP(A987,INDIRECT("CXC!A2:H"&amp;COUNTA(CXC!A:A)),8,FALSE))</f>
        <v/>
      </c>
      <c r="E987" s="137" t="str">
        <f t="array" ref="E987">IFERROR(IF(A987="","",VLOOKUP(A987,INDIRECT("HISTÓRICO COBROS!A3:E"&amp;COUNTA('HISTÓRICO COBROS'!A:A)),5,FALSE)),"")</f>
        <v/>
      </c>
      <c r="F987" s="137" t="str">
        <f t="array" ref="F987">IF(A987="","",VLOOKUP(A987,INDIRECT("CXC!A2:I"&amp;COUNTA(CXC!A:A)),9,FALSE))</f>
        <v/>
      </c>
      <c r="G987" s="137" t="str">
        <f t="array" ref="G987">IFERROR(IF(A987="","",VLOOKUP(A987,INDIRECT("HISTÓRICO COBROS!A3:F"&amp;COUNTA('HISTÓRICO COBROS'!A:A)),6,FALSE)),"")</f>
        <v/>
      </c>
      <c r="H987" s="138" t="str">
        <f t="shared" ref="H987:I987" si="988">IF(D987="","",D987+F987)</f>
        <v/>
      </c>
      <c r="I987" s="135" t="str">
        <f t="shared" si="988"/>
        <v/>
      </c>
      <c r="J987" s="140" t="str">
        <f t="shared" si="3"/>
        <v/>
      </c>
      <c r="K987" s="140" t="str">
        <f t="shared" si="4"/>
        <v/>
      </c>
    </row>
    <row r="988" ht="22.5" customHeight="1">
      <c r="A988" s="140"/>
      <c r="B988" s="135" t="str">
        <f t="array" ref="B988">IF(A988="","",VLOOKUP(A988,INDIRECT("CXC!A2:B"&amp;COUNTA(CXC!A:A)),2,FALSE))</f>
        <v/>
      </c>
      <c r="C988" s="136" t="str">
        <f t="array" ref="C988">IF(A988="","",VLOOKUP(A988,INDIRECT("CXC!A2:C"&amp;COUNTA(CXC!A:A)),3,FALSE))</f>
        <v/>
      </c>
      <c r="D988" s="137" t="str">
        <f t="array" ref="D988">IF(A988="","",VLOOKUP(A988,INDIRECT("CXC!A2:H"&amp;COUNTA(CXC!A:A)),8,FALSE))</f>
        <v/>
      </c>
      <c r="E988" s="137" t="str">
        <f t="array" ref="E988">IFERROR(IF(A988="","",VLOOKUP(A988,INDIRECT("HISTÓRICO COBROS!A3:E"&amp;COUNTA('HISTÓRICO COBROS'!A:A)),5,FALSE)),"")</f>
        <v/>
      </c>
      <c r="F988" s="137" t="str">
        <f t="array" ref="F988">IF(A988="","",VLOOKUP(A988,INDIRECT("CXC!A2:I"&amp;COUNTA(CXC!A:A)),9,FALSE))</f>
        <v/>
      </c>
      <c r="G988" s="137" t="str">
        <f t="array" ref="G988">IFERROR(IF(A988="","",VLOOKUP(A988,INDIRECT("HISTÓRICO COBROS!A3:F"&amp;COUNTA('HISTÓRICO COBROS'!A:A)),6,FALSE)),"")</f>
        <v/>
      </c>
      <c r="H988" s="138" t="str">
        <f t="shared" ref="H988:I988" si="989">IF(D988="","",D988+F988)</f>
        <v/>
      </c>
      <c r="I988" s="135" t="str">
        <f t="shared" si="989"/>
        <v/>
      </c>
      <c r="J988" s="140" t="str">
        <f t="shared" si="3"/>
        <v/>
      </c>
      <c r="K988" s="140" t="str">
        <f t="shared" si="4"/>
        <v/>
      </c>
    </row>
    <row r="989" ht="22.5" customHeight="1">
      <c r="A989" s="140"/>
      <c r="B989" s="135" t="str">
        <f t="array" ref="B989">IF(A989="","",VLOOKUP(A989,INDIRECT("CXC!A2:B"&amp;COUNTA(CXC!A:A)),2,FALSE))</f>
        <v/>
      </c>
      <c r="C989" s="136" t="str">
        <f t="array" ref="C989">IF(A989="","",VLOOKUP(A989,INDIRECT("CXC!A2:C"&amp;COUNTA(CXC!A:A)),3,FALSE))</f>
        <v/>
      </c>
      <c r="D989" s="137" t="str">
        <f t="array" ref="D989">IF(A989="","",VLOOKUP(A989,INDIRECT("CXC!A2:H"&amp;COUNTA(CXC!A:A)),8,FALSE))</f>
        <v/>
      </c>
      <c r="E989" s="137" t="str">
        <f t="array" ref="E989">IFERROR(IF(A989="","",VLOOKUP(A989,INDIRECT("HISTÓRICO COBROS!A3:E"&amp;COUNTA('HISTÓRICO COBROS'!A:A)),5,FALSE)),"")</f>
        <v/>
      </c>
      <c r="F989" s="137" t="str">
        <f t="array" ref="F989">IF(A989="","",VLOOKUP(A989,INDIRECT("CXC!A2:I"&amp;COUNTA(CXC!A:A)),9,FALSE))</f>
        <v/>
      </c>
      <c r="G989" s="137" t="str">
        <f t="array" ref="G989">IFERROR(IF(A989="","",VLOOKUP(A989,INDIRECT("HISTÓRICO COBROS!A3:F"&amp;COUNTA('HISTÓRICO COBROS'!A:A)),6,FALSE)),"")</f>
        <v/>
      </c>
      <c r="H989" s="138" t="str">
        <f t="shared" ref="H989:I989" si="990">IF(D989="","",D989+F989)</f>
        <v/>
      </c>
      <c r="I989" s="135" t="str">
        <f t="shared" si="990"/>
        <v/>
      </c>
      <c r="J989" s="140" t="str">
        <f t="shared" si="3"/>
        <v/>
      </c>
      <c r="K989" s="140" t="str">
        <f t="shared" si="4"/>
        <v/>
      </c>
    </row>
    <row r="990" ht="22.5" customHeight="1">
      <c r="A990" s="140"/>
      <c r="B990" s="135" t="str">
        <f t="array" ref="B990">IF(A990="","",VLOOKUP(A990,INDIRECT("CXC!A2:B"&amp;COUNTA(CXC!A:A)),2,FALSE))</f>
        <v/>
      </c>
      <c r="C990" s="136" t="str">
        <f t="array" ref="C990">IF(A990="","",VLOOKUP(A990,INDIRECT("CXC!A2:C"&amp;COUNTA(CXC!A:A)),3,FALSE))</f>
        <v/>
      </c>
      <c r="D990" s="137" t="str">
        <f t="array" ref="D990">IF(A990="","",VLOOKUP(A990,INDIRECT("CXC!A2:H"&amp;COUNTA(CXC!A:A)),8,FALSE))</f>
        <v/>
      </c>
      <c r="E990" s="137" t="str">
        <f t="array" ref="E990">IFERROR(IF(A990="","",VLOOKUP(A990,INDIRECT("HISTÓRICO COBROS!A3:E"&amp;COUNTA('HISTÓRICO COBROS'!A:A)),5,FALSE)),"")</f>
        <v/>
      </c>
      <c r="F990" s="137" t="str">
        <f t="array" ref="F990">IF(A990="","",VLOOKUP(A990,INDIRECT("CXC!A2:I"&amp;COUNTA(CXC!A:A)),9,FALSE))</f>
        <v/>
      </c>
      <c r="G990" s="137" t="str">
        <f t="array" ref="G990">IFERROR(IF(A990="","",VLOOKUP(A990,INDIRECT("HISTÓRICO COBROS!A3:F"&amp;COUNTA('HISTÓRICO COBROS'!A:A)),6,FALSE)),"")</f>
        <v/>
      </c>
      <c r="H990" s="138" t="str">
        <f t="shared" ref="H990:I990" si="991">IF(D990="","",D990+F990)</f>
        <v/>
      </c>
      <c r="I990" s="135" t="str">
        <f t="shared" si="991"/>
        <v/>
      </c>
      <c r="J990" s="140" t="str">
        <f t="shared" si="3"/>
        <v/>
      </c>
      <c r="K990" s="140" t="str">
        <f t="shared" si="4"/>
        <v/>
      </c>
    </row>
    <row r="991" ht="22.5" customHeight="1">
      <c r="A991" s="140"/>
      <c r="B991" s="135" t="str">
        <f t="array" ref="B991">IF(A991="","",VLOOKUP(A991,INDIRECT("CXC!A2:B"&amp;COUNTA(CXC!A:A)),2,FALSE))</f>
        <v/>
      </c>
      <c r="C991" s="136" t="str">
        <f t="array" ref="C991">IF(A991="","",VLOOKUP(A991,INDIRECT("CXC!A2:C"&amp;COUNTA(CXC!A:A)),3,FALSE))</f>
        <v/>
      </c>
      <c r="D991" s="137" t="str">
        <f t="array" ref="D991">IF(A991="","",VLOOKUP(A991,INDIRECT("CXC!A2:H"&amp;COUNTA(CXC!A:A)),8,FALSE))</f>
        <v/>
      </c>
      <c r="E991" s="137" t="str">
        <f t="array" ref="E991">IFERROR(IF(A991="","",VLOOKUP(A991,INDIRECT("HISTÓRICO COBROS!A3:E"&amp;COUNTA('HISTÓRICO COBROS'!A:A)),5,FALSE)),"")</f>
        <v/>
      </c>
      <c r="F991" s="137" t="str">
        <f t="array" ref="F991">IF(A991="","",VLOOKUP(A991,INDIRECT("CXC!A2:I"&amp;COUNTA(CXC!A:A)),9,FALSE))</f>
        <v/>
      </c>
      <c r="G991" s="137" t="str">
        <f t="array" ref="G991">IFERROR(IF(A991="","",VLOOKUP(A991,INDIRECT("HISTÓRICO COBROS!A3:F"&amp;COUNTA('HISTÓRICO COBROS'!A:A)),6,FALSE)),"")</f>
        <v/>
      </c>
      <c r="H991" s="138" t="str">
        <f t="shared" ref="H991:I991" si="992">IF(D991="","",D991+F991)</f>
        <v/>
      </c>
      <c r="I991" s="135" t="str">
        <f t="shared" si="992"/>
        <v/>
      </c>
      <c r="J991" s="140" t="str">
        <f t="shared" si="3"/>
        <v/>
      </c>
      <c r="K991" s="140" t="str">
        <f t="shared" si="4"/>
        <v/>
      </c>
    </row>
    <row r="992" ht="22.5" customHeight="1">
      <c r="A992" s="140"/>
      <c r="B992" s="135" t="str">
        <f t="array" ref="B992">IF(A992="","",VLOOKUP(A992,INDIRECT("CXC!A2:B"&amp;COUNTA(CXC!A:A)),2,FALSE))</f>
        <v/>
      </c>
      <c r="C992" s="136" t="str">
        <f t="array" ref="C992">IF(A992="","",VLOOKUP(A992,INDIRECT("CXC!A2:C"&amp;COUNTA(CXC!A:A)),3,FALSE))</f>
        <v/>
      </c>
      <c r="D992" s="137" t="str">
        <f t="array" ref="D992">IF(A992="","",VLOOKUP(A992,INDIRECT("CXC!A2:H"&amp;COUNTA(CXC!A:A)),8,FALSE))</f>
        <v/>
      </c>
      <c r="E992" s="137" t="str">
        <f t="array" ref="E992">IFERROR(IF(A992="","",VLOOKUP(A992,INDIRECT("HISTÓRICO COBROS!A3:E"&amp;COUNTA('HISTÓRICO COBROS'!A:A)),5,FALSE)),"")</f>
        <v/>
      </c>
      <c r="F992" s="137" t="str">
        <f t="array" ref="F992">IF(A992="","",VLOOKUP(A992,INDIRECT("CXC!A2:I"&amp;COUNTA(CXC!A:A)),9,FALSE))</f>
        <v/>
      </c>
      <c r="G992" s="137" t="str">
        <f t="array" ref="G992">IFERROR(IF(A992="","",VLOOKUP(A992,INDIRECT("HISTÓRICO COBROS!A3:F"&amp;COUNTA('HISTÓRICO COBROS'!A:A)),6,FALSE)),"")</f>
        <v/>
      </c>
      <c r="H992" s="138" t="str">
        <f t="shared" ref="H992:I992" si="993">IF(D992="","",D992+F992)</f>
        <v/>
      </c>
      <c r="I992" s="135" t="str">
        <f t="shared" si="993"/>
        <v/>
      </c>
      <c r="J992" s="140" t="str">
        <f t="shared" si="3"/>
        <v/>
      </c>
      <c r="K992" s="140" t="str">
        <f t="shared" si="4"/>
        <v/>
      </c>
    </row>
    <row r="993" ht="22.5" customHeight="1">
      <c r="A993" s="140"/>
      <c r="B993" s="135" t="str">
        <f t="array" ref="B993">IF(A993="","",VLOOKUP(A993,INDIRECT("CXC!A2:B"&amp;COUNTA(CXC!A:A)),2,FALSE))</f>
        <v/>
      </c>
      <c r="C993" s="136" t="str">
        <f t="array" ref="C993">IF(A993="","",VLOOKUP(A993,INDIRECT("CXC!A2:C"&amp;COUNTA(CXC!A:A)),3,FALSE))</f>
        <v/>
      </c>
      <c r="D993" s="137" t="str">
        <f t="array" ref="D993">IF(A993="","",VLOOKUP(A993,INDIRECT("CXC!A2:H"&amp;COUNTA(CXC!A:A)),8,FALSE))</f>
        <v/>
      </c>
      <c r="E993" s="137" t="str">
        <f t="array" ref="E993">IFERROR(IF(A993="","",VLOOKUP(A993,INDIRECT("HISTÓRICO COBROS!A3:E"&amp;COUNTA('HISTÓRICO COBROS'!A:A)),5,FALSE)),"")</f>
        <v/>
      </c>
      <c r="F993" s="137" t="str">
        <f t="array" ref="F993">IF(A993="","",VLOOKUP(A993,INDIRECT("CXC!A2:I"&amp;COUNTA(CXC!A:A)),9,FALSE))</f>
        <v/>
      </c>
      <c r="G993" s="137" t="str">
        <f t="array" ref="G993">IFERROR(IF(A993="","",VLOOKUP(A993,INDIRECT("HISTÓRICO COBROS!A3:F"&amp;COUNTA('HISTÓRICO COBROS'!A:A)),6,FALSE)),"")</f>
        <v/>
      </c>
      <c r="H993" s="138" t="str">
        <f t="shared" ref="H993:I993" si="994">IF(D993="","",D993+F993)</f>
        <v/>
      </c>
      <c r="I993" s="135" t="str">
        <f t="shared" si="994"/>
        <v/>
      </c>
      <c r="J993" s="140" t="str">
        <f t="shared" si="3"/>
        <v/>
      </c>
      <c r="K993" s="140" t="str">
        <f t="shared" si="4"/>
        <v/>
      </c>
    </row>
    <row r="994" ht="22.5" customHeight="1">
      <c r="A994" s="140"/>
      <c r="B994" s="135" t="str">
        <f t="array" ref="B994">IF(A994="","",VLOOKUP(A994,INDIRECT("CXC!A2:B"&amp;COUNTA(CXC!A:A)),2,FALSE))</f>
        <v/>
      </c>
      <c r="C994" s="136" t="str">
        <f t="array" ref="C994">IF(A994="","",VLOOKUP(A994,INDIRECT("CXC!A2:C"&amp;COUNTA(CXC!A:A)),3,FALSE))</f>
        <v/>
      </c>
      <c r="D994" s="137" t="str">
        <f t="array" ref="D994">IF(A994="","",VLOOKUP(A994,INDIRECT("CXC!A2:H"&amp;COUNTA(CXC!A:A)),8,FALSE))</f>
        <v/>
      </c>
      <c r="E994" s="137" t="str">
        <f t="array" ref="E994">IFERROR(IF(A994="","",VLOOKUP(A994,INDIRECT("HISTÓRICO COBROS!A3:E"&amp;COUNTA('HISTÓRICO COBROS'!A:A)),5,FALSE)),"")</f>
        <v/>
      </c>
      <c r="F994" s="137" t="str">
        <f t="array" ref="F994">IF(A994="","",VLOOKUP(A994,INDIRECT("CXC!A2:I"&amp;COUNTA(CXC!A:A)),9,FALSE))</f>
        <v/>
      </c>
      <c r="G994" s="137" t="str">
        <f t="array" ref="G994">IFERROR(IF(A994="","",VLOOKUP(A994,INDIRECT("HISTÓRICO COBROS!A3:F"&amp;COUNTA('HISTÓRICO COBROS'!A:A)),6,FALSE)),"")</f>
        <v/>
      </c>
      <c r="H994" s="138" t="str">
        <f t="shared" ref="H994:I994" si="995">IF(D994="","",D994+F994)</f>
        <v/>
      </c>
      <c r="I994" s="135" t="str">
        <f t="shared" si="995"/>
        <v/>
      </c>
      <c r="J994" s="140" t="str">
        <f t="shared" si="3"/>
        <v/>
      </c>
      <c r="K994" s="140" t="str">
        <f t="shared" si="4"/>
        <v/>
      </c>
    </row>
    <row r="995" ht="22.5" customHeight="1">
      <c r="A995" s="140"/>
      <c r="B995" s="135" t="str">
        <f t="array" ref="B995">IF(A995="","",VLOOKUP(A995,INDIRECT("CXC!A2:B"&amp;COUNTA(CXC!A:A)),2,FALSE))</f>
        <v/>
      </c>
      <c r="C995" s="136" t="str">
        <f t="array" ref="C995">IF(A995="","",VLOOKUP(A995,INDIRECT("CXC!A2:C"&amp;COUNTA(CXC!A:A)),3,FALSE))</f>
        <v/>
      </c>
      <c r="D995" s="137" t="str">
        <f t="array" ref="D995">IF(A995="","",VLOOKUP(A995,INDIRECT("CXC!A2:H"&amp;COUNTA(CXC!A:A)),8,FALSE))</f>
        <v/>
      </c>
      <c r="E995" s="137" t="str">
        <f t="array" ref="E995">IFERROR(IF(A995="","",VLOOKUP(A995,INDIRECT("HISTÓRICO COBROS!A3:E"&amp;COUNTA('HISTÓRICO COBROS'!A:A)),5,FALSE)),"")</f>
        <v/>
      </c>
      <c r="F995" s="137" t="str">
        <f t="array" ref="F995">IF(A995="","",VLOOKUP(A995,INDIRECT("CXC!A2:I"&amp;COUNTA(CXC!A:A)),9,FALSE))</f>
        <v/>
      </c>
      <c r="G995" s="137" t="str">
        <f t="array" ref="G995">IFERROR(IF(A995="","",VLOOKUP(A995,INDIRECT("HISTÓRICO COBROS!A3:F"&amp;COUNTA('HISTÓRICO COBROS'!A:A)),6,FALSE)),"")</f>
        <v/>
      </c>
      <c r="H995" s="138" t="str">
        <f t="shared" ref="H995:I995" si="996">IF(D995="","",D995+F995)</f>
        <v/>
      </c>
      <c r="I995" s="135" t="str">
        <f t="shared" si="996"/>
        <v/>
      </c>
      <c r="J995" s="140" t="str">
        <f t="shared" si="3"/>
        <v/>
      </c>
      <c r="K995" s="140" t="str">
        <f t="shared" si="4"/>
        <v/>
      </c>
    </row>
    <row r="996" ht="22.5" customHeight="1">
      <c r="A996" s="140"/>
      <c r="B996" s="135" t="str">
        <f t="array" ref="B996">IF(A996="","",VLOOKUP(A996,INDIRECT("CXC!A2:B"&amp;COUNTA(CXC!A:A)),2,FALSE))</f>
        <v/>
      </c>
      <c r="C996" s="136" t="str">
        <f t="array" ref="C996">IF(A996="","",VLOOKUP(A996,INDIRECT("CXC!A2:C"&amp;COUNTA(CXC!A:A)),3,FALSE))</f>
        <v/>
      </c>
      <c r="D996" s="137" t="str">
        <f t="array" ref="D996">IF(A996="","",VLOOKUP(A996,INDIRECT("CXC!A2:H"&amp;COUNTA(CXC!A:A)),8,FALSE))</f>
        <v/>
      </c>
      <c r="E996" s="137" t="str">
        <f t="array" ref="E996">IFERROR(IF(A996="","",VLOOKUP(A996,INDIRECT("HISTÓRICO COBROS!A3:E"&amp;COUNTA('HISTÓRICO COBROS'!A:A)),5,FALSE)),"")</f>
        <v/>
      </c>
      <c r="F996" s="137" t="str">
        <f t="array" ref="F996">IF(A996="","",VLOOKUP(A996,INDIRECT("CXC!A2:I"&amp;COUNTA(CXC!A:A)),9,FALSE))</f>
        <v/>
      </c>
      <c r="G996" s="137" t="str">
        <f t="array" ref="G996">IFERROR(IF(A996="","",VLOOKUP(A996,INDIRECT("HISTÓRICO COBROS!A3:F"&amp;COUNTA('HISTÓRICO COBROS'!A:A)),6,FALSE)),"")</f>
        <v/>
      </c>
      <c r="H996" s="138" t="str">
        <f t="shared" ref="H996:I996" si="997">IF(D996="","",D996+F996)</f>
        <v/>
      </c>
      <c r="I996" s="135" t="str">
        <f t="shared" si="997"/>
        <v/>
      </c>
      <c r="J996" s="140" t="str">
        <f t="shared" si="3"/>
        <v/>
      </c>
      <c r="K996" s="140" t="str">
        <f t="shared" si="4"/>
        <v/>
      </c>
    </row>
    <row r="997" ht="22.5" customHeight="1">
      <c r="A997" s="140"/>
      <c r="B997" s="135" t="str">
        <f t="array" ref="B997">IF(A997="","",VLOOKUP(A997,INDIRECT("CXC!A2:B"&amp;COUNTA(CXC!A:A)),2,FALSE))</f>
        <v/>
      </c>
      <c r="C997" s="136" t="str">
        <f t="array" ref="C997">IF(A997="","",VLOOKUP(A997,INDIRECT("CXC!A2:C"&amp;COUNTA(CXC!A:A)),3,FALSE))</f>
        <v/>
      </c>
      <c r="D997" s="137" t="str">
        <f t="array" ref="D997">IF(A997="","",VLOOKUP(A997,INDIRECT("CXC!A2:H"&amp;COUNTA(CXC!A:A)),8,FALSE))</f>
        <v/>
      </c>
      <c r="E997" s="137" t="str">
        <f t="array" ref="E997">IFERROR(IF(A997="","",VLOOKUP(A997,INDIRECT("HISTÓRICO COBROS!A3:E"&amp;COUNTA('HISTÓRICO COBROS'!A:A)),5,FALSE)),"")</f>
        <v/>
      </c>
      <c r="F997" s="137" t="str">
        <f t="array" ref="F997">IF(A997="","",VLOOKUP(A997,INDIRECT("CXC!A2:I"&amp;COUNTA(CXC!A:A)),9,FALSE))</f>
        <v/>
      </c>
      <c r="G997" s="137" t="str">
        <f t="array" ref="G997">IFERROR(IF(A997="","",VLOOKUP(A997,INDIRECT("HISTÓRICO COBROS!A3:F"&amp;COUNTA('HISTÓRICO COBROS'!A:A)),6,FALSE)),"")</f>
        <v/>
      </c>
      <c r="H997" s="138" t="str">
        <f t="shared" ref="H997:I997" si="998">IF(D997="","",D997+F997)</f>
        <v/>
      </c>
      <c r="I997" s="135" t="str">
        <f t="shared" si="998"/>
        <v/>
      </c>
      <c r="J997" s="140" t="str">
        <f t="shared" si="3"/>
        <v/>
      </c>
      <c r="K997" s="140" t="str">
        <f t="shared" si="4"/>
        <v/>
      </c>
    </row>
    <row r="998" ht="22.5" customHeight="1">
      <c r="A998" s="140"/>
      <c r="B998" s="135" t="str">
        <f t="array" ref="B998">IF(A998="","",VLOOKUP(A998,INDIRECT("CXC!A2:B"&amp;COUNTA(CXC!A:A)),2,FALSE))</f>
        <v/>
      </c>
      <c r="C998" s="136" t="str">
        <f t="array" ref="C998">IF(A998="","",VLOOKUP(A998,INDIRECT("CXC!A2:C"&amp;COUNTA(CXC!A:A)),3,FALSE))</f>
        <v/>
      </c>
      <c r="D998" s="137" t="str">
        <f t="array" ref="D998">IF(A998="","",VLOOKUP(A998,INDIRECT("CXC!A2:H"&amp;COUNTA(CXC!A:A)),8,FALSE))</f>
        <v/>
      </c>
      <c r="E998" s="137" t="str">
        <f t="array" ref="E998">IFERROR(IF(A998="","",VLOOKUP(A998,INDIRECT("HISTÓRICO COBROS!A3:E"&amp;COUNTA('HISTÓRICO COBROS'!A:A)),5,FALSE)),"")</f>
        <v/>
      </c>
      <c r="F998" s="137" t="str">
        <f t="array" ref="F998">IF(A998="","",VLOOKUP(A998,INDIRECT("CXC!A2:I"&amp;COUNTA(CXC!A:A)),9,FALSE))</f>
        <v/>
      </c>
      <c r="G998" s="137" t="str">
        <f t="array" ref="G998">IFERROR(IF(A998="","",VLOOKUP(A998,INDIRECT("HISTÓRICO COBROS!A3:F"&amp;COUNTA('HISTÓRICO COBROS'!A:A)),6,FALSE)),"")</f>
        <v/>
      </c>
      <c r="H998" s="138" t="str">
        <f t="shared" ref="H998:I998" si="999">IF(D998="","",D998+F998)</f>
        <v/>
      </c>
      <c r="I998" s="135" t="str">
        <f t="shared" si="999"/>
        <v/>
      </c>
      <c r="J998" s="140" t="str">
        <f t="shared" si="3"/>
        <v/>
      </c>
      <c r="K998" s="140" t="str">
        <f t="shared" si="4"/>
        <v/>
      </c>
    </row>
    <row r="999" ht="22.5" customHeight="1">
      <c r="A999" s="140"/>
      <c r="B999" s="135" t="str">
        <f t="array" ref="B999">IF(A999="","",VLOOKUP(A999,INDIRECT("CXC!A2:B"&amp;COUNTA(CXC!A:A)),2,FALSE))</f>
        <v/>
      </c>
      <c r="C999" s="136" t="str">
        <f t="array" ref="C999">IF(A999="","",VLOOKUP(A999,INDIRECT("CXC!A2:C"&amp;COUNTA(CXC!A:A)),3,FALSE))</f>
        <v/>
      </c>
      <c r="D999" s="137" t="str">
        <f t="array" ref="D999">IF(A999="","",VLOOKUP(A999,INDIRECT("CXC!A2:H"&amp;COUNTA(CXC!A:A)),8,FALSE))</f>
        <v/>
      </c>
      <c r="E999" s="137" t="str">
        <f t="array" ref="E999">IFERROR(IF(A999="","",VLOOKUP(A999,INDIRECT("HISTÓRICO COBROS!A3:E"&amp;COUNTA('HISTÓRICO COBROS'!A:A)),5,FALSE)),"")</f>
        <v/>
      </c>
      <c r="F999" s="137" t="str">
        <f t="array" ref="F999">IF(A999="","",VLOOKUP(A999,INDIRECT("CXC!A2:I"&amp;COUNTA(CXC!A:A)),9,FALSE))</f>
        <v/>
      </c>
      <c r="G999" s="137" t="str">
        <f t="array" ref="G999">IFERROR(IF(A999="","",VLOOKUP(A999,INDIRECT("HISTÓRICO COBROS!A3:F"&amp;COUNTA('HISTÓRICO COBROS'!A:A)),6,FALSE)),"")</f>
        <v/>
      </c>
      <c r="H999" s="138" t="str">
        <f t="shared" ref="H999:I999" si="1000">IF(D999="","",D999+F999)</f>
        <v/>
      </c>
      <c r="I999" s="135" t="str">
        <f t="shared" si="1000"/>
        <v/>
      </c>
      <c r="J999" s="140" t="str">
        <f t="shared" si="3"/>
        <v/>
      </c>
      <c r="K999" s="140" t="str">
        <f t="shared" si="4"/>
        <v/>
      </c>
    </row>
    <row r="1000" ht="22.5" customHeight="1">
      <c r="A1000" s="140"/>
      <c r="B1000" s="135" t="str">
        <f t="array" ref="B1000">IF(A1000="","",VLOOKUP(A1000,INDIRECT("CXC!A2:B"&amp;COUNTA(CXC!A:A)),2,FALSE))</f>
        <v/>
      </c>
      <c r="C1000" s="136" t="str">
        <f t="array" ref="C1000">IF(A1000="","",VLOOKUP(A1000,INDIRECT("CXC!A2:C"&amp;COUNTA(CXC!A:A)),3,FALSE))</f>
        <v/>
      </c>
      <c r="D1000" s="137" t="str">
        <f t="array" ref="D1000">IF(A1000="","",VLOOKUP(A1000,INDIRECT("CXC!A2:H"&amp;COUNTA(CXC!A:A)),8,FALSE))</f>
        <v/>
      </c>
      <c r="E1000" s="137" t="str">
        <f t="array" ref="E1000">IFERROR(IF(A1000="","",VLOOKUP(A1000,INDIRECT("HISTÓRICO COBROS!A3:E"&amp;COUNTA('HISTÓRICO COBROS'!A:A)),5,FALSE)),"")</f>
        <v/>
      </c>
      <c r="F1000" s="137" t="str">
        <f t="array" ref="F1000">IF(A1000="","",VLOOKUP(A1000,INDIRECT("CXC!A2:I"&amp;COUNTA(CXC!A:A)),9,FALSE))</f>
        <v/>
      </c>
      <c r="G1000" s="137" t="str">
        <f t="array" ref="G1000">IFERROR(IF(A1000="","",VLOOKUP(A1000,INDIRECT("HISTÓRICO COBROS!A3:F"&amp;COUNTA('HISTÓRICO COBROS'!A:A)),6,FALSE)),"")</f>
        <v/>
      </c>
      <c r="H1000" s="138" t="str">
        <f t="shared" ref="H1000:I1000" si="1001">IF(D1000="","",D1000+F1000)</f>
        <v/>
      </c>
      <c r="I1000" s="135" t="str">
        <f t="shared" si="1001"/>
        <v/>
      </c>
      <c r="J1000" s="140" t="str">
        <f t="shared" si="3"/>
        <v/>
      </c>
      <c r="K1000" s="140" t="str">
        <f t="shared" si="4"/>
        <v/>
      </c>
    </row>
  </sheetData>
  <conditionalFormatting sqref="J1:K1000">
    <cfRule type="cellIs" dxfId="7" priority="1" operator="greaterThan">
      <formula>0</formula>
    </cfRule>
  </conditionalFormatting>
  <conditionalFormatting sqref="J1:K1000">
    <cfRule type="cellIs" dxfId="8" priority="2" operator="equal">
      <formula>0</formula>
    </cfRule>
  </conditionalFormatting>
  <conditionalFormatting sqref="J1:K1000">
    <cfRule type="cellIs" dxfId="7" priority="3" operator="lessThan">
      <formula>0</formula>
    </cfRule>
  </conditionalFormatting>
  <dataValidations>
    <dataValidation type="custom" allowBlank="1" showDropDown="1" sqref="C2:C1000">
      <formula1>OR(NOT(ISERROR(DATEVALUE(C2))), AND(ISNUMBER(C2), LEFT(CELL("format", C2))="D"))</formula1>
    </dataValidation>
    <dataValidation type="custom" allowBlank="1" showDropDown="1" sqref="D2:H100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0"/>
    <col customWidth="1" min="3" max="3" width="13.25"/>
    <col customWidth="1" min="4" max="4" width="14.0"/>
    <col customWidth="1" min="5" max="5" width="23.25"/>
    <col customWidth="1" min="8" max="8" width="16.63"/>
    <col customWidth="1" min="10" max="10" width="19.25"/>
  </cols>
  <sheetData>
    <row r="1" ht="24.75" customHeight="1">
      <c r="A1" s="141" t="s">
        <v>150</v>
      </c>
    </row>
    <row r="2">
      <c r="A2" s="142"/>
      <c r="B2" s="142"/>
      <c r="C2" s="142"/>
    </row>
    <row r="3">
      <c r="A3" s="143" t="s">
        <v>151</v>
      </c>
      <c r="B3" s="144" t="s">
        <v>36</v>
      </c>
    </row>
    <row r="5">
      <c r="A5" s="145" t="str">
        <f>IFERROR(__xludf.DUMMYFUNCTION("QUERY('BASE TRANSFERENCIAS'!A:K,""select * where A contains '""&amp;B3&amp;""' or B contains '""&amp;B3&amp;""'"",1)"),"OS")</f>
        <v>OS</v>
      </c>
      <c r="B5" s="145" t="str">
        <f>IFERROR(__xludf.DUMMYFUNCTION("""COMPUTED_VALUE"""),"CLIENTE")</f>
        <v>CLIENTE</v>
      </c>
      <c r="C5" s="145" t="str">
        <f>IFERROR(__xludf.DUMMYFUNCTION("""COMPUTED_VALUE"""),"SUB CLIENTE")</f>
        <v>SUB CLIENTE</v>
      </c>
      <c r="D5" s="145" t="str">
        <f>IFERROR(__xludf.DUMMYFUNCTION("""COMPUTED_VALUE"""),"A NOMBRE DE")</f>
        <v>A NOMBRE DE</v>
      </c>
      <c r="E5" s="145" t="str">
        <f>IFERROR(__xludf.DUMMYFUNCTION("""COMPUTED_VALUE"""),"DETALLE")</f>
        <v>DETALLE</v>
      </c>
      <c r="F5" s="145" t="str">
        <f>IFERROR(__xludf.DUMMYFUNCTION("""COMPUTED_VALUE"""),"CCF")</f>
        <v>CCF</v>
      </c>
      <c r="G5" s="145" t="str">
        <f>IFERROR(__xludf.DUMMYFUNCTION("""COMPUTED_VALUE"""),"MONTO")</f>
        <v>MONTO</v>
      </c>
      <c r="H5" s="145" t="str">
        <f>IFERROR(__xludf.DUMMYFUNCTION("""COMPUTED_VALUE"""),"SOLICITADO POR")</f>
        <v>SOLICITADO POR</v>
      </c>
      <c r="I5" s="145" t="str">
        <f>IFERROR(__xludf.DUMMYFUNCTION("""COMPUTED_VALUE"""),"BANCO")</f>
        <v>BANCO</v>
      </c>
      <c r="J5" s="145" t="str">
        <f>IFERROR(__xludf.DUMMYFUNCTION("""COMPUTED_VALUE"""),"TIPO")</f>
        <v>TIPO</v>
      </c>
      <c r="K5" s="145" t="str">
        <f>IFERROR(__xludf.DUMMYFUNCTION("""COMPUTED_VALUE"""),"FECHA")</f>
        <v>FECHA</v>
      </c>
    </row>
    <row r="6">
      <c r="A6" s="146" t="str">
        <f>IFERROR(__xludf.DUMMYFUNCTION("""COMPUTED_VALUE"""),"001-2024")</f>
        <v>001-2024</v>
      </c>
      <c r="B6" s="146" t="str">
        <f>IFERROR(__xludf.DUMMYFUNCTION("""COMPUTED_VALUE"""),"PANADERIA SINAI")</f>
        <v>PANADERIA SINAI</v>
      </c>
      <c r="C6" s="146" t="str">
        <f>IFERROR(__xludf.DUMMYFUNCTION("""COMPUTED_VALUE"""),"N/A")</f>
        <v>N/A</v>
      </c>
      <c r="D6" s="146" t="str">
        <f>IFERROR(__xludf.DUMMYFUNCTION("""COMPUTED_VALUE"""),"M.H")</f>
        <v>M.H</v>
      </c>
      <c r="E6" s="146" t="str">
        <f>IFERROR(__xludf.DUMMYFUNCTION("""COMPUTED_VALUE"""),"IMPUESTOS")</f>
        <v>IMPUESTOS</v>
      </c>
      <c r="F6" s="146"/>
      <c r="G6" s="147">
        <f>IFERROR(__xludf.DUMMYFUNCTION("""COMPUTED_VALUE"""),33.284)</f>
        <v>33.284</v>
      </c>
      <c r="H6" s="146" t="str">
        <f>IFERROR(__xludf.DUMMYFUNCTION("""COMPUTED_VALUE"""),"MARÍA JOSE")</f>
        <v>MARÍA JOSE</v>
      </c>
      <c r="I6" s="146" t="str">
        <f>IFERROR(__xludf.DUMMYFUNCTION("""COMPUTED_VALUE"""),"AGRICOLA")</f>
        <v>AGRICOLA</v>
      </c>
      <c r="J6" s="146" t="str">
        <f>IFERROR(__xludf.DUMMYFUNCTION("""COMPUTED_VALUE"""),"CARGOS A CLIENTES")</f>
        <v>CARGOS A CLIENTES</v>
      </c>
      <c r="K6" s="148">
        <f>IFERROR(__xludf.DUMMYFUNCTION("""COMPUTED_VALUE"""),45606.0)</f>
        <v>45606</v>
      </c>
    </row>
    <row r="7">
      <c r="A7" s="146"/>
      <c r="B7" s="146"/>
      <c r="C7" s="146"/>
      <c r="D7" s="146"/>
      <c r="E7" s="146"/>
      <c r="F7" s="146"/>
      <c r="G7" s="146"/>
      <c r="H7" s="146"/>
      <c r="I7" s="146"/>
      <c r="J7" s="146"/>
      <c r="K7" s="146"/>
    </row>
    <row r="8">
      <c r="A8" s="146"/>
      <c r="B8" s="146"/>
      <c r="C8" s="146"/>
      <c r="D8" s="146"/>
      <c r="E8" s="146"/>
      <c r="F8" s="146"/>
      <c r="G8" s="146"/>
      <c r="H8" s="146"/>
      <c r="I8" s="146"/>
      <c r="J8" s="146"/>
      <c r="K8" s="146"/>
    </row>
    <row r="9">
      <c r="A9" s="146"/>
      <c r="B9" s="146"/>
      <c r="C9" s="146"/>
      <c r="D9" s="146"/>
      <c r="E9" s="146"/>
      <c r="F9" s="146"/>
      <c r="G9" s="146"/>
      <c r="H9" s="146"/>
      <c r="I9" s="146"/>
      <c r="J9" s="146"/>
      <c r="K9" s="146"/>
    </row>
    <row r="10">
      <c r="A10" s="146"/>
      <c r="B10" s="146"/>
      <c r="C10" s="146"/>
      <c r="D10" s="146"/>
      <c r="E10" s="146"/>
      <c r="F10" s="146"/>
      <c r="G10" s="146"/>
      <c r="H10" s="146"/>
      <c r="I10" s="146"/>
      <c r="J10" s="146"/>
      <c r="K10" s="146"/>
    </row>
    <row r="11">
      <c r="A11" s="146"/>
      <c r="B11" s="146"/>
      <c r="C11" s="146"/>
      <c r="D11" s="146"/>
      <c r="E11" s="146"/>
      <c r="F11" s="146"/>
      <c r="G11" s="146"/>
      <c r="H11" s="146"/>
      <c r="I11" s="146"/>
      <c r="J11" s="146"/>
      <c r="K11" s="146"/>
    </row>
    <row r="12">
      <c r="A12" s="146"/>
      <c r="B12" s="146"/>
      <c r="C12" s="146"/>
      <c r="D12" s="146"/>
      <c r="E12" s="146"/>
      <c r="F12" s="146"/>
      <c r="G12" s="146"/>
      <c r="H12" s="146"/>
      <c r="I12" s="146"/>
      <c r="J12" s="146"/>
      <c r="K12" s="146"/>
    </row>
    <row r="13">
      <c r="A13" s="146"/>
      <c r="B13" s="146"/>
      <c r="C13" s="146"/>
      <c r="D13" s="146"/>
      <c r="E13" s="146"/>
      <c r="F13" s="146"/>
      <c r="G13" s="146"/>
      <c r="H13" s="146"/>
      <c r="I13" s="146"/>
      <c r="J13" s="146"/>
      <c r="K13" s="146"/>
    </row>
    <row r="14">
      <c r="A14" s="146"/>
      <c r="B14" s="146"/>
      <c r="C14" s="146"/>
      <c r="D14" s="146"/>
      <c r="E14" s="146"/>
      <c r="F14" s="146"/>
      <c r="G14" s="146"/>
      <c r="H14" s="146"/>
      <c r="I14" s="146"/>
      <c r="J14" s="146"/>
      <c r="K14" s="146"/>
    </row>
    <row r="15">
      <c r="A15" s="146"/>
      <c r="B15" s="146"/>
      <c r="C15" s="146"/>
      <c r="D15" s="146"/>
      <c r="E15" s="146"/>
      <c r="F15" s="146"/>
      <c r="G15" s="146"/>
      <c r="H15" s="146"/>
      <c r="I15" s="146"/>
      <c r="J15" s="146"/>
      <c r="K15" s="146"/>
    </row>
    <row r="16">
      <c r="A16" s="146"/>
      <c r="B16" s="146"/>
      <c r="C16" s="146"/>
      <c r="D16" s="146"/>
      <c r="E16" s="146"/>
      <c r="F16" s="146"/>
      <c r="G16" s="146"/>
      <c r="H16" s="146"/>
      <c r="I16" s="146"/>
      <c r="J16" s="146"/>
      <c r="K16" s="146"/>
    </row>
    <row r="17">
      <c r="A17" s="146"/>
      <c r="B17" s="146"/>
      <c r="C17" s="146"/>
      <c r="D17" s="146"/>
      <c r="E17" s="146"/>
      <c r="F17" s="146"/>
      <c r="G17" s="146"/>
      <c r="H17" s="146"/>
      <c r="I17" s="146"/>
      <c r="J17" s="146"/>
      <c r="K17" s="146"/>
    </row>
    <row r="18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</row>
    <row r="19">
      <c r="A19" s="146"/>
      <c r="B19" s="146"/>
      <c r="C19" s="146"/>
      <c r="D19" s="146"/>
      <c r="E19" s="146"/>
      <c r="F19" s="146"/>
      <c r="G19" s="146"/>
      <c r="H19" s="146"/>
      <c r="I19" s="146"/>
      <c r="J19" s="146"/>
      <c r="K19" s="146"/>
    </row>
    <row r="20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</row>
    <row r="21">
      <c r="A21" s="146"/>
      <c r="B21" s="146"/>
      <c r="C21" s="146"/>
      <c r="D21" s="146"/>
      <c r="E21" s="146"/>
      <c r="F21" s="146"/>
      <c r="G21" s="146"/>
      <c r="H21" s="146"/>
      <c r="I21" s="146"/>
      <c r="J21" s="146"/>
      <c r="K21" s="146"/>
    </row>
  </sheetData>
  <mergeCells count="1">
    <mergeCell ref="A1:K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23.63"/>
    <col customWidth="1" min="3" max="3" width="13.5"/>
    <col customWidth="1" min="4" max="4" width="19.25"/>
  </cols>
  <sheetData>
    <row r="1" ht="22.5" customHeight="1">
      <c r="A1" s="133" t="s">
        <v>152</v>
      </c>
      <c r="B1" s="133" t="s">
        <v>153</v>
      </c>
      <c r="C1" s="133" t="s">
        <v>154</v>
      </c>
      <c r="D1" s="133" t="s">
        <v>78</v>
      </c>
      <c r="E1" s="134" t="s">
        <v>27</v>
      </c>
      <c r="F1" s="134" t="s">
        <v>155</v>
      </c>
      <c r="G1" s="134" t="s">
        <v>156</v>
      </c>
    </row>
    <row r="2" ht="22.5" customHeight="1">
      <c r="A2" s="149" t="s">
        <v>39</v>
      </c>
      <c r="B2" s="149" t="s">
        <v>157</v>
      </c>
      <c r="C2" s="149" t="s">
        <v>88</v>
      </c>
      <c r="D2" s="149" t="s">
        <v>89</v>
      </c>
      <c r="E2" s="150" t="str">
        <f>IFERROR(__xludf.DUMMYFUNCTION("ARRAYFORMULA({""ADMON""; FILTER(ListaOS, LEN(ListaOS) &gt; 0)})
"),"ADMON")</f>
        <v>ADMON</v>
      </c>
      <c r="F2" s="151" t="s">
        <v>139</v>
      </c>
      <c r="G2" s="151" t="s">
        <v>140</v>
      </c>
    </row>
    <row r="3" ht="22.5" customHeight="1">
      <c r="A3" s="149" t="s">
        <v>22</v>
      </c>
      <c r="B3" s="149" t="s">
        <v>158</v>
      </c>
      <c r="C3" s="149" t="s">
        <v>159</v>
      </c>
      <c r="D3" s="149" t="s">
        <v>160</v>
      </c>
      <c r="E3" s="150" t="str">
        <f>IFERROR(__xludf.DUMMYFUNCTION("""COMPUTED_VALUE"""),"001-2024")</f>
        <v>001-2024</v>
      </c>
      <c r="F3" s="149" t="s">
        <v>161</v>
      </c>
      <c r="G3" s="151" t="s">
        <v>162</v>
      </c>
    </row>
    <row r="4" ht="22.5" customHeight="1">
      <c r="A4" s="149" t="s">
        <v>59</v>
      </c>
      <c r="B4" s="149" t="s">
        <v>37</v>
      </c>
      <c r="C4" s="149" t="s">
        <v>163</v>
      </c>
      <c r="D4" s="149" t="s">
        <v>164</v>
      </c>
      <c r="E4" s="140" t="str">
        <f>IFERROR(__xludf.DUMMYFUNCTION("""COMPUTED_VALUE"""),"002-2024")</f>
        <v>002-2024</v>
      </c>
      <c r="F4" s="140"/>
      <c r="G4" s="151" t="s">
        <v>163</v>
      </c>
    </row>
    <row r="5" ht="22.5" customHeight="1">
      <c r="A5" s="149" t="s">
        <v>53</v>
      </c>
      <c r="B5" s="149" t="s">
        <v>51</v>
      </c>
      <c r="E5" s="140" t="str">
        <f>IFERROR(__xludf.DUMMYFUNCTION("""COMPUTED_VALUE"""),"003-2024")</f>
        <v>003-2024</v>
      </c>
      <c r="F5" s="140"/>
      <c r="G5" s="140"/>
    </row>
    <row r="6" ht="22.5" customHeight="1">
      <c r="B6" s="149" t="s">
        <v>47</v>
      </c>
      <c r="E6" s="140" t="str">
        <f>IFERROR(__xludf.DUMMYFUNCTION("""COMPUTED_VALUE"""),"004-2024")</f>
        <v>004-2024</v>
      </c>
      <c r="F6" s="140"/>
      <c r="G6" s="140"/>
    </row>
    <row r="7" ht="22.5" customHeight="1">
      <c r="B7" s="149" t="s">
        <v>10</v>
      </c>
      <c r="E7" s="140" t="str">
        <f>IFERROR(__xludf.DUMMYFUNCTION("""COMPUTED_VALUE"""),"005-2024")</f>
        <v>005-2024</v>
      </c>
      <c r="F7" s="140"/>
      <c r="G7" s="140"/>
    </row>
    <row r="8" ht="22.5" customHeight="1">
      <c r="B8" s="149" t="s">
        <v>165</v>
      </c>
      <c r="E8" s="140" t="str">
        <f>IFERROR(__xludf.DUMMYFUNCTION("""COMPUTED_VALUE"""),"006-2024")</f>
        <v>006-2024</v>
      </c>
      <c r="F8" s="140"/>
      <c r="G8" s="140"/>
    </row>
    <row r="9" ht="22.5" customHeight="1">
      <c r="B9" s="149" t="s">
        <v>166</v>
      </c>
      <c r="E9" s="140" t="str">
        <f>IFERROR(__xludf.DUMMYFUNCTION("""COMPUTED_VALUE"""),"007-2024")</f>
        <v>007-2024</v>
      </c>
      <c r="F9" s="140"/>
      <c r="G9" s="140"/>
    </row>
    <row r="10" ht="22.5" customHeight="1">
      <c r="B10" s="149" t="s">
        <v>44</v>
      </c>
      <c r="E10" s="140" t="str">
        <f>IFERROR(__xludf.DUMMYFUNCTION("""COMPUTED_VALUE"""),"008-2024")</f>
        <v>008-2024</v>
      </c>
      <c r="F10" s="140"/>
      <c r="G10" s="140"/>
    </row>
    <row r="11" ht="22.5" customHeight="1">
      <c r="B11" s="149" t="s">
        <v>62</v>
      </c>
      <c r="E11" s="140"/>
      <c r="F11" s="140"/>
      <c r="G11" s="140"/>
    </row>
    <row r="12" ht="22.5" customHeight="1">
      <c r="B12" s="149" t="s">
        <v>158</v>
      </c>
      <c r="E12" s="140"/>
      <c r="F12" s="140"/>
      <c r="G12" s="140"/>
    </row>
    <row r="13" ht="22.5" customHeight="1">
      <c r="B13" s="149" t="s">
        <v>167</v>
      </c>
      <c r="E13" s="140"/>
      <c r="F13" s="140"/>
      <c r="G13" s="140"/>
    </row>
    <row r="14" ht="22.5" customHeight="1">
      <c r="B14" s="149" t="s">
        <v>168</v>
      </c>
      <c r="E14" s="140"/>
      <c r="F14" s="140"/>
      <c r="G14" s="140"/>
    </row>
    <row r="15" ht="22.5" customHeight="1">
      <c r="B15" s="149" t="s">
        <v>169</v>
      </c>
      <c r="E15" s="140"/>
      <c r="F15" s="140"/>
      <c r="G15" s="140"/>
    </row>
    <row r="16" ht="22.5" customHeight="1">
      <c r="B16" s="149" t="s">
        <v>170</v>
      </c>
      <c r="E16" s="140"/>
      <c r="F16" s="140"/>
      <c r="G16" s="140"/>
    </row>
    <row r="17" ht="22.5" customHeight="1">
      <c r="B17" s="149" t="s">
        <v>171</v>
      </c>
      <c r="E17" s="140"/>
      <c r="F17" s="140"/>
      <c r="G17" s="140"/>
    </row>
    <row r="18" ht="22.5" customHeight="1">
      <c r="B18" s="149" t="s">
        <v>10</v>
      </c>
      <c r="E18" s="140"/>
      <c r="F18" s="140"/>
      <c r="G18" s="140"/>
    </row>
    <row r="19" ht="22.5" customHeight="1">
      <c r="B19" s="149" t="s">
        <v>57</v>
      </c>
      <c r="E19" s="140"/>
      <c r="F19" s="140"/>
      <c r="G19" s="140"/>
    </row>
    <row r="20" ht="22.5" customHeight="1">
      <c r="B20" s="149" t="s">
        <v>69</v>
      </c>
      <c r="E20" s="140"/>
      <c r="F20" s="140"/>
      <c r="G20" s="140"/>
    </row>
    <row r="21" ht="22.5" customHeight="1">
      <c r="A21" s="152"/>
      <c r="B21" s="151" t="s">
        <v>172</v>
      </c>
      <c r="C21" s="152"/>
      <c r="D21" s="152"/>
      <c r="E21" s="140"/>
      <c r="F21" s="140"/>
      <c r="G21" s="152"/>
    </row>
    <row r="22" ht="22.5" customHeight="1">
      <c r="A22" s="152"/>
      <c r="B22" s="151" t="s">
        <v>173</v>
      </c>
      <c r="C22" s="152"/>
      <c r="D22" s="152"/>
      <c r="E22" s="140"/>
      <c r="F22" s="140"/>
      <c r="G22" s="140"/>
    </row>
    <row r="23" ht="22.5" customHeight="1">
      <c r="A23" s="152"/>
      <c r="B23" s="151" t="s">
        <v>174</v>
      </c>
      <c r="C23" s="152"/>
      <c r="D23" s="152"/>
      <c r="E23" s="140"/>
      <c r="F23" s="140"/>
      <c r="G23" s="140"/>
    </row>
    <row r="24" ht="22.5" customHeight="1">
      <c r="A24" s="140"/>
      <c r="B24" s="140"/>
      <c r="C24" s="140"/>
      <c r="D24" s="140"/>
      <c r="E24" s="140"/>
      <c r="F24" s="140"/>
      <c r="G24" s="140"/>
    </row>
    <row r="25" ht="22.5" customHeight="1">
      <c r="A25" s="140"/>
      <c r="B25" s="140"/>
      <c r="C25" s="140"/>
      <c r="D25" s="140"/>
      <c r="E25" s="140"/>
      <c r="F25" s="140"/>
      <c r="G25" s="140"/>
    </row>
    <row r="26" ht="22.5" customHeight="1">
      <c r="A26" s="140"/>
      <c r="B26" s="140"/>
      <c r="C26" s="140"/>
      <c r="D26" s="140"/>
      <c r="E26" s="140"/>
      <c r="F26" s="140"/>
      <c r="G26" s="140"/>
    </row>
    <row r="27" ht="22.5" customHeight="1">
      <c r="A27" s="140"/>
      <c r="B27" s="140"/>
      <c r="C27" s="140"/>
      <c r="D27" s="140"/>
      <c r="E27" s="140"/>
      <c r="F27" s="140"/>
      <c r="G27" s="140"/>
    </row>
    <row r="28" ht="22.5" customHeight="1">
      <c r="A28" s="140"/>
      <c r="B28" s="140"/>
      <c r="C28" s="140"/>
      <c r="D28" s="140"/>
      <c r="E28" s="140"/>
      <c r="F28" s="140"/>
      <c r="G28" s="140"/>
    </row>
    <row r="29" ht="22.5" customHeight="1">
      <c r="A29" s="140"/>
      <c r="B29" s="140"/>
      <c r="C29" s="140"/>
      <c r="D29" s="140"/>
      <c r="E29" s="140"/>
      <c r="F29" s="140"/>
      <c r="G29" s="140"/>
    </row>
    <row r="30" ht="22.5" customHeight="1">
      <c r="A30" s="140"/>
      <c r="B30" s="140"/>
      <c r="C30" s="140"/>
      <c r="D30" s="140"/>
      <c r="E30" s="140"/>
      <c r="F30" s="140"/>
      <c r="G30" s="140"/>
    </row>
    <row r="31" ht="22.5" customHeight="1">
      <c r="A31" s="140"/>
      <c r="B31" s="140"/>
      <c r="C31" s="140"/>
      <c r="D31" s="140"/>
      <c r="E31" s="140"/>
      <c r="F31" s="140"/>
      <c r="G31" s="140"/>
    </row>
    <row r="32" ht="22.5" customHeight="1">
      <c r="A32" s="140"/>
      <c r="B32" s="140"/>
      <c r="C32" s="140"/>
      <c r="D32" s="140"/>
      <c r="E32" s="140"/>
      <c r="F32" s="140"/>
      <c r="G32" s="140"/>
    </row>
    <row r="33" ht="22.5" customHeight="1">
      <c r="A33" s="140"/>
      <c r="B33" s="140"/>
      <c r="C33" s="140"/>
      <c r="D33" s="140"/>
      <c r="E33" s="140"/>
      <c r="F33" s="140"/>
      <c r="G33" s="140"/>
    </row>
    <row r="34" ht="22.5" customHeight="1">
      <c r="A34" s="140"/>
      <c r="B34" s="140"/>
      <c r="C34" s="140"/>
      <c r="D34" s="140"/>
      <c r="E34" s="140"/>
      <c r="F34" s="140"/>
      <c r="G34" s="140"/>
    </row>
    <row r="35" ht="22.5" customHeight="1">
      <c r="A35" s="140"/>
      <c r="B35" s="140"/>
      <c r="C35" s="140"/>
      <c r="D35" s="140"/>
      <c r="E35" s="140"/>
      <c r="F35" s="140"/>
      <c r="G35" s="140"/>
    </row>
    <row r="36" ht="22.5" customHeight="1">
      <c r="A36" s="140"/>
      <c r="B36" s="140"/>
      <c r="C36" s="140"/>
      <c r="D36" s="140"/>
      <c r="E36" s="140"/>
      <c r="F36" s="140"/>
      <c r="G36" s="140"/>
    </row>
    <row r="37" ht="22.5" customHeight="1">
      <c r="A37" s="140"/>
      <c r="B37" s="140"/>
      <c r="C37" s="140"/>
      <c r="D37" s="140"/>
      <c r="E37" s="140"/>
      <c r="F37" s="140"/>
      <c r="G37" s="140"/>
    </row>
    <row r="38" ht="22.5" customHeight="1">
      <c r="A38" s="140"/>
      <c r="B38" s="140"/>
      <c r="C38" s="140"/>
      <c r="D38" s="140"/>
      <c r="E38" s="140"/>
      <c r="F38" s="140"/>
      <c r="G38" s="140"/>
    </row>
    <row r="39" ht="22.5" customHeight="1">
      <c r="A39" s="140"/>
      <c r="B39" s="140"/>
      <c r="C39" s="140"/>
      <c r="D39" s="140"/>
      <c r="E39" s="140"/>
      <c r="F39" s="140"/>
      <c r="G39" s="140"/>
    </row>
    <row r="40" ht="22.5" customHeight="1">
      <c r="A40" s="140"/>
      <c r="B40" s="140"/>
      <c r="C40" s="140"/>
      <c r="D40" s="140"/>
      <c r="E40" s="140"/>
      <c r="F40" s="140"/>
      <c r="G40" s="140"/>
    </row>
    <row r="41" ht="22.5" customHeight="1">
      <c r="A41" s="140"/>
      <c r="B41" s="140"/>
      <c r="C41" s="140"/>
      <c r="D41" s="140"/>
      <c r="E41" s="140"/>
      <c r="F41" s="140"/>
      <c r="G41" s="140"/>
    </row>
    <row r="42" ht="22.5" customHeight="1">
      <c r="A42" s="140"/>
      <c r="B42" s="140"/>
      <c r="C42" s="140"/>
      <c r="D42" s="140"/>
      <c r="E42" s="140"/>
      <c r="F42" s="140"/>
      <c r="G42" s="140"/>
    </row>
    <row r="43" ht="22.5" customHeight="1">
      <c r="A43" s="140"/>
      <c r="B43" s="140"/>
      <c r="C43" s="140"/>
      <c r="D43" s="140"/>
      <c r="E43" s="140"/>
      <c r="F43" s="140"/>
      <c r="G43" s="140"/>
    </row>
    <row r="44" ht="22.5" customHeight="1">
      <c r="A44" s="140"/>
      <c r="B44" s="140"/>
      <c r="C44" s="140"/>
      <c r="D44" s="140"/>
      <c r="E44" s="140"/>
      <c r="F44" s="140"/>
      <c r="G44" s="140"/>
    </row>
    <row r="45" ht="22.5" customHeight="1">
      <c r="A45" s="140"/>
      <c r="B45" s="140"/>
      <c r="C45" s="140"/>
      <c r="D45" s="140"/>
      <c r="E45" s="140"/>
      <c r="F45" s="140"/>
      <c r="G45" s="140"/>
    </row>
    <row r="46" ht="22.5" customHeight="1">
      <c r="A46" s="140"/>
      <c r="B46" s="140"/>
      <c r="C46" s="140"/>
      <c r="D46" s="140"/>
      <c r="E46" s="140"/>
      <c r="F46" s="140"/>
      <c r="G46" s="140"/>
    </row>
    <row r="47" ht="22.5" customHeight="1">
      <c r="A47" s="140"/>
      <c r="B47" s="140"/>
      <c r="C47" s="140"/>
      <c r="D47" s="140"/>
      <c r="E47" s="140"/>
      <c r="F47" s="140"/>
      <c r="G47" s="140"/>
    </row>
    <row r="48" ht="22.5" customHeight="1">
      <c r="A48" s="140"/>
      <c r="B48" s="140"/>
      <c r="C48" s="140"/>
      <c r="D48" s="140"/>
      <c r="E48" s="140"/>
      <c r="F48" s="140"/>
      <c r="G48" s="140"/>
    </row>
    <row r="49" ht="22.5" customHeight="1">
      <c r="A49" s="140"/>
      <c r="B49" s="140"/>
      <c r="C49" s="140"/>
      <c r="D49" s="140"/>
      <c r="E49" s="140"/>
      <c r="F49" s="140"/>
      <c r="G49" s="140"/>
    </row>
    <row r="50" ht="22.5" customHeight="1">
      <c r="A50" s="140"/>
      <c r="B50" s="140"/>
      <c r="C50" s="140"/>
      <c r="D50" s="140"/>
      <c r="E50" s="140"/>
      <c r="F50" s="140"/>
      <c r="G50" s="140"/>
    </row>
    <row r="51" ht="22.5" customHeight="1">
      <c r="A51" s="140"/>
      <c r="B51" s="140"/>
      <c r="C51" s="140"/>
      <c r="D51" s="140"/>
      <c r="E51" s="140"/>
      <c r="F51" s="140"/>
      <c r="G51" s="140"/>
    </row>
    <row r="52" ht="22.5" customHeight="1">
      <c r="A52" s="140"/>
      <c r="B52" s="140"/>
      <c r="C52" s="140"/>
      <c r="D52" s="140"/>
      <c r="E52" s="140"/>
      <c r="F52" s="140"/>
      <c r="G52" s="140"/>
    </row>
    <row r="53" ht="22.5" customHeight="1">
      <c r="A53" s="140"/>
      <c r="B53" s="140"/>
      <c r="C53" s="140"/>
      <c r="D53" s="140"/>
      <c r="E53" s="140"/>
      <c r="F53" s="140"/>
      <c r="G53" s="140"/>
    </row>
    <row r="54" ht="22.5" customHeight="1">
      <c r="A54" s="140"/>
      <c r="B54" s="140"/>
      <c r="C54" s="140"/>
      <c r="D54" s="140"/>
      <c r="E54" s="140"/>
      <c r="F54" s="140"/>
      <c r="G54" s="140"/>
    </row>
    <row r="55" ht="22.5" customHeight="1">
      <c r="A55" s="140"/>
      <c r="B55" s="140"/>
      <c r="C55" s="140"/>
      <c r="D55" s="140"/>
      <c r="E55" s="140"/>
      <c r="F55" s="140"/>
      <c r="G55" s="140"/>
    </row>
    <row r="56" ht="22.5" customHeight="1">
      <c r="A56" s="140"/>
      <c r="B56" s="140"/>
      <c r="C56" s="140"/>
      <c r="D56" s="140"/>
      <c r="E56" s="140"/>
      <c r="F56" s="140"/>
      <c r="G56" s="140"/>
    </row>
    <row r="57" ht="22.5" customHeight="1">
      <c r="A57" s="140"/>
      <c r="B57" s="140"/>
      <c r="C57" s="140"/>
      <c r="D57" s="140"/>
      <c r="E57" s="140"/>
      <c r="F57" s="140"/>
      <c r="G57" s="140"/>
    </row>
    <row r="58" ht="22.5" customHeight="1">
      <c r="A58" s="140"/>
      <c r="B58" s="140"/>
      <c r="C58" s="140"/>
      <c r="D58" s="140"/>
      <c r="E58" s="140"/>
      <c r="F58" s="140"/>
      <c r="G58" s="140"/>
    </row>
    <row r="59" ht="22.5" customHeight="1">
      <c r="A59" s="140"/>
      <c r="B59" s="140"/>
      <c r="C59" s="140"/>
      <c r="D59" s="140"/>
      <c r="E59" s="140"/>
      <c r="F59" s="140"/>
      <c r="G59" s="140"/>
    </row>
    <row r="60" ht="22.5" customHeight="1">
      <c r="A60" s="140"/>
      <c r="B60" s="140"/>
      <c r="C60" s="140"/>
      <c r="D60" s="140"/>
      <c r="E60" s="140"/>
      <c r="F60" s="140"/>
      <c r="G60" s="140"/>
    </row>
    <row r="61" ht="22.5" customHeight="1">
      <c r="A61" s="140"/>
      <c r="B61" s="140"/>
      <c r="C61" s="140"/>
      <c r="D61" s="140"/>
      <c r="E61" s="140"/>
      <c r="F61" s="140"/>
      <c r="G61" s="140"/>
    </row>
    <row r="62" ht="22.5" customHeight="1">
      <c r="A62" s="140"/>
      <c r="B62" s="140"/>
      <c r="C62" s="140"/>
      <c r="D62" s="140"/>
      <c r="E62" s="140"/>
      <c r="F62" s="140"/>
      <c r="G62" s="140"/>
    </row>
    <row r="63" ht="22.5" customHeight="1">
      <c r="A63" s="140"/>
      <c r="B63" s="140"/>
      <c r="C63" s="140"/>
      <c r="D63" s="140"/>
      <c r="E63" s="140"/>
      <c r="F63" s="140"/>
      <c r="G63" s="140"/>
    </row>
    <row r="64" ht="22.5" customHeight="1">
      <c r="A64" s="140"/>
      <c r="B64" s="140"/>
      <c r="C64" s="140"/>
      <c r="D64" s="140"/>
      <c r="E64" s="140"/>
      <c r="F64" s="140"/>
      <c r="G64" s="140"/>
    </row>
    <row r="65" ht="22.5" customHeight="1">
      <c r="A65" s="140"/>
      <c r="B65" s="140"/>
      <c r="C65" s="140"/>
      <c r="D65" s="140"/>
      <c r="E65" s="140"/>
      <c r="F65" s="140"/>
      <c r="G65" s="140"/>
    </row>
    <row r="66" ht="22.5" customHeight="1">
      <c r="A66" s="140"/>
      <c r="B66" s="140"/>
      <c r="C66" s="140"/>
      <c r="D66" s="140"/>
      <c r="E66" s="140"/>
      <c r="F66" s="140"/>
      <c r="G66" s="140"/>
    </row>
    <row r="67" ht="22.5" customHeight="1">
      <c r="A67" s="140"/>
      <c r="B67" s="140"/>
      <c r="C67" s="140"/>
      <c r="D67" s="140"/>
      <c r="E67" s="140"/>
      <c r="F67" s="140"/>
      <c r="G67" s="140"/>
    </row>
    <row r="68" ht="22.5" customHeight="1">
      <c r="A68" s="140"/>
      <c r="B68" s="140"/>
      <c r="C68" s="140"/>
      <c r="D68" s="140"/>
      <c r="E68" s="140"/>
      <c r="F68" s="140"/>
      <c r="G68" s="140"/>
    </row>
    <row r="69" ht="22.5" customHeight="1">
      <c r="A69" s="140"/>
      <c r="B69" s="140"/>
      <c r="C69" s="140"/>
      <c r="D69" s="140"/>
      <c r="E69" s="140"/>
      <c r="F69" s="140"/>
      <c r="G69" s="140"/>
    </row>
    <row r="70" ht="22.5" customHeight="1">
      <c r="A70" s="140"/>
      <c r="B70" s="140"/>
      <c r="C70" s="140"/>
      <c r="D70" s="140"/>
      <c r="E70" s="140"/>
      <c r="F70" s="140"/>
      <c r="G70" s="140"/>
    </row>
    <row r="71" ht="22.5" customHeight="1">
      <c r="A71" s="140"/>
      <c r="B71" s="140"/>
      <c r="C71" s="140"/>
      <c r="D71" s="140"/>
      <c r="E71" s="140"/>
      <c r="F71" s="140"/>
      <c r="G71" s="140"/>
    </row>
    <row r="72" ht="22.5" customHeight="1">
      <c r="A72" s="140"/>
      <c r="B72" s="140"/>
      <c r="C72" s="140"/>
      <c r="D72" s="140"/>
      <c r="E72" s="140"/>
      <c r="F72" s="140"/>
      <c r="G72" s="140"/>
    </row>
    <row r="73" ht="22.5" customHeight="1">
      <c r="A73" s="140"/>
      <c r="B73" s="140"/>
      <c r="C73" s="140"/>
      <c r="D73" s="140"/>
      <c r="E73" s="140"/>
      <c r="F73" s="140"/>
      <c r="G73" s="140"/>
    </row>
    <row r="74" ht="22.5" customHeight="1">
      <c r="A74" s="140"/>
      <c r="B74" s="140"/>
      <c r="C74" s="140"/>
      <c r="D74" s="140"/>
      <c r="E74" s="140"/>
      <c r="F74" s="140"/>
      <c r="G74" s="140"/>
    </row>
    <row r="75" ht="22.5" customHeight="1">
      <c r="A75" s="140"/>
      <c r="B75" s="140"/>
      <c r="C75" s="140"/>
      <c r="D75" s="140"/>
      <c r="E75" s="140"/>
      <c r="F75" s="140"/>
      <c r="G75" s="140"/>
    </row>
    <row r="76" ht="22.5" customHeight="1">
      <c r="A76" s="140"/>
      <c r="B76" s="140"/>
      <c r="C76" s="140"/>
      <c r="D76" s="140"/>
      <c r="E76" s="140"/>
      <c r="F76" s="140"/>
      <c r="G76" s="140"/>
    </row>
    <row r="77" ht="22.5" customHeight="1">
      <c r="A77" s="140"/>
      <c r="B77" s="140"/>
      <c r="C77" s="140"/>
      <c r="D77" s="140"/>
      <c r="E77" s="140"/>
      <c r="F77" s="140"/>
      <c r="G77" s="140"/>
    </row>
    <row r="78" ht="22.5" customHeight="1">
      <c r="A78" s="140"/>
      <c r="B78" s="140"/>
      <c r="C78" s="140"/>
      <c r="D78" s="140"/>
      <c r="E78" s="140"/>
      <c r="F78" s="140"/>
      <c r="G78" s="140"/>
    </row>
    <row r="79" ht="22.5" customHeight="1">
      <c r="A79" s="140"/>
      <c r="B79" s="140"/>
      <c r="C79" s="140"/>
      <c r="D79" s="140"/>
      <c r="E79" s="140"/>
      <c r="F79" s="140"/>
      <c r="G79" s="140"/>
    </row>
    <row r="80" ht="22.5" customHeight="1">
      <c r="A80" s="140"/>
      <c r="B80" s="140"/>
      <c r="C80" s="140"/>
      <c r="D80" s="140"/>
      <c r="E80" s="140"/>
      <c r="F80" s="140"/>
      <c r="G80" s="140"/>
    </row>
    <row r="81" ht="22.5" customHeight="1">
      <c r="A81" s="140"/>
      <c r="B81" s="140"/>
      <c r="C81" s="140"/>
      <c r="D81" s="140"/>
      <c r="E81" s="140"/>
      <c r="F81" s="140"/>
      <c r="G81" s="140"/>
    </row>
    <row r="82" ht="22.5" customHeight="1">
      <c r="A82" s="140"/>
      <c r="B82" s="140"/>
      <c r="C82" s="140"/>
      <c r="D82" s="140"/>
      <c r="E82" s="140"/>
      <c r="F82" s="140"/>
      <c r="G82" s="140"/>
    </row>
    <row r="83" ht="22.5" customHeight="1">
      <c r="A83" s="140"/>
      <c r="B83" s="140"/>
      <c r="C83" s="140"/>
      <c r="D83" s="140"/>
      <c r="E83" s="140"/>
      <c r="F83" s="140"/>
      <c r="G83" s="140"/>
    </row>
    <row r="84" ht="22.5" customHeight="1">
      <c r="A84" s="140"/>
      <c r="B84" s="140"/>
      <c r="C84" s="140"/>
      <c r="D84" s="140"/>
      <c r="E84" s="140"/>
      <c r="F84" s="140"/>
      <c r="G84" s="140"/>
    </row>
    <row r="85" ht="22.5" customHeight="1">
      <c r="A85" s="140"/>
      <c r="B85" s="140"/>
      <c r="C85" s="140"/>
      <c r="D85" s="140"/>
      <c r="E85" s="140"/>
      <c r="F85" s="140"/>
      <c r="G85" s="140"/>
    </row>
    <row r="86" ht="22.5" customHeight="1">
      <c r="A86" s="140"/>
      <c r="B86" s="140"/>
      <c r="C86" s="140"/>
      <c r="D86" s="140"/>
      <c r="E86" s="140"/>
      <c r="F86" s="140"/>
      <c r="G86" s="140"/>
    </row>
    <row r="87" ht="22.5" customHeight="1">
      <c r="A87" s="140"/>
      <c r="B87" s="140"/>
      <c r="C87" s="140"/>
      <c r="D87" s="140"/>
      <c r="E87" s="140"/>
      <c r="F87" s="140"/>
      <c r="G87" s="140"/>
    </row>
    <row r="88" ht="22.5" customHeight="1">
      <c r="A88" s="140"/>
      <c r="B88" s="140"/>
      <c r="C88" s="140"/>
      <c r="D88" s="140"/>
      <c r="E88" s="140"/>
      <c r="F88" s="140"/>
      <c r="G88" s="140"/>
    </row>
    <row r="89" ht="22.5" customHeight="1">
      <c r="A89" s="140"/>
      <c r="B89" s="140"/>
      <c r="C89" s="140"/>
      <c r="D89" s="140"/>
      <c r="E89" s="140"/>
      <c r="F89" s="140"/>
      <c r="G89" s="140"/>
    </row>
    <row r="90" ht="22.5" customHeight="1">
      <c r="A90" s="140"/>
      <c r="B90" s="140"/>
      <c r="C90" s="140"/>
      <c r="D90" s="140"/>
      <c r="E90" s="140"/>
      <c r="F90" s="140"/>
      <c r="G90" s="140"/>
    </row>
    <row r="91" ht="22.5" customHeight="1">
      <c r="A91" s="140"/>
      <c r="B91" s="140"/>
      <c r="C91" s="140"/>
      <c r="D91" s="140"/>
      <c r="E91" s="140"/>
      <c r="F91" s="140"/>
      <c r="G91" s="140"/>
    </row>
    <row r="92" ht="22.5" customHeight="1">
      <c r="A92" s="140"/>
      <c r="B92" s="140"/>
      <c r="C92" s="140"/>
      <c r="D92" s="140"/>
      <c r="E92" s="140"/>
      <c r="F92" s="140"/>
      <c r="G92" s="140"/>
    </row>
    <row r="93" ht="22.5" customHeight="1">
      <c r="A93" s="140"/>
      <c r="B93" s="140"/>
      <c r="C93" s="140"/>
      <c r="D93" s="140"/>
      <c r="E93" s="140"/>
      <c r="F93" s="140"/>
      <c r="G93" s="140"/>
    </row>
    <row r="94" ht="22.5" customHeight="1">
      <c r="A94" s="140"/>
      <c r="B94" s="140"/>
      <c r="C94" s="140"/>
      <c r="D94" s="140"/>
      <c r="E94" s="140"/>
      <c r="F94" s="140"/>
      <c r="G94" s="140"/>
    </row>
    <row r="95" ht="22.5" customHeight="1">
      <c r="A95" s="140"/>
      <c r="B95" s="140"/>
      <c r="C95" s="140"/>
      <c r="D95" s="140"/>
      <c r="E95" s="140"/>
      <c r="F95" s="140"/>
      <c r="G95" s="140"/>
    </row>
    <row r="96" ht="22.5" customHeight="1">
      <c r="A96" s="140"/>
      <c r="B96" s="140"/>
      <c r="C96" s="140"/>
      <c r="D96" s="140"/>
      <c r="E96" s="140"/>
      <c r="F96" s="140"/>
      <c r="G96" s="140"/>
    </row>
    <row r="97" ht="22.5" customHeight="1">
      <c r="A97" s="140"/>
      <c r="B97" s="140"/>
      <c r="C97" s="140"/>
      <c r="D97" s="140"/>
      <c r="E97" s="140"/>
      <c r="F97" s="140"/>
      <c r="G97" s="140"/>
    </row>
    <row r="98" ht="22.5" customHeight="1">
      <c r="A98" s="140"/>
      <c r="B98" s="140"/>
      <c r="C98" s="140"/>
      <c r="D98" s="140"/>
      <c r="E98" s="140"/>
      <c r="F98" s="140"/>
      <c r="G98" s="140"/>
    </row>
    <row r="99" ht="22.5" customHeight="1">
      <c r="A99" s="140"/>
      <c r="B99" s="140"/>
      <c r="C99" s="140"/>
      <c r="D99" s="140"/>
      <c r="E99" s="140"/>
      <c r="F99" s="140"/>
      <c r="G99" s="140"/>
    </row>
    <row r="100" ht="22.5" customHeight="1">
      <c r="A100" s="140"/>
      <c r="B100" s="140"/>
      <c r="C100" s="140"/>
      <c r="D100" s="140"/>
      <c r="E100" s="140"/>
      <c r="F100" s="140"/>
      <c r="G100" s="140"/>
    </row>
    <row r="101" ht="22.5" customHeight="1">
      <c r="A101" s="140"/>
      <c r="B101" s="140"/>
      <c r="C101" s="140"/>
      <c r="D101" s="140"/>
      <c r="E101" s="140"/>
      <c r="F101" s="140"/>
      <c r="G101" s="140"/>
    </row>
    <row r="102" ht="22.5" customHeight="1">
      <c r="A102" s="140"/>
      <c r="B102" s="140"/>
      <c r="C102" s="140"/>
      <c r="D102" s="140"/>
      <c r="E102" s="140"/>
      <c r="F102" s="140"/>
      <c r="G102" s="140"/>
    </row>
    <row r="103" ht="22.5" customHeight="1">
      <c r="A103" s="140"/>
      <c r="B103" s="140"/>
      <c r="C103" s="140"/>
      <c r="D103" s="140"/>
      <c r="E103" s="140"/>
      <c r="F103" s="140"/>
      <c r="G103" s="140"/>
    </row>
    <row r="104" ht="22.5" customHeight="1">
      <c r="A104" s="140"/>
      <c r="B104" s="140"/>
      <c r="C104" s="140"/>
      <c r="D104" s="140"/>
      <c r="E104" s="140"/>
      <c r="F104" s="140"/>
      <c r="G104" s="140"/>
    </row>
    <row r="105" ht="22.5" customHeight="1">
      <c r="A105" s="140"/>
      <c r="B105" s="140"/>
      <c r="C105" s="140"/>
      <c r="D105" s="140"/>
      <c r="E105" s="140"/>
      <c r="F105" s="140"/>
      <c r="G105" s="140"/>
    </row>
    <row r="106" ht="22.5" customHeight="1">
      <c r="A106" s="140"/>
      <c r="B106" s="140"/>
      <c r="C106" s="140"/>
      <c r="D106" s="140"/>
      <c r="E106" s="140"/>
      <c r="F106" s="140"/>
      <c r="G106" s="140"/>
    </row>
    <row r="107" ht="22.5" customHeight="1">
      <c r="A107" s="140"/>
      <c r="B107" s="140"/>
      <c r="C107" s="140"/>
      <c r="D107" s="140"/>
      <c r="E107" s="140"/>
      <c r="F107" s="140"/>
      <c r="G107" s="140"/>
    </row>
    <row r="108" ht="22.5" customHeight="1">
      <c r="A108" s="140"/>
      <c r="B108" s="140"/>
      <c r="C108" s="140"/>
      <c r="D108" s="140"/>
      <c r="E108" s="140"/>
      <c r="F108" s="140"/>
      <c r="G108" s="140"/>
    </row>
    <row r="109" ht="22.5" customHeight="1">
      <c r="A109" s="140"/>
      <c r="B109" s="140"/>
      <c r="C109" s="140"/>
      <c r="D109" s="140"/>
      <c r="E109" s="140"/>
      <c r="F109" s="140"/>
      <c r="G109" s="140"/>
    </row>
    <row r="110" ht="22.5" customHeight="1">
      <c r="A110" s="140"/>
      <c r="B110" s="140"/>
      <c r="C110" s="140"/>
      <c r="D110" s="140"/>
      <c r="E110" s="140"/>
      <c r="F110" s="140"/>
      <c r="G110" s="140"/>
    </row>
    <row r="111" ht="22.5" customHeight="1">
      <c r="A111" s="140"/>
      <c r="B111" s="140"/>
      <c r="C111" s="140"/>
      <c r="D111" s="140"/>
      <c r="E111" s="140"/>
      <c r="F111" s="140"/>
      <c r="G111" s="140"/>
    </row>
    <row r="112" ht="22.5" customHeight="1">
      <c r="A112" s="140"/>
      <c r="B112" s="140"/>
      <c r="C112" s="140"/>
      <c r="D112" s="140"/>
      <c r="E112" s="140"/>
      <c r="F112" s="140"/>
      <c r="G112" s="140"/>
    </row>
    <row r="113" ht="22.5" customHeight="1">
      <c r="A113" s="140"/>
      <c r="B113" s="140"/>
      <c r="C113" s="140"/>
      <c r="D113" s="140"/>
      <c r="E113" s="140"/>
      <c r="F113" s="140"/>
      <c r="G113" s="140"/>
    </row>
    <row r="114" ht="22.5" customHeight="1">
      <c r="A114" s="140"/>
      <c r="B114" s="140"/>
      <c r="C114" s="140"/>
      <c r="D114" s="140"/>
      <c r="E114" s="140"/>
      <c r="F114" s="140"/>
      <c r="G114" s="140"/>
    </row>
    <row r="115" ht="22.5" customHeight="1">
      <c r="A115" s="140"/>
      <c r="B115" s="140"/>
      <c r="C115" s="140"/>
      <c r="D115" s="140"/>
      <c r="E115" s="140"/>
      <c r="F115" s="140"/>
      <c r="G115" s="140"/>
    </row>
    <row r="116" ht="22.5" customHeight="1">
      <c r="A116" s="140"/>
      <c r="B116" s="140"/>
      <c r="C116" s="140"/>
      <c r="D116" s="140"/>
      <c r="E116" s="140"/>
      <c r="F116" s="140"/>
      <c r="G116" s="140"/>
    </row>
    <row r="117" ht="22.5" customHeight="1">
      <c r="A117" s="140"/>
      <c r="B117" s="140"/>
      <c r="C117" s="140"/>
      <c r="D117" s="140"/>
      <c r="E117" s="140"/>
      <c r="F117" s="140"/>
      <c r="G117" s="140"/>
    </row>
    <row r="118" ht="22.5" customHeight="1">
      <c r="A118" s="140"/>
      <c r="B118" s="140"/>
      <c r="C118" s="140"/>
      <c r="D118" s="140"/>
      <c r="E118" s="140"/>
      <c r="F118" s="140"/>
      <c r="G118" s="140"/>
    </row>
    <row r="119" ht="22.5" customHeight="1">
      <c r="A119" s="140"/>
      <c r="B119" s="140"/>
      <c r="C119" s="140"/>
      <c r="D119" s="140"/>
      <c r="E119" s="140"/>
      <c r="F119" s="140"/>
      <c r="G119" s="140"/>
    </row>
    <row r="120" ht="22.5" customHeight="1">
      <c r="A120" s="140"/>
      <c r="B120" s="140"/>
      <c r="C120" s="140"/>
      <c r="D120" s="140"/>
      <c r="E120" s="140"/>
      <c r="F120" s="140"/>
      <c r="G120" s="140"/>
    </row>
    <row r="121" ht="22.5" customHeight="1">
      <c r="A121" s="140"/>
      <c r="B121" s="140"/>
      <c r="C121" s="140"/>
      <c r="D121" s="140"/>
      <c r="E121" s="140"/>
      <c r="F121" s="140"/>
      <c r="G121" s="140"/>
    </row>
    <row r="122" ht="22.5" customHeight="1">
      <c r="A122" s="140"/>
      <c r="B122" s="140"/>
      <c r="C122" s="140"/>
      <c r="D122" s="140"/>
      <c r="E122" s="140"/>
      <c r="F122" s="140"/>
      <c r="G122" s="140"/>
    </row>
    <row r="123" ht="22.5" customHeight="1">
      <c r="A123" s="140"/>
      <c r="B123" s="140"/>
      <c r="C123" s="140"/>
      <c r="D123" s="140"/>
      <c r="E123" s="140"/>
      <c r="F123" s="140"/>
      <c r="G123" s="140"/>
    </row>
    <row r="124" ht="22.5" customHeight="1">
      <c r="A124" s="140"/>
      <c r="B124" s="140"/>
      <c r="C124" s="140"/>
      <c r="D124" s="140"/>
      <c r="E124" s="140"/>
      <c r="F124" s="140"/>
      <c r="G124" s="140"/>
    </row>
    <row r="125" ht="22.5" customHeight="1">
      <c r="A125" s="140"/>
      <c r="B125" s="140"/>
      <c r="C125" s="140"/>
      <c r="D125" s="140"/>
      <c r="E125" s="140"/>
      <c r="F125" s="140"/>
      <c r="G125" s="140"/>
    </row>
    <row r="126" ht="22.5" customHeight="1">
      <c r="A126" s="140"/>
      <c r="B126" s="140"/>
      <c r="C126" s="140"/>
      <c r="D126" s="140"/>
      <c r="E126" s="140"/>
      <c r="F126" s="140"/>
      <c r="G126" s="140"/>
    </row>
    <row r="127" ht="22.5" customHeight="1">
      <c r="A127" s="140"/>
      <c r="B127" s="140"/>
      <c r="C127" s="140"/>
      <c r="D127" s="140"/>
      <c r="E127" s="140"/>
      <c r="F127" s="140"/>
      <c r="G127" s="140"/>
    </row>
    <row r="128" ht="22.5" customHeight="1">
      <c r="A128" s="140"/>
      <c r="B128" s="140"/>
      <c r="C128" s="140"/>
      <c r="D128" s="140"/>
      <c r="E128" s="140"/>
      <c r="F128" s="140"/>
      <c r="G128" s="140"/>
    </row>
    <row r="129" ht="22.5" customHeight="1">
      <c r="A129" s="140"/>
      <c r="B129" s="140"/>
      <c r="C129" s="140"/>
      <c r="D129" s="140"/>
      <c r="E129" s="140"/>
      <c r="F129" s="140"/>
      <c r="G129" s="140"/>
    </row>
    <row r="130" ht="22.5" customHeight="1">
      <c r="A130" s="140"/>
      <c r="B130" s="140"/>
      <c r="C130" s="140"/>
      <c r="D130" s="140"/>
      <c r="E130" s="140"/>
      <c r="F130" s="140"/>
      <c r="G130" s="140"/>
    </row>
    <row r="131" ht="22.5" customHeight="1">
      <c r="A131" s="140"/>
      <c r="B131" s="140"/>
      <c r="C131" s="140"/>
      <c r="D131" s="140"/>
      <c r="E131" s="140"/>
      <c r="F131" s="140"/>
      <c r="G131" s="140"/>
    </row>
    <row r="132" ht="22.5" customHeight="1">
      <c r="A132" s="140"/>
      <c r="B132" s="140"/>
      <c r="C132" s="140"/>
      <c r="D132" s="140"/>
      <c r="E132" s="140"/>
      <c r="F132" s="140"/>
      <c r="G132" s="140"/>
    </row>
    <row r="133" ht="22.5" customHeight="1">
      <c r="A133" s="140"/>
      <c r="B133" s="140"/>
      <c r="C133" s="140"/>
      <c r="D133" s="140"/>
      <c r="E133" s="140"/>
      <c r="F133" s="140"/>
      <c r="G133" s="140"/>
    </row>
    <row r="134" ht="22.5" customHeight="1">
      <c r="A134" s="140"/>
      <c r="B134" s="140"/>
      <c r="C134" s="140"/>
      <c r="D134" s="140"/>
      <c r="E134" s="140"/>
      <c r="F134" s="140"/>
      <c r="G134" s="140"/>
    </row>
    <row r="135" ht="22.5" customHeight="1">
      <c r="A135" s="140"/>
      <c r="B135" s="140"/>
      <c r="C135" s="140"/>
      <c r="D135" s="140"/>
      <c r="E135" s="140"/>
      <c r="F135" s="140"/>
      <c r="G135" s="140"/>
    </row>
    <row r="136" ht="22.5" customHeight="1">
      <c r="A136" s="140"/>
      <c r="B136" s="140"/>
      <c r="C136" s="140"/>
      <c r="D136" s="140"/>
      <c r="E136" s="140"/>
      <c r="F136" s="140"/>
      <c r="G136" s="140"/>
    </row>
    <row r="137" ht="22.5" customHeight="1">
      <c r="A137" s="140"/>
      <c r="B137" s="140"/>
      <c r="C137" s="140"/>
      <c r="D137" s="140"/>
      <c r="E137" s="140"/>
      <c r="F137" s="140"/>
      <c r="G137" s="140"/>
    </row>
    <row r="138" ht="22.5" customHeight="1">
      <c r="A138" s="140"/>
      <c r="B138" s="140"/>
      <c r="C138" s="140"/>
      <c r="D138" s="140"/>
      <c r="E138" s="140"/>
      <c r="F138" s="140"/>
      <c r="G138" s="140"/>
    </row>
    <row r="139" ht="22.5" customHeight="1">
      <c r="A139" s="140"/>
      <c r="B139" s="140"/>
      <c r="C139" s="140"/>
      <c r="D139" s="140"/>
      <c r="E139" s="140"/>
      <c r="F139" s="140"/>
      <c r="G139" s="140"/>
    </row>
    <row r="140" ht="22.5" customHeight="1">
      <c r="A140" s="140"/>
      <c r="B140" s="140"/>
      <c r="C140" s="140"/>
      <c r="D140" s="140"/>
      <c r="E140" s="140"/>
      <c r="F140" s="140"/>
      <c r="G140" s="140"/>
    </row>
    <row r="141" ht="22.5" customHeight="1">
      <c r="A141" s="140"/>
      <c r="B141" s="140"/>
      <c r="C141" s="140"/>
      <c r="D141" s="140"/>
      <c r="E141" s="140"/>
      <c r="F141" s="140"/>
      <c r="G141" s="140"/>
    </row>
    <row r="142" ht="22.5" customHeight="1">
      <c r="A142" s="140"/>
      <c r="B142" s="140"/>
      <c r="C142" s="140"/>
      <c r="D142" s="140"/>
      <c r="E142" s="140"/>
      <c r="F142" s="140"/>
      <c r="G142" s="140"/>
    </row>
    <row r="143" ht="22.5" customHeight="1">
      <c r="A143" s="140"/>
      <c r="B143" s="140"/>
      <c r="C143" s="140"/>
      <c r="D143" s="140"/>
      <c r="E143" s="140"/>
      <c r="F143" s="140"/>
      <c r="G143" s="140"/>
    </row>
    <row r="144" ht="22.5" customHeight="1">
      <c r="A144" s="140"/>
      <c r="B144" s="140"/>
      <c r="C144" s="140"/>
      <c r="D144" s="140"/>
      <c r="E144" s="140"/>
      <c r="F144" s="140"/>
      <c r="G144" s="140"/>
    </row>
    <row r="145" ht="22.5" customHeight="1">
      <c r="A145" s="140"/>
      <c r="B145" s="140"/>
      <c r="C145" s="140"/>
      <c r="D145" s="140"/>
      <c r="E145" s="140"/>
      <c r="F145" s="140"/>
      <c r="G145" s="140"/>
    </row>
    <row r="146" ht="22.5" customHeight="1">
      <c r="A146" s="140"/>
      <c r="B146" s="140"/>
      <c r="C146" s="140"/>
      <c r="D146" s="140"/>
      <c r="E146" s="140"/>
      <c r="F146" s="140"/>
      <c r="G146" s="140"/>
    </row>
    <row r="147" ht="22.5" customHeight="1">
      <c r="A147" s="140"/>
      <c r="B147" s="140"/>
      <c r="C147" s="140"/>
      <c r="D147" s="140"/>
      <c r="E147" s="140"/>
      <c r="F147" s="140"/>
      <c r="G147" s="140"/>
    </row>
    <row r="148" ht="22.5" customHeight="1">
      <c r="A148" s="140"/>
      <c r="B148" s="140"/>
      <c r="C148" s="140"/>
      <c r="D148" s="140"/>
      <c r="E148" s="140"/>
      <c r="F148" s="140"/>
      <c r="G148" s="140"/>
    </row>
    <row r="149" ht="22.5" customHeight="1">
      <c r="A149" s="140"/>
      <c r="B149" s="140"/>
      <c r="C149" s="140"/>
      <c r="D149" s="140"/>
      <c r="E149" s="140"/>
      <c r="F149" s="140"/>
      <c r="G149" s="140"/>
    </row>
    <row r="150" ht="22.5" customHeight="1">
      <c r="A150" s="140"/>
      <c r="B150" s="140"/>
      <c r="C150" s="140"/>
      <c r="D150" s="140"/>
      <c r="E150" s="140"/>
      <c r="F150" s="140"/>
      <c r="G150" s="140"/>
    </row>
    <row r="151" ht="22.5" customHeight="1">
      <c r="A151" s="140"/>
      <c r="B151" s="140"/>
      <c r="C151" s="140"/>
      <c r="D151" s="140"/>
      <c r="E151" s="140"/>
      <c r="F151" s="140"/>
      <c r="G151" s="140"/>
    </row>
    <row r="152" ht="22.5" customHeight="1">
      <c r="A152" s="140"/>
      <c r="B152" s="140"/>
      <c r="C152" s="140"/>
      <c r="D152" s="140"/>
      <c r="E152" s="140"/>
      <c r="F152" s="140"/>
      <c r="G152" s="140"/>
    </row>
    <row r="153" ht="22.5" customHeight="1">
      <c r="A153" s="140"/>
      <c r="B153" s="140"/>
      <c r="C153" s="140"/>
      <c r="D153" s="140"/>
      <c r="E153" s="140"/>
      <c r="F153" s="140"/>
      <c r="G153" s="140"/>
    </row>
    <row r="154" ht="22.5" customHeight="1">
      <c r="A154" s="140"/>
      <c r="B154" s="140"/>
      <c r="C154" s="140"/>
      <c r="D154" s="140"/>
      <c r="E154" s="140"/>
      <c r="F154" s="140"/>
      <c r="G154" s="140"/>
    </row>
    <row r="155" ht="22.5" customHeight="1">
      <c r="A155" s="140"/>
      <c r="B155" s="140"/>
      <c r="C155" s="140"/>
      <c r="D155" s="140"/>
      <c r="E155" s="140"/>
      <c r="F155" s="140"/>
      <c r="G155" s="140"/>
    </row>
    <row r="156" ht="22.5" customHeight="1">
      <c r="A156" s="140"/>
      <c r="B156" s="140"/>
      <c r="C156" s="140"/>
      <c r="D156" s="140"/>
      <c r="E156" s="140"/>
      <c r="F156" s="140"/>
      <c r="G156" s="140"/>
    </row>
    <row r="157" ht="22.5" customHeight="1">
      <c r="A157" s="140"/>
      <c r="B157" s="140"/>
      <c r="C157" s="140"/>
      <c r="D157" s="140"/>
      <c r="E157" s="140"/>
      <c r="F157" s="140"/>
      <c r="G157" s="140"/>
    </row>
    <row r="158" ht="22.5" customHeight="1">
      <c r="A158" s="140"/>
      <c r="B158" s="140"/>
      <c r="C158" s="140"/>
      <c r="D158" s="140"/>
      <c r="E158" s="140"/>
      <c r="F158" s="140"/>
      <c r="G158" s="140"/>
    </row>
    <row r="159" ht="22.5" customHeight="1">
      <c r="A159" s="140"/>
      <c r="B159" s="140"/>
      <c r="C159" s="140"/>
      <c r="D159" s="140"/>
      <c r="E159" s="140"/>
      <c r="F159" s="140"/>
      <c r="G159" s="140"/>
    </row>
    <row r="160" ht="22.5" customHeight="1">
      <c r="A160" s="140"/>
      <c r="B160" s="140"/>
      <c r="C160" s="140"/>
      <c r="D160" s="140"/>
      <c r="E160" s="140"/>
      <c r="F160" s="140"/>
      <c r="G160" s="140"/>
    </row>
    <row r="161" ht="22.5" customHeight="1">
      <c r="A161" s="140"/>
      <c r="B161" s="140"/>
      <c r="C161" s="140"/>
      <c r="D161" s="140"/>
      <c r="E161" s="140"/>
      <c r="F161" s="140"/>
      <c r="G161" s="140"/>
    </row>
    <row r="162" ht="22.5" customHeight="1">
      <c r="A162" s="140"/>
      <c r="B162" s="140"/>
      <c r="C162" s="140"/>
      <c r="D162" s="140"/>
      <c r="E162" s="140"/>
      <c r="F162" s="140"/>
      <c r="G162" s="140"/>
    </row>
    <row r="163" ht="22.5" customHeight="1">
      <c r="A163" s="140"/>
      <c r="B163" s="140"/>
      <c r="C163" s="140"/>
      <c r="D163" s="140"/>
      <c r="E163" s="140"/>
      <c r="F163" s="140"/>
      <c r="G163" s="140"/>
    </row>
    <row r="164" ht="22.5" customHeight="1">
      <c r="A164" s="140"/>
      <c r="B164" s="140"/>
      <c r="C164" s="140"/>
      <c r="D164" s="140"/>
      <c r="E164" s="140"/>
      <c r="F164" s="140"/>
      <c r="G164" s="140"/>
    </row>
    <row r="165" ht="22.5" customHeight="1">
      <c r="A165" s="140"/>
      <c r="B165" s="140"/>
      <c r="C165" s="140"/>
      <c r="D165" s="140"/>
      <c r="E165" s="140"/>
      <c r="F165" s="140"/>
      <c r="G165" s="140"/>
    </row>
    <row r="166" ht="22.5" customHeight="1">
      <c r="A166" s="140"/>
      <c r="B166" s="140"/>
      <c r="C166" s="140"/>
      <c r="D166" s="140"/>
      <c r="E166" s="140"/>
      <c r="F166" s="140"/>
      <c r="G166" s="140"/>
    </row>
    <row r="167" ht="22.5" customHeight="1">
      <c r="A167" s="140"/>
      <c r="B167" s="140"/>
      <c r="C167" s="140"/>
      <c r="D167" s="140"/>
      <c r="E167" s="140"/>
      <c r="F167" s="140"/>
      <c r="G167" s="140"/>
    </row>
    <row r="168" ht="22.5" customHeight="1">
      <c r="A168" s="140"/>
      <c r="B168" s="140"/>
      <c r="C168" s="140"/>
      <c r="D168" s="140"/>
      <c r="E168" s="140"/>
      <c r="F168" s="140"/>
      <c r="G168" s="140"/>
    </row>
    <row r="169" ht="22.5" customHeight="1">
      <c r="A169" s="140"/>
      <c r="B169" s="140"/>
      <c r="C169" s="140"/>
      <c r="D169" s="140"/>
      <c r="E169" s="140"/>
      <c r="F169" s="140"/>
      <c r="G169" s="140"/>
    </row>
    <row r="170" ht="22.5" customHeight="1">
      <c r="A170" s="140"/>
      <c r="B170" s="140"/>
      <c r="C170" s="140"/>
      <c r="D170" s="140"/>
      <c r="E170" s="140"/>
      <c r="F170" s="140"/>
      <c r="G170" s="140"/>
    </row>
    <row r="171" ht="22.5" customHeight="1">
      <c r="A171" s="140"/>
      <c r="B171" s="140"/>
      <c r="C171" s="140"/>
      <c r="D171" s="140"/>
      <c r="E171" s="140"/>
      <c r="F171" s="140"/>
      <c r="G171" s="140"/>
    </row>
    <row r="172" ht="22.5" customHeight="1">
      <c r="A172" s="140"/>
      <c r="B172" s="140"/>
      <c r="C172" s="140"/>
      <c r="D172" s="140"/>
      <c r="E172" s="140"/>
      <c r="F172" s="140"/>
      <c r="G172" s="140"/>
    </row>
    <row r="173" ht="22.5" customHeight="1">
      <c r="A173" s="140"/>
      <c r="B173" s="140"/>
      <c r="C173" s="140"/>
      <c r="D173" s="140"/>
      <c r="E173" s="140"/>
      <c r="F173" s="140"/>
      <c r="G173" s="140"/>
    </row>
    <row r="174" ht="22.5" customHeight="1">
      <c r="A174" s="140"/>
      <c r="B174" s="140"/>
      <c r="C174" s="140"/>
      <c r="D174" s="140"/>
      <c r="E174" s="140"/>
      <c r="F174" s="140"/>
      <c r="G174" s="140"/>
    </row>
    <row r="175" ht="22.5" customHeight="1">
      <c r="A175" s="140"/>
      <c r="B175" s="140"/>
      <c r="C175" s="140"/>
      <c r="D175" s="140"/>
      <c r="E175" s="140"/>
      <c r="F175" s="140"/>
      <c r="G175" s="140"/>
    </row>
    <row r="176" ht="22.5" customHeight="1">
      <c r="A176" s="140"/>
      <c r="B176" s="140"/>
      <c r="C176" s="140"/>
      <c r="D176" s="140"/>
      <c r="E176" s="140"/>
      <c r="F176" s="140"/>
      <c r="G176" s="140"/>
    </row>
    <row r="177" ht="22.5" customHeight="1">
      <c r="A177" s="140"/>
      <c r="B177" s="140"/>
      <c r="C177" s="140"/>
      <c r="D177" s="140"/>
      <c r="E177" s="140"/>
      <c r="F177" s="140"/>
      <c r="G177" s="140"/>
    </row>
    <row r="178" ht="22.5" customHeight="1">
      <c r="A178" s="140"/>
      <c r="B178" s="140"/>
      <c r="C178" s="140"/>
      <c r="D178" s="140"/>
      <c r="E178" s="140"/>
      <c r="F178" s="140"/>
      <c r="G178" s="140"/>
    </row>
    <row r="179" ht="22.5" customHeight="1">
      <c r="A179" s="140"/>
      <c r="B179" s="140"/>
      <c r="C179" s="140"/>
      <c r="D179" s="140"/>
      <c r="E179" s="140"/>
      <c r="F179" s="140"/>
      <c r="G179" s="140"/>
    </row>
    <row r="180" ht="22.5" customHeight="1">
      <c r="A180" s="140"/>
      <c r="B180" s="140"/>
      <c r="C180" s="140"/>
      <c r="D180" s="140"/>
      <c r="E180" s="140"/>
      <c r="F180" s="140"/>
      <c r="G180" s="140"/>
    </row>
    <row r="181" ht="22.5" customHeight="1">
      <c r="A181" s="140"/>
      <c r="B181" s="140"/>
      <c r="C181" s="140"/>
      <c r="D181" s="140"/>
      <c r="E181" s="140"/>
      <c r="F181" s="140"/>
      <c r="G181" s="140"/>
    </row>
    <row r="182" ht="22.5" customHeight="1">
      <c r="A182" s="140"/>
      <c r="B182" s="140"/>
      <c r="C182" s="140"/>
      <c r="D182" s="140"/>
      <c r="E182" s="140"/>
      <c r="F182" s="140"/>
      <c r="G182" s="140"/>
    </row>
    <row r="183" ht="22.5" customHeight="1">
      <c r="A183" s="140"/>
      <c r="B183" s="140"/>
      <c r="C183" s="140"/>
      <c r="D183" s="140"/>
      <c r="E183" s="140"/>
      <c r="F183" s="140"/>
      <c r="G183" s="140"/>
    </row>
    <row r="184" ht="22.5" customHeight="1">
      <c r="A184" s="140"/>
      <c r="B184" s="140"/>
      <c r="C184" s="140"/>
      <c r="D184" s="140"/>
      <c r="E184" s="140"/>
      <c r="F184" s="140"/>
      <c r="G184" s="140"/>
    </row>
    <row r="185" ht="22.5" customHeight="1">
      <c r="A185" s="140"/>
      <c r="B185" s="140"/>
      <c r="C185" s="140"/>
      <c r="D185" s="140"/>
      <c r="E185" s="140"/>
      <c r="F185" s="140"/>
      <c r="G185" s="140"/>
    </row>
    <row r="186" ht="22.5" customHeight="1">
      <c r="A186" s="140"/>
      <c r="B186" s="140"/>
      <c r="C186" s="140"/>
      <c r="D186" s="140"/>
      <c r="E186" s="140"/>
      <c r="F186" s="140"/>
      <c r="G186" s="140"/>
    </row>
    <row r="187" ht="22.5" customHeight="1">
      <c r="A187" s="140"/>
      <c r="B187" s="140"/>
      <c r="C187" s="140"/>
      <c r="D187" s="140"/>
      <c r="E187" s="140"/>
      <c r="F187" s="140"/>
      <c r="G187" s="140"/>
    </row>
    <row r="188" ht="22.5" customHeight="1">
      <c r="A188" s="140"/>
      <c r="B188" s="140"/>
      <c r="C188" s="140"/>
      <c r="D188" s="140"/>
      <c r="E188" s="140"/>
      <c r="F188" s="140"/>
      <c r="G188" s="140"/>
    </row>
    <row r="189" ht="22.5" customHeight="1">
      <c r="A189" s="140"/>
      <c r="B189" s="140"/>
      <c r="C189" s="140"/>
      <c r="D189" s="140"/>
      <c r="E189" s="140"/>
      <c r="F189" s="140"/>
      <c r="G189" s="140"/>
    </row>
    <row r="190" ht="22.5" customHeight="1">
      <c r="A190" s="140"/>
      <c r="B190" s="140"/>
      <c r="C190" s="140"/>
      <c r="D190" s="140"/>
      <c r="E190" s="140"/>
      <c r="F190" s="140"/>
      <c r="G190" s="140"/>
    </row>
    <row r="191" ht="22.5" customHeight="1">
      <c r="A191" s="140"/>
      <c r="B191" s="140"/>
      <c r="C191" s="140"/>
      <c r="D191" s="140"/>
      <c r="E191" s="140"/>
      <c r="F191" s="140"/>
      <c r="G191" s="140"/>
    </row>
    <row r="192" ht="22.5" customHeight="1">
      <c r="A192" s="140"/>
      <c r="B192" s="140"/>
      <c r="C192" s="140"/>
      <c r="D192" s="140"/>
      <c r="E192" s="140"/>
      <c r="F192" s="140"/>
      <c r="G192" s="140"/>
    </row>
    <row r="193" ht="22.5" customHeight="1">
      <c r="A193" s="140"/>
      <c r="B193" s="140"/>
      <c r="C193" s="140"/>
      <c r="D193" s="140"/>
      <c r="E193" s="140"/>
      <c r="F193" s="140"/>
      <c r="G193" s="140"/>
    </row>
    <row r="194" ht="22.5" customHeight="1">
      <c r="A194" s="140"/>
      <c r="B194" s="140"/>
      <c r="C194" s="140"/>
      <c r="D194" s="140"/>
      <c r="E194" s="140"/>
      <c r="F194" s="140"/>
      <c r="G194" s="140"/>
    </row>
    <row r="195" ht="22.5" customHeight="1">
      <c r="A195" s="140"/>
      <c r="B195" s="140"/>
      <c r="C195" s="140"/>
      <c r="D195" s="140"/>
      <c r="E195" s="140"/>
      <c r="F195" s="140"/>
      <c r="G195" s="140"/>
    </row>
    <row r="196" ht="22.5" customHeight="1">
      <c r="A196" s="140"/>
      <c r="B196" s="140"/>
      <c r="C196" s="140"/>
      <c r="D196" s="140"/>
      <c r="E196" s="140"/>
      <c r="F196" s="140"/>
      <c r="G196" s="140"/>
    </row>
    <row r="197" ht="22.5" customHeight="1">
      <c r="A197" s="140"/>
      <c r="B197" s="140"/>
      <c r="C197" s="140"/>
      <c r="D197" s="140"/>
      <c r="E197" s="140"/>
      <c r="F197" s="140"/>
      <c r="G197" s="140"/>
    </row>
    <row r="198" ht="22.5" customHeight="1">
      <c r="A198" s="140"/>
      <c r="B198" s="140"/>
      <c r="C198" s="140"/>
      <c r="D198" s="140"/>
      <c r="E198" s="140"/>
      <c r="F198" s="140"/>
      <c r="G198" s="140"/>
    </row>
    <row r="199" ht="22.5" customHeight="1">
      <c r="A199" s="140"/>
      <c r="B199" s="140"/>
      <c r="C199" s="140"/>
      <c r="D199" s="140"/>
      <c r="E199" s="140"/>
      <c r="F199" s="140"/>
      <c r="G199" s="140"/>
    </row>
    <row r="200" ht="22.5" customHeight="1">
      <c r="A200" s="140"/>
      <c r="B200" s="140"/>
      <c r="C200" s="140"/>
      <c r="D200" s="140"/>
      <c r="E200" s="140"/>
      <c r="F200" s="140"/>
      <c r="G200" s="140"/>
    </row>
    <row r="201" ht="22.5" customHeight="1">
      <c r="A201" s="140"/>
      <c r="B201" s="140"/>
      <c r="C201" s="140"/>
      <c r="D201" s="140"/>
      <c r="E201" s="140"/>
      <c r="F201" s="140"/>
      <c r="G201" s="140"/>
    </row>
    <row r="202" ht="22.5" customHeight="1">
      <c r="A202" s="140"/>
      <c r="B202" s="140"/>
      <c r="C202" s="140"/>
      <c r="D202" s="140"/>
      <c r="E202" s="140"/>
      <c r="F202" s="140"/>
      <c r="G202" s="140"/>
    </row>
    <row r="203" ht="22.5" customHeight="1">
      <c r="A203" s="140"/>
      <c r="B203" s="140"/>
      <c r="C203" s="140"/>
      <c r="D203" s="140"/>
      <c r="E203" s="140"/>
      <c r="F203" s="140"/>
      <c r="G203" s="140"/>
    </row>
    <row r="204" ht="22.5" customHeight="1">
      <c r="A204" s="140"/>
      <c r="B204" s="140"/>
      <c r="C204" s="140"/>
      <c r="D204" s="140"/>
      <c r="E204" s="140"/>
      <c r="F204" s="140"/>
      <c r="G204" s="140"/>
    </row>
    <row r="205" ht="22.5" customHeight="1">
      <c r="A205" s="140"/>
      <c r="B205" s="140"/>
      <c r="C205" s="140"/>
      <c r="D205" s="140"/>
      <c r="E205" s="140"/>
      <c r="F205" s="140"/>
      <c r="G205" s="140"/>
    </row>
    <row r="206" ht="22.5" customHeight="1">
      <c r="A206" s="140"/>
      <c r="B206" s="140"/>
      <c r="C206" s="140"/>
      <c r="D206" s="140"/>
      <c r="E206" s="140"/>
      <c r="F206" s="140"/>
      <c r="G206" s="140"/>
    </row>
    <row r="207" ht="22.5" customHeight="1">
      <c r="A207" s="140"/>
      <c r="B207" s="140"/>
      <c r="C207" s="140"/>
      <c r="D207" s="140"/>
      <c r="E207" s="140"/>
      <c r="F207" s="140"/>
      <c r="G207" s="140"/>
    </row>
    <row r="208" ht="22.5" customHeight="1">
      <c r="A208" s="140"/>
      <c r="B208" s="140"/>
      <c r="C208" s="140"/>
      <c r="D208" s="140"/>
      <c r="E208" s="140"/>
      <c r="F208" s="140"/>
      <c r="G208" s="140"/>
    </row>
    <row r="209" ht="22.5" customHeight="1">
      <c r="A209" s="140"/>
      <c r="B209" s="140"/>
      <c r="C209" s="140"/>
      <c r="D209" s="140"/>
      <c r="E209" s="140"/>
      <c r="F209" s="140"/>
      <c r="G209" s="140"/>
    </row>
    <row r="210" ht="22.5" customHeight="1">
      <c r="A210" s="140"/>
      <c r="B210" s="140"/>
      <c r="C210" s="140"/>
      <c r="D210" s="140"/>
      <c r="E210" s="140"/>
      <c r="F210" s="140"/>
      <c r="G210" s="140"/>
    </row>
    <row r="211" ht="22.5" customHeight="1">
      <c r="A211" s="140"/>
      <c r="B211" s="140"/>
      <c r="C211" s="140"/>
      <c r="D211" s="140"/>
      <c r="E211" s="140"/>
      <c r="F211" s="140"/>
      <c r="G211" s="140"/>
    </row>
    <row r="212" ht="22.5" customHeight="1">
      <c r="A212" s="140"/>
      <c r="B212" s="140"/>
      <c r="C212" s="140"/>
      <c r="D212" s="140"/>
      <c r="E212" s="140"/>
      <c r="F212" s="140"/>
      <c r="G212" s="140"/>
    </row>
    <row r="213" ht="22.5" customHeight="1">
      <c r="A213" s="140"/>
      <c r="B213" s="140"/>
      <c r="C213" s="140"/>
      <c r="D213" s="140"/>
      <c r="E213" s="140"/>
      <c r="F213" s="140"/>
      <c r="G213" s="140"/>
    </row>
    <row r="214" ht="22.5" customHeight="1">
      <c r="A214" s="140"/>
      <c r="B214" s="140"/>
      <c r="C214" s="140"/>
      <c r="D214" s="140"/>
      <c r="E214" s="140"/>
      <c r="F214" s="140"/>
      <c r="G214" s="140"/>
    </row>
    <row r="215" ht="22.5" customHeight="1">
      <c r="A215" s="140"/>
      <c r="B215" s="140"/>
      <c r="C215" s="140"/>
      <c r="D215" s="140"/>
      <c r="E215" s="140"/>
      <c r="F215" s="140"/>
      <c r="G215" s="140"/>
    </row>
    <row r="216" ht="22.5" customHeight="1">
      <c r="A216" s="140"/>
      <c r="B216" s="140"/>
      <c r="C216" s="140"/>
      <c r="D216" s="140"/>
      <c r="E216" s="140"/>
      <c r="F216" s="140"/>
      <c r="G216" s="140"/>
    </row>
    <row r="217" ht="22.5" customHeight="1">
      <c r="A217" s="140"/>
      <c r="B217" s="140"/>
      <c r="C217" s="140"/>
      <c r="D217" s="140"/>
      <c r="E217" s="140"/>
      <c r="F217" s="140"/>
      <c r="G217" s="140"/>
    </row>
    <row r="218" ht="22.5" customHeight="1">
      <c r="A218" s="140"/>
      <c r="B218" s="140"/>
      <c r="C218" s="140"/>
      <c r="D218" s="140"/>
      <c r="E218" s="140"/>
      <c r="F218" s="140"/>
      <c r="G218" s="140"/>
    </row>
    <row r="219" ht="22.5" customHeight="1">
      <c r="A219" s="140"/>
      <c r="B219" s="140"/>
      <c r="C219" s="140"/>
      <c r="D219" s="140"/>
      <c r="E219" s="140"/>
      <c r="F219" s="140"/>
      <c r="G219" s="140"/>
    </row>
    <row r="220" ht="22.5" customHeight="1">
      <c r="A220" s="140"/>
      <c r="B220" s="140"/>
      <c r="C220" s="140"/>
      <c r="D220" s="140"/>
      <c r="E220" s="140"/>
      <c r="F220" s="140"/>
      <c r="G220" s="140"/>
    </row>
    <row r="221" ht="22.5" customHeight="1">
      <c r="A221" s="140"/>
      <c r="B221" s="140"/>
      <c r="C221" s="140"/>
      <c r="D221" s="140"/>
      <c r="E221" s="140"/>
      <c r="F221" s="140"/>
      <c r="G221" s="140"/>
    </row>
    <row r="222" ht="22.5" customHeight="1">
      <c r="A222" s="140"/>
      <c r="B222" s="140"/>
      <c r="C222" s="140"/>
      <c r="D222" s="140"/>
      <c r="E222" s="140"/>
      <c r="F222" s="140"/>
      <c r="G222" s="140"/>
    </row>
    <row r="223" ht="22.5" customHeight="1">
      <c r="A223" s="140"/>
      <c r="B223" s="140"/>
      <c r="C223" s="140"/>
      <c r="D223" s="140"/>
      <c r="E223" s="140"/>
      <c r="F223" s="140"/>
      <c r="G223" s="140"/>
    </row>
    <row r="224" ht="22.5" customHeight="1">
      <c r="A224" s="140"/>
      <c r="B224" s="140"/>
      <c r="C224" s="140"/>
      <c r="D224" s="140"/>
      <c r="E224" s="140"/>
      <c r="F224" s="140"/>
      <c r="G224" s="140"/>
    </row>
    <row r="225" ht="22.5" customHeight="1">
      <c r="A225" s="140"/>
      <c r="B225" s="140"/>
      <c r="C225" s="140"/>
      <c r="D225" s="140"/>
      <c r="E225" s="140"/>
      <c r="F225" s="140"/>
      <c r="G225" s="140"/>
    </row>
    <row r="226" ht="22.5" customHeight="1">
      <c r="A226" s="140"/>
      <c r="B226" s="140"/>
      <c r="C226" s="140"/>
      <c r="D226" s="140"/>
      <c r="E226" s="140"/>
      <c r="F226" s="140"/>
      <c r="G226" s="140"/>
    </row>
    <row r="227" ht="22.5" customHeight="1">
      <c r="A227" s="140"/>
      <c r="B227" s="140"/>
      <c r="C227" s="140"/>
      <c r="D227" s="140"/>
      <c r="E227" s="140"/>
      <c r="F227" s="140"/>
      <c r="G227" s="140"/>
    </row>
    <row r="228" ht="22.5" customHeight="1">
      <c r="A228" s="140"/>
      <c r="B228" s="140"/>
      <c r="C228" s="140"/>
      <c r="D228" s="140"/>
      <c r="E228" s="140"/>
      <c r="F228" s="140"/>
      <c r="G228" s="140"/>
    </row>
    <row r="229" ht="22.5" customHeight="1">
      <c r="A229" s="140"/>
      <c r="B229" s="140"/>
      <c r="C229" s="140"/>
      <c r="D229" s="140"/>
      <c r="E229" s="140"/>
      <c r="F229" s="140"/>
      <c r="G229" s="140"/>
    </row>
    <row r="230" ht="22.5" customHeight="1">
      <c r="A230" s="140"/>
      <c r="B230" s="140"/>
      <c r="C230" s="140"/>
      <c r="D230" s="140"/>
      <c r="E230" s="140"/>
      <c r="F230" s="140"/>
      <c r="G230" s="140"/>
    </row>
    <row r="231" ht="22.5" customHeight="1">
      <c r="A231" s="140"/>
      <c r="B231" s="140"/>
      <c r="C231" s="140"/>
      <c r="D231" s="140"/>
      <c r="E231" s="140"/>
      <c r="F231" s="140"/>
      <c r="G231" s="140"/>
    </row>
    <row r="232" ht="22.5" customHeight="1">
      <c r="A232" s="140"/>
      <c r="B232" s="140"/>
      <c r="C232" s="140"/>
      <c r="D232" s="140"/>
      <c r="E232" s="140"/>
      <c r="F232" s="140"/>
      <c r="G232" s="140"/>
    </row>
    <row r="233" ht="22.5" customHeight="1">
      <c r="A233" s="140"/>
      <c r="B233" s="140"/>
      <c r="C233" s="140"/>
      <c r="D233" s="140"/>
      <c r="E233" s="140"/>
      <c r="F233" s="140"/>
      <c r="G233" s="140"/>
    </row>
    <row r="234" ht="22.5" customHeight="1">
      <c r="A234" s="140"/>
      <c r="B234" s="140"/>
      <c r="C234" s="140"/>
      <c r="D234" s="140"/>
      <c r="E234" s="140"/>
      <c r="F234" s="140"/>
      <c r="G234" s="140"/>
    </row>
    <row r="235" ht="22.5" customHeight="1">
      <c r="A235" s="140"/>
      <c r="B235" s="140"/>
      <c r="C235" s="140"/>
      <c r="D235" s="140"/>
      <c r="E235" s="140"/>
      <c r="F235" s="140"/>
      <c r="G235" s="140"/>
    </row>
    <row r="236" ht="22.5" customHeight="1">
      <c r="A236" s="140"/>
      <c r="B236" s="140"/>
      <c r="C236" s="140"/>
      <c r="D236" s="140"/>
      <c r="E236" s="140"/>
      <c r="F236" s="140"/>
      <c r="G236" s="140"/>
    </row>
    <row r="237" ht="22.5" customHeight="1">
      <c r="A237" s="140"/>
      <c r="B237" s="140"/>
      <c r="C237" s="140"/>
      <c r="D237" s="140"/>
      <c r="E237" s="140"/>
      <c r="F237" s="140"/>
      <c r="G237" s="140"/>
    </row>
    <row r="238" ht="22.5" customHeight="1">
      <c r="A238" s="140"/>
      <c r="B238" s="140"/>
      <c r="C238" s="140"/>
      <c r="D238" s="140"/>
      <c r="E238" s="140"/>
      <c r="F238" s="140"/>
      <c r="G238" s="140"/>
    </row>
    <row r="239" ht="22.5" customHeight="1">
      <c r="A239" s="140"/>
      <c r="B239" s="140"/>
      <c r="C239" s="140"/>
      <c r="D239" s="140"/>
      <c r="E239" s="140"/>
      <c r="F239" s="140"/>
      <c r="G239" s="140"/>
    </row>
    <row r="240" ht="22.5" customHeight="1">
      <c r="A240" s="140"/>
      <c r="B240" s="140"/>
      <c r="C240" s="140"/>
      <c r="D240" s="140"/>
      <c r="E240" s="140"/>
      <c r="F240" s="140"/>
      <c r="G240" s="140"/>
    </row>
    <row r="241" ht="22.5" customHeight="1">
      <c r="A241" s="140"/>
      <c r="B241" s="140"/>
      <c r="C241" s="140"/>
      <c r="D241" s="140"/>
      <c r="E241" s="140"/>
      <c r="F241" s="140"/>
      <c r="G241" s="140"/>
    </row>
    <row r="242" ht="22.5" customHeight="1">
      <c r="A242" s="140"/>
      <c r="B242" s="140"/>
      <c r="C242" s="140"/>
      <c r="D242" s="140"/>
      <c r="E242" s="140"/>
      <c r="F242" s="140"/>
      <c r="G242" s="140"/>
    </row>
    <row r="243" ht="22.5" customHeight="1">
      <c r="A243" s="140"/>
      <c r="B243" s="140"/>
      <c r="C243" s="140"/>
      <c r="D243" s="140"/>
      <c r="E243" s="140"/>
      <c r="F243" s="140"/>
      <c r="G243" s="140"/>
    </row>
    <row r="244" ht="22.5" customHeight="1">
      <c r="A244" s="140"/>
      <c r="B244" s="140"/>
      <c r="C244" s="140"/>
      <c r="D244" s="140"/>
      <c r="E244" s="140"/>
      <c r="F244" s="140"/>
      <c r="G244" s="140"/>
    </row>
    <row r="245" ht="22.5" customHeight="1">
      <c r="A245" s="140"/>
      <c r="B245" s="140"/>
      <c r="C245" s="140"/>
      <c r="D245" s="140"/>
      <c r="E245" s="140"/>
      <c r="F245" s="140"/>
      <c r="G245" s="140"/>
    </row>
    <row r="246" ht="22.5" customHeight="1">
      <c r="A246" s="140"/>
      <c r="B246" s="140"/>
      <c r="C246" s="140"/>
      <c r="D246" s="140"/>
      <c r="E246" s="140"/>
      <c r="F246" s="140"/>
      <c r="G246" s="140"/>
    </row>
    <row r="247" ht="22.5" customHeight="1">
      <c r="A247" s="140"/>
      <c r="B247" s="140"/>
      <c r="C247" s="140"/>
      <c r="D247" s="140"/>
      <c r="E247" s="140"/>
      <c r="F247" s="140"/>
      <c r="G247" s="140"/>
    </row>
    <row r="248" ht="22.5" customHeight="1">
      <c r="A248" s="140"/>
      <c r="B248" s="140"/>
      <c r="C248" s="140"/>
      <c r="D248" s="140"/>
      <c r="E248" s="140"/>
      <c r="F248" s="140"/>
      <c r="G248" s="140"/>
    </row>
    <row r="249" ht="22.5" customHeight="1">
      <c r="A249" s="140"/>
      <c r="B249" s="140"/>
      <c r="C249" s="140"/>
      <c r="D249" s="140"/>
      <c r="E249" s="140"/>
      <c r="F249" s="140"/>
      <c r="G249" s="140"/>
    </row>
    <row r="250" ht="22.5" customHeight="1">
      <c r="A250" s="140"/>
      <c r="B250" s="140"/>
      <c r="C250" s="140"/>
      <c r="D250" s="140"/>
      <c r="E250" s="140"/>
      <c r="F250" s="140"/>
      <c r="G250" s="140"/>
    </row>
    <row r="251" ht="22.5" customHeight="1">
      <c r="A251" s="140"/>
      <c r="B251" s="140"/>
      <c r="C251" s="140"/>
      <c r="D251" s="140"/>
      <c r="E251" s="140"/>
      <c r="F251" s="140"/>
      <c r="G251" s="140"/>
    </row>
    <row r="252" ht="22.5" customHeight="1">
      <c r="A252" s="140"/>
      <c r="B252" s="140"/>
      <c r="C252" s="140"/>
      <c r="D252" s="140"/>
      <c r="E252" s="140"/>
      <c r="F252" s="140"/>
      <c r="G252" s="140"/>
    </row>
    <row r="253" ht="22.5" customHeight="1">
      <c r="A253" s="140"/>
      <c r="B253" s="140"/>
      <c r="C253" s="140"/>
      <c r="D253" s="140"/>
      <c r="E253" s="140"/>
      <c r="F253" s="140"/>
      <c r="G253" s="140"/>
    </row>
    <row r="254" ht="22.5" customHeight="1">
      <c r="A254" s="140"/>
      <c r="B254" s="140"/>
      <c r="C254" s="140"/>
      <c r="D254" s="140"/>
      <c r="E254" s="140"/>
      <c r="F254" s="140"/>
      <c r="G254" s="140"/>
    </row>
    <row r="255" ht="22.5" customHeight="1">
      <c r="A255" s="140"/>
      <c r="B255" s="140"/>
      <c r="C255" s="140"/>
      <c r="D255" s="140"/>
      <c r="E255" s="140"/>
      <c r="F255" s="140"/>
      <c r="G255" s="140"/>
    </row>
    <row r="256" ht="22.5" customHeight="1">
      <c r="A256" s="140"/>
      <c r="B256" s="140"/>
      <c r="C256" s="140"/>
      <c r="D256" s="140"/>
      <c r="E256" s="140"/>
      <c r="F256" s="140"/>
      <c r="G256" s="140"/>
    </row>
    <row r="257" ht="22.5" customHeight="1">
      <c r="A257" s="140"/>
      <c r="B257" s="140"/>
      <c r="C257" s="140"/>
      <c r="D257" s="140"/>
      <c r="E257" s="140"/>
      <c r="F257" s="140"/>
      <c r="G257" s="140"/>
    </row>
    <row r="258" ht="22.5" customHeight="1">
      <c r="A258" s="140"/>
      <c r="B258" s="140"/>
      <c r="C258" s="140"/>
      <c r="D258" s="140"/>
      <c r="E258" s="140"/>
      <c r="F258" s="140"/>
      <c r="G258" s="140"/>
    </row>
    <row r="259" ht="22.5" customHeight="1">
      <c r="A259" s="140"/>
      <c r="B259" s="140"/>
      <c r="C259" s="140"/>
      <c r="D259" s="140"/>
      <c r="E259" s="140"/>
      <c r="F259" s="140"/>
      <c r="G259" s="140"/>
    </row>
    <row r="260" ht="22.5" customHeight="1">
      <c r="A260" s="140"/>
      <c r="B260" s="140"/>
      <c r="C260" s="140"/>
      <c r="D260" s="140"/>
      <c r="E260" s="140"/>
      <c r="F260" s="140"/>
      <c r="G260" s="140"/>
    </row>
    <row r="261" ht="22.5" customHeight="1">
      <c r="A261" s="140"/>
      <c r="B261" s="140"/>
      <c r="C261" s="140"/>
      <c r="D261" s="140"/>
      <c r="E261" s="140"/>
      <c r="F261" s="140"/>
      <c r="G261" s="140"/>
    </row>
    <row r="262" ht="22.5" customHeight="1">
      <c r="A262" s="140"/>
      <c r="B262" s="140"/>
      <c r="C262" s="140"/>
      <c r="D262" s="140"/>
      <c r="E262" s="140"/>
      <c r="F262" s="140"/>
      <c r="G262" s="140"/>
    </row>
    <row r="263" ht="22.5" customHeight="1">
      <c r="A263" s="151"/>
      <c r="B263" s="151"/>
      <c r="C263" s="140"/>
      <c r="D263" s="140"/>
      <c r="E263" s="140"/>
      <c r="F263" s="140"/>
      <c r="G263" s="140"/>
    </row>
    <row r="264" ht="22.5" customHeight="1">
      <c r="A264" s="140"/>
      <c r="B264" s="140"/>
      <c r="C264" s="140"/>
      <c r="D264" s="140"/>
      <c r="E264" s="140"/>
      <c r="F264" s="140"/>
      <c r="G264" s="140"/>
    </row>
    <row r="265" ht="22.5" customHeight="1">
      <c r="A265" s="140"/>
      <c r="B265" s="140"/>
      <c r="C265" s="140"/>
      <c r="D265" s="140"/>
      <c r="E265" s="140"/>
      <c r="F265" s="140"/>
      <c r="G265" s="140"/>
    </row>
    <row r="266" ht="22.5" customHeight="1">
      <c r="A266" s="140"/>
      <c r="B266" s="140"/>
      <c r="C266" s="140"/>
      <c r="D266" s="140"/>
      <c r="E266" s="140"/>
      <c r="F266" s="140"/>
      <c r="G266" s="140"/>
    </row>
    <row r="267" ht="22.5" customHeight="1">
      <c r="A267" s="140"/>
      <c r="B267" s="140"/>
      <c r="C267" s="140"/>
      <c r="D267" s="140"/>
      <c r="E267" s="140"/>
      <c r="F267" s="140"/>
      <c r="G267" s="140"/>
    </row>
    <row r="268" ht="22.5" customHeight="1">
      <c r="A268" s="140"/>
      <c r="B268" s="140"/>
      <c r="C268" s="140"/>
      <c r="D268" s="140"/>
      <c r="E268" s="140"/>
      <c r="F268" s="140"/>
      <c r="G268" s="140"/>
    </row>
    <row r="269" ht="22.5" customHeight="1">
      <c r="A269" s="140"/>
      <c r="B269" s="140"/>
      <c r="C269" s="140"/>
      <c r="D269" s="140"/>
      <c r="E269" s="140"/>
      <c r="F269" s="140"/>
      <c r="G269" s="140"/>
    </row>
    <row r="270" ht="22.5" customHeight="1">
      <c r="A270" s="140"/>
      <c r="B270" s="140"/>
      <c r="C270" s="140"/>
      <c r="D270" s="140"/>
      <c r="E270" s="140"/>
      <c r="F270" s="140"/>
      <c r="G270" s="140"/>
    </row>
    <row r="271" ht="22.5" customHeight="1">
      <c r="A271" s="140"/>
      <c r="B271" s="140"/>
      <c r="C271" s="140"/>
      <c r="D271" s="140"/>
      <c r="E271" s="140"/>
      <c r="F271" s="140"/>
      <c r="G271" s="140"/>
    </row>
    <row r="272" ht="22.5" customHeight="1">
      <c r="A272" s="140"/>
      <c r="B272" s="140"/>
      <c r="C272" s="140"/>
      <c r="D272" s="140"/>
      <c r="E272" s="140"/>
      <c r="F272" s="140"/>
      <c r="G272" s="140"/>
    </row>
    <row r="273" ht="22.5" customHeight="1">
      <c r="A273" s="140"/>
      <c r="B273" s="140"/>
      <c r="C273" s="140"/>
      <c r="D273" s="140"/>
      <c r="E273" s="140"/>
      <c r="F273" s="140"/>
      <c r="G273" s="140"/>
    </row>
    <row r="274" ht="22.5" customHeight="1">
      <c r="A274" s="140"/>
      <c r="B274" s="140"/>
      <c r="C274" s="140"/>
      <c r="D274" s="140"/>
      <c r="E274" s="140"/>
      <c r="F274" s="140"/>
      <c r="G274" s="140"/>
    </row>
    <row r="275" ht="22.5" customHeight="1">
      <c r="A275" s="140"/>
      <c r="B275" s="140"/>
      <c r="C275" s="140"/>
      <c r="D275" s="140"/>
      <c r="E275" s="140"/>
      <c r="F275" s="140"/>
      <c r="G275" s="140"/>
    </row>
    <row r="276" ht="22.5" customHeight="1">
      <c r="A276" s="140"/>
      <c r="B276" s="140"/>
      <c r="C276" s="140"/>
      <c r="D276" s="140"/>
      <c r="E276" s="140"/>
      <c r="F276" s="140"/>
      <c r="G276" s="140"/>
    </row>
    <row r="277" ht="22.5" customHeight="1">
      <c r="A277" s="140"/>
      <c r="B277" s="140"/>
      <c r="C277" s="140"/>
      <c r="D277" s="140"/>
      <c r="E277" s="140"/>
      <c r="F277" s="140"/>
      <c r="G277" s="140"/>
    </row>
    <row r="278" ht="22.5" customHeight="1">
      <c r="A278" s="140"/>
      <c r="B278" s="140"/>
      <c r="C278" s="140"/>
      <c r="D278" s="140"/>
      <c r="E278" s="140"/>
      <c r="F278" s="140"/>
      <c r="G278" s="140"/>
    </row>
    <row r="279" ht="22.5" customHeight="1">
      <c r="A279" s="140"/>
      <c r="B279" s="140"/>
      <c r="C279" s="140"/>
      <c r="D279" s="140"/>
      <c r="E279" s="140"/>
      <c r="F279" s="140"/>
      <c r="G279" s="140"/>
    </row>
    <row r="280" ht="22.5" customHeight="1">
      <c r="A280" s="140"/>
      <c r="B280" s="140"/>
      <c r="C280" s="140"/>
      <c r="D280" s="140"/>
      <c r="E280" s="140"/>
      <c r="F280" s="140"/>
      <c r="G280" s="140"/>
    </row>
    <row r="281" ht="22.5" customHeight="1">
      <c r="A281" s="140"/>
      <c r="B281" s="140"/>
      <c r="C281" s="140"/>
      <c r="D281" s="140"/>
      <c r="E281" s="140"/>
      <c r="F281" s="140"/>
      <c r="G281" s="140"/>
    </row>
    <row r="282" ht="22.5" customHeight="1">
      <c r="A282" s="140"/>
      <c r="B282" s="140"/>
      <c r="C282" s="140"/>
      <c r="D282" s="140"/>
      <c r="E282" s="140"/>
      <c r="F282" s="140"/>
      <c r="G282" s="140"/>
    </row>
    <row r="283" ht="22.5" customHeight="1">
      <c r="A283" s="140"/>
      <c r="B283" s="140"/>
      <c r="C283" s="140"/>
      <c r="D283" s="140"/>
      <c r="E283" s="140"/>
      <c r="F283" s="140"/>
      <c r="G283" s="140"/>
    </row>
    <row r="284" ht="22.5" customHeight="1">
      <c r="A284" s="140"/>
      <c r="B284" s="140"/>
      <c r="C284" s="140"/>
      <c r="D284" s="140"/>
      <c r="E284" s="140"/>
      <c r="F284" s="140"/>
      <c r="G284" s="140"/>
    </row>
    <row r="285" ht="22.5" customHeight="1">
      <c r="A285" s="140"/>
      <c r="B285" s="140"/>
      <c r="C285" s="140"/>
      <c r="D285" s="140"/>
      <c r="E285" s="140"/>
      <c r="F285" s="140"/>
      <c r="G285" s="140"/>
    </row>
    <row r="286" ht="22.5" customHeight="1">
      <c r="A286" s="140"/>
      <c r="B286" s="140"/>
      <c r="C286" s="140"/>
      <c r="D286" s="140"/>
      <c r="E286" s="140"/>
      <c r="F286" s="140"/>
      <c r="G286" s="140"/>
    </row>
    <row r="287" ht="22.5" customHeight="1">
      <c r="A287" s="140"/>
      <c r="B287" s="140"/>
      <c r="C287" s="140"/>
      <c r="D287" s="140"/>
      <c r="E287" s="140"/>
      <c r="F287" s="140"/>
      <c r="G287" s="140"/>
    </row>
    <row r="288" ht="22.5" customHeight="1">
      <c r="A288" s="140"/>
      <c r="B288" s="140"/>
      <c r="C288" s="140"/>
      <c r="D288" s="140"/>
      <c r="E288" s="140"/>
      <c r="F288" s="140"/>
      <c r="G288" s="140"/>
    </row>
    <row r="289" ht="22.5" customHeight="1">
      <c r="A289" s="140"/>
      <c r="B289" s="140"/>
      <c r="C289" s="140"/>
      <c r="D289" s="140"/>
      <c r="E289" s="140"/>
      <c r="F289" s="140"/>
      <c r="G289" s="140"/>
    </row>
    <row r="290" ht="22.5" customHeight="1">
      <c r="A290" s="140"/>
      <c r="B290" s="140"/>
      <c r="C290" s="140"/>
      <c r="D290" s="140"/>
      <c r="E290" s="140"/>
      <c r="F290" s="140"/>
      <c r="G290" s="140"/>
    </row>
    <row r="291" ht="22.5" customHeight="1">
      <c r="A291" s="140"/>
      <c r="B291" s="140"/>
      <c r="C291" s="140"/>
      <c r="D291" s="140"/>
      <c r="E291" s="140"/>
      <c r="F291" s="140"/>
      <c r="G291" s="140"/>
    </row>
    <row r="292" ht="22.5" customHeight="1">
      <c r="A292" s="140"/>
      <c r="B292" s="140"/>
      <c r="C292" s="140"/>
      <c r="D292" s="140"/>
      <c r="E292" s="140"/>
      <c r="F292" s="140"/>
      <c r="G292" s="140"/>
    </row>
    <row r="293" ht="22.5" customHeight="1">
      <c r="A293" s="140"/>
      <c r="B293" s="140"/>
      <c r="C293" s="140"/>
      <c r="D293" s="140"/>
      <c r="E293" s="140"/>
      <c r="F293" s="140"/>
      <c r="G293" s="140"/>
    </row>
    <row r="294" ht="22.5" customHeight="1">
      <c r="A294" s="140"/>
      <c r="B294" s="140"/>
      <c r="C294" s="140"/>
      <c r="D294" s="140"/>
      <c r="E294" s="140"/>
      <c r="F294" s="140"/>
      <c r="G294" s="140"/>
    </row>
    <row r="295" ht="22.5" customHeight="1">
      <c r="A295" s="140"/>
      <c r="B295" s="140"/>
      <c r="C295" s="140"/>
      <c r="D295" s="140"/>
      <c r="E295" s="140"/>
      <c r="F295" s="140"/>
      <c r="G295" s="140"/>
    </row>
    <row r="296" ht="22.5" customHeight="1">
      <c r="A296" s="140"/>
      <c r="B296" s="140"/>
      <c r="C296" s="140"/>
      <c r="D296" s="140"/>
      <c r="E296" s="140"/>
      <c r="F296" s="140"/>
      <c r="G296" s="140"/>
    </row>
    <row r="297" ht="22.5" customHeight="1">
      <c r="A297" s="140"/>
      <c r="B297" s="140"/>
      <c r="C297" s="140"/>
      <c r="D297" s="140"/>
      <c r="E297" s="140"/>
      <c r="F297" s="140"/>
      <c r="G297" s="140"/>
    </row>
    <row r="298" ht="22.5" customHeight="1">
      <c r="A298" s="140"/>
      <c r="B298" s="140"/>
      <c r="C298" s="140"/>
      <c r="D298" s="140"/>
      <c r="E298" s="140"/>
      <c r="F298" s="140"/>
      <c r="G298" s="140"/>
    </row>
    <row r="299" ht="22.5" customHeight="1">
      <c r="A299" s="140"/>
      <c r="B299" s="140"/>
      <c r="C299" s="140"/>
      <c r="D299" s="140"/>
      <c r="E299" s="140"/>
      <c r="F299" s="140"/>
      <c r="G299" s="140"/>
    </row>
    <row r="300" ht="22.5" customHeight="1">
      <c r="A300" s="140"/>
      <c r="B300" s="140"/>
      <c r="C300" s="140"/>
      <c r="D300" s="140"/>
      <c r="E300" s="140"/>
      <c r="F300" s="140"/>
      <c r="G300" s="140"/>
    </row>
    <row r="301" ht="22.5" customHeight="1">
      <c r="A301" s="140"/>
      <c r="B301" s="140"/>
      <c r="C301" s="140"/>
      <c r="D301" s="140"/>
      <c r="E301" s="140"/>
      <c r="F301" s="140"/>
      <c r="G301" s="140"/>
    </row>
    <row r="302" ht="22.5" customHeight="1">
      <c r="A302" s="140"/>
      <c r="B302" s="140"/>
      <c r="C302" s="140"/>
      <c r="D302" s="140"/>
      <c r="E302" s="140"/>
      <c r="F302" s="140"/>
      <c r="G302" s="140"/>
    </row>
    <row r="303" ht="22.5" customHeight="1">
      <c r="A303" s="140"/>
      <c r="B303" s="140"/>
      <c r="C303" s="140"/>
      <c r="D303" s="140"/>
      <c r="E303" s="140"/>
      <c r="F303" s="140"/>
      <c r="G303" s="140"/>
    </row>
    <row r="304" ht="22.5" customHeight="1">
      <c r="A304" s="140"/>
      <c r="B304" s="140"/>
      <c r="C304" s="140"/>
      <c r="D304" s="140"/>
      <c r="E304" s="140"/>
      <c r="F304" s="140"/>
      <c r="G304" s="140"/>
    </row>
    <row r="305" ht="22.5" customHeight="1">
      <c r="A305" s="140"/>
      <c r="B305" s="140"/>
      <c r="C305" s="140"/>
      <c r="D305" s="140"/>
      <c r="E305" s="140"/>
      <c r="F305" s="140"/>
      <c r="G305" s="140"/>
    </row>
    <row r="306" ht="22.5" customHeight="1">
      <c r="A306" s="140"/>
      <c r="B306" s="140"/>
      <c r="C306" s="140"/>
      <c r="D306" s="140"/>
      <c r="E306" s="140"/>
      <c r="F306" s="140"/>
      <c r="G306" s="140"/>
    </row>
    <row r="307" ht="22.5" customHeight="1">
      <c r="A307" s="140"/>
      <c r="B307" s="140"/>
      <c r="C307" s="140"/>
      <c r="D307" s="140"/>
      <c r="E307" s="140"/>
      <c r="F307" s="140"/>
      <c r="G307" s="140"/>
    </row>
    <row r="308" ht="22.5" customHeight="1">
      <c r="A308" s="140"/>
      <c r="B308" s="140"/>
      <c r="C308" s="140"/>
      <c r="D308" s="140"/>
      <c r="E308" s="140"/>
      <c r="F308" s="140"/>
      <c r="G308" s="140"/>
    </row>
    <row r="309" ht="22.5" customHeight="1">
      <c r="A309" s="140"/>
      <c r="B309" s="140"/>
      <c r="C309" s="140"/>
      <c r="D309" s="140"/>
      <c r="E309" s="140"/>
      <c r="F309" s="140"/>
      <c r="G309" s="140"/>
    </row>
    <row r="310" ht="22.5" customHeight="1">
      <c r="A310" s="140"/>
      <c r="B310" s="140"/>
      <c r="C310" s="140"/>
      <c r="D310" s="140"/>
      <c r="E310" s="140"/>
      <c r="F310" s="140"/>
      <c r="G310" s="140"/>
    </row>
    <row r="311" ht="22.5" customHeight="1">
      <c r="A311" s="140"/>
      <c r="B311" s="140"/>
      <c r="C311" s="140"/>
      <c r="D311" s="140"/>
      <c r="E311" s="140"/>
      <c r="F311" s="140"/>
      <c r="G311" s="140"/>
    </row>
    <row r="312" ht="22.5" customHeight="1">
      <c r="A312" s="140"/>
      <c r="B312" s="140"/>
      <c r="C312" s="140"/>
      <c r="D312" s="140"/>
      <c r="E312" s="140"/>
      <c r="F312" s="140"/>
      <c r="G312" s="140"/>
    </row>
    <row r="313" ht="22.5" customHeight="1">
      <c r="A313" s="140"/>
      <c r="B313" s="140"/>
      <c r="C313" s="140"/>
      <c r="D313" s="140"/>
      <c r="E313" s="140"/>
      <c r="F313" s="140"/>
      <c r="G313" s="140"/>
    </row>
    <row r="314" ht="22.5" customHeight="1">
      <c r="A314" s="140"/>
      <c r="B314" s="140"/>
      <c r="C314" s="140"/>
      <c r="D314" s="140"/>
      <c r="E314" s="140"/>
      <c r="F314" s="140"/>
      <c r="G314" s="140"/>
    </row>
    <row r="315" ht="22.5" customHeight="1">
      <c r="A315" s="140"/>
      <c r="B315" s="140"/>
      <c r="C315" s="140"/>
      <c r="D315" s="140"/>
      <c r="E315" s="140"/>
      <c r="F315" s="140"/>
      <c r="G315" s="140"/>
    </row>
    <row r="316" ht="22.5" customHeight="1">
      <c r="A316" s="140"/>
      <c r="B316" s="140"/>
      <c r="C316" s="140"/>
      <c r="D316" s="140"/>
      <c r="E316" s="140"/>
      <c r="F316" s="140"/>
      <c r="G316" s="140"/>
    </row>
    <row r="317" ht="22.5" customHeight="1">
      <c r="A317" s="140"/>
      <c r="B317" s="140"/>
      <c r="C317" s="140"/>
      <c r="D317" s="140"/>
      <c r="E317" s="140"/>
      <c r="F317" s="140"/>
      <c r="G317" s="140"/>
    </row>
    <row r="318" ht="22.5" customHeight="1">
      <c r="A318" s="140"/>
      <c r="B318" s="140"/>
      <c r="C318" s="140"/>
      <c r="D318" s="140"/>
      <c r="E318" s="140"/>
      <c r="F318" s="140"/>
      <c r="G318" s="140"/>
    </row>
    <row r="319" ht="22.5" customHeight="1">
      <c r="A319" s="140"/>
      <c r="B319" s="140"/>
      <c r="C319" s="140"/>
      <c r="D319" s="140"/>
      <c r="E319" s="140"/>
      <c r="F319" s="140"/>
      <c r="G319" s="140"/>
    </row>
    <row r="320" ht="22.5" customHeight="1">
      <c r="A320" s="140"/>
      <c r="B320" s="140"/>
      <c r="C320" s="140"/>
      <c r="D320" s="140"/>
      <c r="E320" s="140"/>
      <c r="F320" s="140"/>
      <c r="G320" s="140"/>
    </row>
    <row r="321" ht="22.5" customHeight="1">
      <c r="A321" s="140"/>
      <c r="B321" s="140"/>
      <c r="C321" s="140"/>
      <c r="D321" s="140"/>
      <c r="E321" s="140"/>
      <c r="F321" s="140"/>
      <c r="G321" s="140"/>
    </row>
    <row r="322" ht="22.5" customHeight="1">
      <c r="A322" s="140"/>
      <c r="B322" s="140"/>
      <c r="C322" s="140"/>
      <c r="D322" s="140"/>
      <c r="E322" s="140"/>
      <c r="F322" s="140"/>
      <c r="G322" s="140"/>
    </row>
    <row r="323" ht="22.5" customHeight="1">
      <c r="A323" s="140"/>
      <c r="B323" s="140"/>
      <c r="C323" s="140"/>
      <c r="D323" s="140"/>
      <c r="E323" s="140"/>
      <c r="F323" s="140"/>
      <c r="G323" s="140"/>
    </row>
    <row r="324" ht="22.5" customHeight="1">
      <c r="A324" s="140"/>
      <c r="B324" s="140"/>
      <c r="C324" s="140"/>
      <c r="D324" s="140"/>
      <c r="E324" s="140"/>
      <c r="F324" s="140"/>
      <c r="G324" s="140"/>
    </row>
    <row r="325" ht="22.5" customHeight="1">
      <c r="A325" s="140"/>
      <c r="B325" s="140"/>
      <c r="C325" s="140"/>
      <c r="D325" s="140"/>
      <c r="E325" s="140"/>
      <c r="F325" s="140"/>
      <c r="G325" s="140"/>
    </row>
    <row r="326" ht="22.5" customHeight="1">
      <c r="A326" s="140"/>
      <c r="B326" s="140"/>
      <c r="C326" s="140"/>
      <c r="D326" s="140"/>
      <c r="E326" s="140"/>
      <c r="F326" s="140"/>
      <c r="G326" s="140"/>
    </row>
    <row r="327" ht="22.5" customHeight="1">
      <c r="A327" s="140"/>
      <c r="B327" s="140"/>
      <c r="C327" s="140"/>
      <c r="D327" s="140"/>
      <c r="E327" s="140"/>
      <c r="F327" s="140"/>
      <c r="G327" s="140"/>
    </row>
    <row r="328" ht="22.5" customHeight="1">
      <c r="A328" s="140"/>
      <c r="B328" s="140"/>
      <c r="C328" s="140"/>
      <c r="D328" s="140"/>
      <c r="E328" s="140"/>
      <c r="F328" s="140"/>
      <c r="G328" s="140"/>
    </row>
    <row r="329" ht="22.5" customHeight="1">
      <c r="A329" s="140"/>
      <c r="B329" s="140"/>
      <c r="C329" s="140"/>
      <c r="D329" s="140"/>
      <c r="E329" s="140"/>
      <c r="F329" s="140"/>
      <c r="G329" s="140"/>
    </row>
    <row r="330" ht="22.5" customHeight="1">
      <c r="A330" s="140"/>
      <c r="B330" s="140"/>
      <c r="C330" s="140"/>
      <c r="D330" s="140"/>
      <c r="E330" s="140"/>
      <c r="F330" s="140"/>
      <c r="G330" s="140"/>
    </row>
    <row r="331" ht="22.5" customHeight="1">
      <c r="A331" s="140"/>
      <c r="B331" s="140"/>
      <c r="C331" s="140"/>
      <c r="D331" s="140"/>
      <c r="E331" s="140"/>
      <c r="F331" s="140"/>
      <c r="G331" s="140"/>
    </row>
    <row r="332" ht="22.5" customHeight="1">
      <c r="A332" s="140"/>
      <c r="B332" s="140"/>
      <c r="C332" s="140"/>
      <c r="D332" s="140"/>
      <c r="E332" s="140"/>
      <c r="F332" s="140"/>
      <c r="G332" s="140"/>
    </row>
    <row r="333" ht="22.5" customHeight="1">
      <c r="A333" s="140"/>
      <c r="B333" s="140"/>
      <c r="C333" s="140"/>
      <c r="D333" s="140"/>
      <c r="E333" s="140"/>
      <c r="F333" s="140"/>
      <c r="G333" s="140"/>
    </row>
    <row r="334" ht="22.5" customHeight="1">
      <c r="A334" s="140"/>
      <c r="B334" s="140"/>
      <c r="C334" s="140"/>
      <c r="D334" s="140"/>
      <c r="E334" s="140"/>
      <c r="F334" s="140"/>
      <c r="G334" s="140"/>
    </row>
    <row r="335" ht="22.5" customHeight="1">
      <c r="A335" s="140"/>
      <c r="B335" s="140"/>
      <c r="C335" s="140"/>
      <c r="D335" s="140"/>
      <c r="E335" s="140"/>
      <c r="F335" s="140"/>
      <c r="G335" s="140"/>
    </row>
    <row r="336" ht="22.5" customHeight="1">
      <c r="A336" s="140"/>
      <c r="B336" s="140"/>
      <c r="C336" s="140"/>
      <c r="D336" s="140"/>
      <c r="E336" s="140"/>
      <c r="F336" s="140"/>
      <c r="G336" s="140"/>
    </row>
    <row r="337" ht="22.5" customHeight="1">
      <c r="A337" s="140"/>
      <c r="B337" s="140"/>
      <c r="C337" s="140"/>
      <c r="D337" s="140"/>
      <c r="E337" s="140"/>
      <c r="F337" s="140"/>
      <c r="G337" s="140"/>
    </row>
    <row r="338" ht="22.5" customHeight="1">
      <c r="A338" s="140"/>
      <c r="B338" s="140"/>
      <c r="C338" s="140"/>
      <c r="D338" s="140"/>
      <c r="E338" s="140"/>
      <c r="F338" s="140"/>
      <c r="G338" s="140"/>
    </row>
    <row r="339" ht="22.5" customHeight="1">
      <c r="A339" s="140"/>
      <c r="B339" s="140"/>
      <c r="C339" s="140"/>
      <c r="D339" s="140"/>
      <c r="E339" s="140"/>
      <c r="F339" s="140"/>
      <c r="G339" s="140"/>
    </row>
    <row r="340" ht="22.5" customHeight="1">
      <c r="A340" s="140"/>
      <c r="B340" s="140"/>
      <c r="C340" s="140"/>
      <c r="D340" s="140"/>
      <c r="E340" s="140"/>
      <c r="F340" s="140"/>
      <c r="G340" s="140"/>
    </row>
    <row r="341" ht="22.5" customHeight="1">
      <c r="A341" s="140"/>
      <c r="B341" s="140"/>
      <c r="C341" s="140"/>
      <c r="D341" s="140"/>
      <c r="E341" s="140"/>
      <c r="F341" s="140"/>
      <c r="G341" s="140"/>
    </row>
    <row r="342" ht="22.5" customHeight="1">
      <c r="A342" s="140"/>
      <c r="B342" s="140"/>
      <c r="C342" s="140"/>
      <c r="D342" s="140"/>
      <c r="E342" s="140"/>
      <c r="F342" s="140"/>
      <c r="G342" s="140"/>
    </row>
    <row r="343" ht="22.5" customHeight="1">
      <c r="A343" s="140"/>
      <c r="B343" s="140"/>
      <c r="C343" s="140"/>
      <c r="D343" s="140"/>
      <c r="E343" s="140"/>
      <c r="F343" s="140"/>
      <c r="G343" s="140"/>
    </row>
    <row r="344" ht="22.5" customHeight="1">
      <c r="A344" s="140"/>
      <c r="B344" s="140"/>
      <c r="C344" s="140"/>
      <c r="D344" s="140"/>
      <c r="E344" s="140"/>
      <c r="F344" s="140"/>
      <c r="G344" s="140"/>
    </row>
    <row r="345" ht="22.5" customHeight="1">
      <c r="A345" s="140"/>
      <c r="B345" s="140"/>
      <c r="C345" s="140"/>
      <c r="D345" s="140"/>
      <c r="E345" s="140"/>
      <c r="F345" s="140"/>
      <c r="G345" s="140"/>
    </row>
    <row r="346" ht="22.5" customHeight="1">
      <c r="A346" s="140"/>
      <c r="B346" s="140"/>
      <c r="C346" s="140"/>
      <c r="D346" s="140"/>
      <c r="E346" s="140"/>
      <c r="F346" s="140"/>
      <c r="G346" s="140"/>
    </row>
    <row r="347" ht="22.5" customHeight="1">
      <c r="A347" s="140"/>
      <c r="B347" s="140"/>
      <c r="C347" s="140"/>
      <c r="D347" s="140"/>
      <c r="E347" s="140"/>
      <c r="F347" s="140"/>
      <c r="G347" s="140"/>
    </row>
    <row r="348" ht="22.5" customHeight="1">
      <c r="A348" s="140"/>
      <c r="B348" s="140"/>
      <c r="C348" s="140"/>
      <c r="D348" s="140"/>
      <c r="E348" s="140"/>
      <c r="F348" s="140"/>
      <c r="G348" s="140"/>
    </row>
    <row r="349" ht="22.5" customHeight="1">
      <c r="A349" s="140"/>
      <c r="B349" s="140"/>
      <c r="C349" s="140"/>
      <c r="D349" s="140"/>
      <c r="E349" s="140"/>
      <c r="F349" s="140"/>
      <c r="G349" s="140"/>
    </row>
    <row r="350" ht="22.5" customHeight="1">
      <c r="A350" s="140"/>
      <c r="B350" s="140"/>
      <c r="C350" s="140"/>
      <c r="D350" s="140"/>
      <c r="E350" s="140"/>
      <c r="F350" s="140"/>
      <c r="G350" s="140"/>
    </row>
    <row r="351" ht="22.5" customHeight="1">
      <c r="A351" s="140"/>
      <c r="B351" s="140"/>
      <c r="C351" s="140"/>
      <c r="D351" s="140"/>
      <c r="E351" s="140"/>
      <c r="F351" s="140"/>
      <c r="G351" s="140"/>
    </row>
    <row r="352" ht="22.5" customHeight="1">
      <c r="A352" s="140"/>
      <c r="B352" s="140"/>
      <c r="C352" s="140"/>
      <c r="D352" s="140"/>
      <c r="E352" s="140"/>
      <c r="F352" s="140"/>
      <c r="G352" s="140"/>
    </row>
    <row r="353" ht="22.5" customHeight="1">
      <c r="A353" s="140"/>
      <c r="B353" s="140"/>
      <c r="C353" s="140"/>
      <c r="D353" s="140"/>
      <c r="E353" s="140"/>
      <c r="F353" s="140"/>
      <c r="G353" s="140"/>
    </row>
    <row r="354" ht="22.5" customHeight="1">
      <c r="A354" s="140"/>
      <c r="B354" s="140"/>
      <c r="C354" s="140"/>
      <c r="D354" s="140"/>
      <c r="E354" s="140"/>
      <c r="F354" s="140"/>
      <c r="G354" s="140"/>
    </row>
    <row r="355" ht="22.5" customHeight="1">
      <c r="A355" s="140"/>
      <c r="B355" s="140"/>
      <c r="C355" s="140"/>
      <c r="D355" s="140"/>
      <c r="E355" s="140"/>
      <c r="F355" s="140"/>
      <c r="G355" s="140"/>
    </row>
    <row r="356" ht="22.5" customHeight="1">
      <c r="A356" s="140"/>
      <c r="B356" s="140"/>
      <c r="C356" s="140"/>
      <c r="D356" s="140"/>
      <c r="E356" s="140"/>
      <c r="F356" s="140"/>
      <c r="G356" s="140"/>
    </row>
    <row r="357" ht="22.5" customHeight="1">
      <c r="A357" s="140"/>
      <c r="B357" s="140"/>
      <c r="C357" s="140"/>
      <c r="D357" s="140"/>
      <c r="E357" s="140"/>
      <c r="F357" s="140"/>
      <c r="G357" s="140"/>
    </row>
    <row r="358" ht="22.5" customHeight="1">
      <c r="A358" s="140"/>
      <c r="B358" s="140"/>
      <c r="C358" s="140"/>
      <c r="D358" s="140"/>
      <c r="E358" s="140"/>
      <c r="F358" s="140"/>
      <c r="G358" s="140"/>
    </row>
    <row r="359" ht="22.5" customHeight="1">
      <c r="A359" s="140"/>
      <c r="B359" s="140"/>
      <c r="C359" s="140"/>
      <c r="D359" s="140"/>
      <c r="E359" s="140"/>
      <c r="F359" s="140"/>
      <c r="G359" s="140"/>
    </row>
    <row r="360" ht="22.5" customHeight="1">
      <c r="A360" s="140"/>
      <c r="B360" s="140"/>
      <c r="C360" s="140"/>
      <c r="D360" s="140"/>
      <c r="E360" s="140"/>
      <c r="F360" s="140"/>
      <c r="G360" s="140"/>
    </row>
    <row r="361" ht="22.5" customHeight="1">
      <c r="A361" s="140"/>
      <c r="B361" s="140"/>
      <c r="C361" s="140"/>
      <c r="D361" s="140"/>
      <c r="E361" s="140"/>
      <c r="F361" s="140"/>
      <c r="G361" s="140"/>
    </row>
    <row r="362" ht="22.5" customHeight="1">
      <c r="A362" s="140"/>
      <c r="B362" s="140"/>
      <c r="C362" s="140"/>
      <c r="D362" s="140"/>
      <c r="E362" s="140"/>
      <c r="F362" s="140"/>
      <c r="G362" s="140"/>
    </row>
    <row r="363" ht="22.5" customHeight="1">
      <c r="A363" s="140"/>
      <c r="B363" s="140"/>
      <c r="C363" s="140"/>
      <c r="D363" s="140"/>
      <c r="E363" s="140"/>
      <c r="F363" s="140"/>
      <c r="G363" s="140"/>
    </row>
    <row r="364" ht="22.5" customHeight="1">
      <c r="A364" s="140"/>
      <c r="B364" s="140"/>
      <c r="C364" s="140"/>
      <c r="D364" s="140"/>
      <c r="E364" s="140"/>
      <c r="F364" s="140"/>
      <c r="G364" s="140"/>
    </row>
    <row r="365" ht="22.5" customHeight="1">
      <c r="A365" s="140"/>
      <c r="B365" s="140"/>
      <c r="C365" s="140"/>
      <c r="D365" s="140"/>
      <c r="E365" s="140"/>
      <c r="F365" s="140"/>
      <c r="G365" s="140"/>
    </row>
    <row r="366" ht="22.5" customHeight="1">
      <c r="A366" s="140"/>
      <c r="B366" s="140"/>
      <c r="C366" s="140"/>
      <c r="D366" s="140"/>
      <c r="E366" s="140"/>
      <c r="F366" s="140"/>
      <c r="G366" s="140"/>
    </row>
    <row r="367" ht="22.5" customHeight="1">
      <c r="A367" s="140"/>
      <c r="B367" s="140"/>
      <c r="C367" s="140"/>
      <c r="D367" s="140"/>
      <c r="E367" s="140"/>
      <c r="F367" s="140"/>
      <c r="G367" s="140"/>
    </row>
    <row r="368" ht="22.5" customHeight="1">
      <c r="A368" s="140"/>
      <c r="B368" s="140"/>
      <c r="C368" s="140"/>
      <c r="D368" s="140"/>
      <c r="E368" s="140"/>
      <c r="F368" s="140"/>
      <c r="G368" s="140"/>
    </row>
    <row r="369" ht="22.5" customHeight="1">
      <c r="A369" s="140"/>
      <c r="B369" s="140"/>
      <c r="C369" s="140"/>
      <c r="D369" s="140"/>
      <c r="E369" s="140"/>
      <c r="F369" s="140"/>
      <c r="G369" s="140"/>
    </row>
    <row r="370" ht="22.5" customHeight="1">
      <c r="A370" s="140"/>
      <c r="B370" s="140"/>
      <c r="C370" s="140"/>
      <c r="D370" s="140"/>
      <c r="E370" s="140"/>
      <c r="F370" s="140"/>
      <c r="G370" s="140"/>
    </row>
    <row r="371" ht="22.5" customHeight="1">
      <c r="A371" s="140"/>
      <c r="B371" s="140"/>
      <c r="C371" s="140"/>
      <c r="D371" s="140"/>
      <c r="E371" s="140"/>
      <c r="F371" s="140"/>
      <c r="G371" s="140"/>
    </row>
    <row r="372" ht="22.5" customHeight="1">
      <c r="A372" s="140"/>
      <c r="B372" s="140"/>
      <c r="C372" s="140"/>
      <c r="D372" s="140"/>
      <c r="E372" s="140"/>
      <c r="F372" s="140"/>
      <c r="G372" s="140"/>
    </row>
    <row r="373" ht="22.5" customHeight="1">
      <c r="A373" s="140"/>
      <c r="B373" s="140"/>
      <c r="C373" s="140"/>
      <c r="D373" s="140"/>
      <c r="E373" s="140"/>
      <c r="F373" s="140"/>
      <c r="G373" s="140"/>
    </row>
    <row r="374" ht="22.5" customHeight="1">
      <c r="A374" s="140"/>
      <c r="B374" s="140"/>
      <c r="C374" s="140"/>
      <c r="D374" s="140"/>
      <c r="E374" s="140"/>
      <c r="F374" s="140"/>
      <c r="G374" s="140"/>
    </row>
    <row r="375" ht="22.5" customHeight="1">
      <c r="A375" s="140"/>
      <c r="B375" s="140"/>
      <c r="C375" s="140"/>
      <c r="D375" s="140"/>
      <c r="E375" s="140"/>
      <c r="F375" s="140"/>
      <c r="G375" s="140"/>
    </row>
    <row r="376" ht="22.5" customHeight="1">
      <c r="A376" s="140"/>
      <c r="B376" s="140"/>
      <c r="C376" s="140"/>
      <c r="D376" s="140"/>
      <c r="E376" s="140"/>
      <c r="F376" s="140"/>
      <c r="G376" s="140"/>
    </row>
    <row r="377" ht="22.5" customHeight="1">
      <c r="A377" s="140"/>
      <c r="B377" s="140"/>
      <c r="C377" s="140"/>
      <c r="D377" s="140"/>
      <c r="E377" s="140"/>
      <c r="F377" s="140"/>
      <c r="G377" s="140"/>
    </row>
    <row r="378" ht="22.5" customHeight="1">
      <c r="A378" s="140"/>
      <c r="B378" s="140"/>
      <c r="C378" s="140"/>
      <c r="D378" s="140"/>
      <c r="E378" s="140"/>
      <c r="F378" s="140"/>
      <c r="G378" s="140"/>
    </row>
    <row r="379" ht="22.5" customHeight="1">
      <c r="A379" s="140"/>
      <c r="B379" s="140"/>
      <c r="C379" s="140"/>
      <c r="D379" s="140"/>
      <c r="E379" s="140"/>
      <c r="F379" s="140"/>
      <c r="G379" s="140"/>
    </row>
    <row r="380" ht="22.5" customHeight="1">
      <c r="A380" s="140"/>
      <c r="B380" s="140"/>
      <c r="C380" s="140"/>
      <c r="D380" s="140"/>
      <c r="E380" s="140"/>
      <c r="F380" s="140"/>
      <c r="G380" s="140"/>
    </row>
    <row r="381" ht="22.5" customHeight="1">
      <c r="A381" s="140"/>
      <c r="B381" s="140"/>
      <c r="C381" s="140"/>
      <c r="D381" s="140"/>
      <c r="E381" s="140"/>
      <c r="F381" s="140"/>
      <c r="G381" s="140"/>
    </row>
    <row r="382" ht="22.5" customHeight="1">
      <c r="A382" s="140"/>
      <c r="B382" s="140"/>
      <c r="C382" s="140"/>
      <c r="D382" s="140"/>
      <c r="E382" s="140"/>
      <c r="F382" s="140"/>
      <c r="G382" s="140"/>
    </row>
    <row r="383" ht="22.5" customHeight="1">
      <c r="A383" s="140"/>
      <c r="B383" s="140"/>
      <c r="C383" s="140"/>
      <c r="D383" s="140"/>
      <c r="E383" s="140"/>
      <c r="F383" s="140"/>
      <c r="G383" s="140"/>
    </row>
    <row r="384" ht="22.5" customHeight="1">
      <c r="A384" s="140"/>
      <c r="B384" s="140"/>
      <c r="C384" s="140"/>
      <c r="D384" s="140"/>
      <c r="E384" s="140"/>
      <c r="F384" s="140"/>
      <c r="G384" s="140"/>
    </row>
    <row r="385" ht="22.5" customHeight="1">
      <c r="A385" s="140"/>
      <c r="B385" s="140"/>
      <c r="C385" s="140"/>
      <c r="D385" s="140"/>
      <c r="E385" s="140"/>
      <c r="F385" s="140"/>
      <c r="G385" s="140"/>
    </row>
    <row r="386" ht="22.5" customHeight="1">
      <c r="A386" s="140"/>
      <c r="B386" s="140"/>
      <c r="C386" s="140"/>
      <c r="D386" s="140"/>
      <c r="E386" s="140"/>
      <c r="F386" s="140"/>
      <c r="G386" s="140"/>
    </row>
    <row r="387" ht="22.5" customHeight="1">
      <c r="A387" s="140"/>
      <c r="B387" s="140"/>
      <c r="C387" s="140"/>
      <c r="D387" s="140"/>
      <c r="E387" s="140"/>
      <c r="F387" s="140"/>
      <c r="G387" s="140"/>
    </row>
    <row r="388" ht="22.5" customHeight="1">
      <c r="A388" s="140"/>
      <c r="B388" s="140"/>
      <c r="C388" s="140"/>
      <c r="D388" s="140"/>
      <c r="E388" s="140"/>
      <c r="F388" s="140"/>
      <c r="G388" s="140"/>
    </row>
    <row r="389" ht="22.5" customHeight="1">
      <c r="A389" s="140"/>
      <c r="B389" s="140"/>
      <c r="C389" s="140"/>
      <c r="D389" s="140"/>
      <c r="E389" s="140"/>
      <c r="F389" s="140"/>
      <c r="G389" s="140"/>
    </row>
    <row r="390" ht="22.5" customHeight="1">
      <c r="A390" s="140"/>
      <c r="B390" s="140"/>
      <c r="C390" s="140"/>
      <c r="D390" s="140"/>
      <c r="E390" s="140"/>
      <c r="F390" s="140"/>
      <c r="G390" s="140"/>
    </row>
    <row r="391" ht="22.5" customHeight="1">
      <c r="A391" s="140"/>
      <c r="B391" s="140"/>
      <c r="C391" s="140"/>
      <c r="D391" s="140"/>
      <c r="E391" s="140"/>
      <c r="F391" s="140"/>
      <c r="G391" s="140"/>
    </row>
    <row r="392" ht="22.5" customHeight="1">
      <c r="A392" s="140"/>
      <c r="B392" s="140"/>
      <c r="C392" s="140"/>
      <c r="D392" s="140"/>
      <c r="E392" s="140"/>
      <c r="F392" s="140"/>
      <c r="G392" s="140"/>
    </row>
    <row r="393" ht="22.5" customHeight="1">
      <c r="A393" s="140"/>
      <c r="B393" s="140"/>
      <c r="C393" s="140"/>
      <c r="D393" s="140"/>
      <c r="E393" s="140"/>
      <c r="F393" s="140"/>
      <c r="G393" s="140"/>
    </row>
    <row r="394" ht="22.5" customHeight="1">
      <c r="A394" s="140"/>
      <c r="B394" s="140"/>
      <c r="C394" s="140"/>
      <c r="D394" s="140"/>
      <c r="E394" s="140"/>
      <c r="F394" s="140"/>
      <c r="G394" s="140"/>
    </row>
    <row r="395" ht="22.5" customHeight="1">
      <c r="A395" s="140"/>
      <c r="B395" s="140"/>
      <c r="C395" s="140"/>
      <c r="D395" s="140"/>
      <c r="E395" s="140"/>
      <c r="F395" s="140"/>
      <c r="G395" s="140"/>
    </row>
    <row r="396" ht="22.5" customHeight="1">
      <c r="A396" s="140"/>
      <c r="B396" s="140"/>
      <c r="C396" s="140"/>
      <c r="D396" s="140"/>
      <c r="E396" s="140"/>
      <c r="F396" s="140"/>
      <c r="G396" s="140"/>
    </row>
    <row r="397" ht="22.5" customHeight="1">
      <c r="A397" s="140"/>
      <c r="B397" s="140"/>
      <c r="C397" s="140"/>
      <c r="D397" s="140"/>
      <c r="E397" s="140"/>
      <c r="F397" s="140"/>
      <c r="G397" s="140"/>
    </row>
    <row r="398" ht="22.5" customHeight="1">
      <c r="A398" s="140"/>
      <c r="B398" s="140"/>
      <c r="C398" s="140"/>
      <c r="D398" s="140"/>
      <c r="E398" s="140"/>
      <c r="F398" s="140"/>
      <c r="G398" s="140"/>
    </row>
    <row r="399" ht="22.5" customHeight="1">
      <c r="A399" s="140"/>
      <c r="B399" s="140"/>
      <c r="C399" s="140"/>
      <c r="D399" s="140"/>
      <c r="E399" s="140"/>
      <c r="F399" s="140"/>
      <c r="G399" s="140"/>
    </row>
    <row r="400" ht="22.5" customHeight="1">
      <c r="A400" s="140"/>
      <c r="B400" s="140"/>
      <c r="C400" s="140"/>
      <c r="D400" s="140"/>
      <c r="E400" s="140"/>
      <c r="F400" s="140"/>
      <c r="G400" s="140"/>
    </row>
    <row r="401" ht="22.5" customHeight="1">
      <c r="A401" s="140"/>
      <c r="B401" s="140"/>
      <c r="C401" s="140"/>
      <c r="D401" s="140"/>
      <c r="E401" s="140"/>
      <c r="F401" s="140"/>
      <c r="G401" s="140"/>
    </row>
    <row r="402" ht="22.5" customHeight="1">
      <c r="A402" s="140"/>
      <c r="B402" s="140"/>
      <c r="C402" s="140"/>
      <c r="D402" s="140"/>
      <c r="E402" s="140"/>
      <c r="F402" s="140"/>
      <c r="G402" s="140"/>
    </row>
    <row r="403" ht="22.5" customHeight="1">
      <c r="A403" s="140"/>
      <c r="B403" s="140"/>
      <c r="C403" s="140"/>
      <c r="D403" s="140"/>
      <c r="E403" s="140"/>
      <c r="F403" s="140"/>
      <c r="G403" s="140"/>
    </row>
    <row r="404" ht="22.5" customHeight="1">
      <c r="A404" s="140"/>
      <c r="B404" s="140"/>
      <c r="C404" s="140"/>
      <c r="D404" s="140"/>
      <c r="E404" s="140"/>
      <c r="F404" s="140"/>
      <c r="G404" s="140"/>
    </row>
    <row r="405" ht="22.5" customHeight="1">
      <c r="A405" s="140"/>
      <c r="B405" s="140"/>
      <c r="C405" s="140"/>
      <c r="D405" s="140"/>
      <c r="E405" s="140"/>
      <c r="F405" s="140"/>
      <c r="G405" s="140"/>
    </row>
    <row r="406" ht="22.5" customHeight="1">
      <c r="A406" s="140"/>
      <c r="B406" s="140"/>
      <c r="C406" s="140"/>
      <c r="D406" s="140"/>
      <c r="E406" s="140"/>
      <c r="F406" s="140"/>
      <c r="G406" s="140"/>
    </row>
    <row r="407" ht="22.5" customHeight="1">
      <c r="A407" s="140"/>
      <c r="B407" s="140"/>
      <c r="C407" s="140"/>
      <c r="D407" s="140"/>
      <c r="E407" s="140"/>
      <c r="F407" s="140"/>
      <c r="G407" s="140"/>
    </row>
    <row r="408" ht="22.5" customHeight="1">
      <c r="A408" s="140"/>
      <c r="B408" s="140"/>
      <c r="C408" s="140"/>
      <c r="D408" s="140"/>
      <c r="E408" s="140"/>
      <c r="F408" s="140"/>
      <c r="G408" s="140"/>
    </row>
    <row r="409" ht="22.5" customHeight="1">
      <c r="A409" s="140"/>
      <c r="B409" s="140"/>
      <c r="C409" s="140"/>
      <c r="D409" s="140"/>
      <c r="E409" s="140"/>
      <c r="F409" s="140"/>
      <c r="G409" s="140"/>
    </row>
    <row r="410" ht="22.5" customHeight="1">
      <c r="A410" s="140"/>
      <c r="B410" s="140"/>
      <c r="C410" s="140"/>
      <c r="D410" s="140"/>
      <c r="E410" s="140"/>
      <c r="F410" s="140"/>
      <c r="G410" s="140"/>
    </row>
    <row r="411" ht="22.5" customHeight="1">
      <c r="A411" s="140"/>
      <c r="B411" s="140"/>
      <c r="C411" s="140"/>
      <c r="D411" s="140"/>
      <c r="E411" s="140"/>
      <c r="F411" s="140"/>
      <c r="G411" s="140"/>
    </row>
    <row r="412" ht="22.5" customHeight="1">
      <c r="A412" s="140"/>
      <c r="B412" s="140"/>
      <c r="C412" s="140"/>
      <c r="D412" s="140"/>
      <c r="E412" s="140"/>
      <c r="F412" s="140"/>
      <c r="G412" s="140"/>
    </row>
    <row r="413" ht="22.5" customHeight="1">
      <c r="A413" s="140"/>
      <c r="B413" s="140"/>
      <c r="C413" s="140"/>
      <c r="D413" s="140"/>
      <c r="E413" s="140"/>
      <c r="F413" s="140"/>
      <c r="G413" s="140"/>
    </row>
    <row r="414" ht="22.5" customHeight="1">
      <c r="A414" s="140"/>
      <c r="B414" s="140"/>
      <c r="C414" s="140"/>
      <c r="D414" s="140"/>
      <c r="E414" s="140"/>
      <c r="F414" s="140"/>
      <c r="G414" s="140"/>
    </row>
    <row r="415" ht="22.5" customHeight="1">
      <c r="A415" s="140"/>
      <c r="B415" s="140"/>
      <c r="C415" s="140"/>
      <c r="D415" s="140"/>
      <c r="E415" s="140"/>
      <c r="F415" s="140"/>
      <c r="G415" s="140"/>
    </row>
    <row r="416" ht="22.5" customHeight="1">
      <c r="A416" s="140"/>
      <c r="B416" s="140"/>
      <c r="C416" s="140"/>
      <c r="D416" s="140"/>
      <c r="E416" s="140"/>
      <c r="F416" s="140"/>
      <c r="G416" s="140"/>
    </row>
    <row r="417" ht="22.5" customHeight="1">
      <c r="A417" s="140"/>
      <c r="B417" s="140"/>
      <c r="C417" s="140"/>
      <c r="D417" s="140"/>
      <c r="E417" s="140"/>
      <c r="F417" s="140"/>
      <c r="G417" s="140"/>
    </row>
    <row r="418" ht="22.5" customHeight="1">
      <c r="A418" s="140"/>
      <c r="B418" s="140"/>
      <c r="C418" s="140"/>
      <c r="D418" s="140"/>
      <c r="E418" s="140"/>
      <c r="F418" s="140"/>
      <c r="G418" s="140"/>
    </row>
    <row r="419" ht="22.5" customHeight="1">
      <c r="A419" s="140"/>
      <c r="B419" s="140"/>
      <c r="C419" s="140"/>
      <c r="D419" s="140"/>
      <c r="E419" s="140"/>
      <c r="F419" s="140"/>
      <c r="G419" s="140"/>
    </row>
    <row r="420" ht="22.5" customHeight="1">
      <c r="A420" s="140"/>
      <c r="B420" s="140"/>
      <c r="C420" s="140"/>
      <c r="D420" s="140"/>
      <c r="E420" s="140"/>
      <c r="F420" s="140"/>
      <c r="G420" s="140"/>
    </row>
    <row r="421" ht="22.5" customHeight="1">
      <c r="A421" s="140"/>
      <c r="B421" s="140"/>
      <c r="C421" s="140"/>
      <c r="D421" s="140"/>
      <c r="E421" s="140"/>
      <c r="F421" s="140"/>
      <c r="G421" s="140"/>
    </row>
    <row r="422" ht="22.5" customHeight="1">
      <c r="A422" s="140"/>
      <c r="B422" s="140"/>
      <c r="C422" s="140"/>
      <c r="D422" s="140"/>
      <c r="E422" s="140"/>
      <c r="F422" s="140"/>
      <c r="G422" s="140"/>
    </row>
    <row r="423" ht="22.5" customHeight="1">
      <c r="A423" s="140"/>
      <c r="B423" s="140"/>
      <c r="C423" s="140"/>
      <c r="D423" s="140"/>
      <c r="E423" s="140"/>
      <c r="F423" s="140"/>
      <c r="G423" s="140"/>
    </row>
    <row r="424" ht="22.5" customHeight="1">
      <c r="A424" s="140"/>
      <c r="B424" s="140"/>
      <c r="C424" s="140"/>
      <c r="D424" s="140"/>
      <c r="E424" s="140"/>
      <c r="F424" s="140"/>
      <c r="G424" s="140"/>
    </row>
    <row r="425" ht="22.5" customHeight="1">
      <c r="A425" s="140"/>
      <c r="B425" s="140"/>
      <c r="C425" s="140"/>
      <c r="D425" s="140"/>
      <c r="E425" s="140"/>
      <c r="F425" s="140"/>
      <c r="G425" s="140"/>
    </row>
    <row r="426" ht="22.5" customHeight="1">
      <c r="A426" s="140"/>
      <c r="B426" s="140"/>
      <c r="C426" s="140"/>
      <c r="D426" s="140"/>
      <c r="E426" s="140"/>
      <c r="F426" s="140"/>
      <c r="G426" s="140"/>
    </row>
    <row r="427" ht="22.5" customHeight="1">
      <c r="A427" s="140"/>
      <c r="B427" s="140"/>
      <c r="C427" s="140"/>
      <c r="D427" s="140"/>
      <c r="E427" s="140"/>
      <c r="F427" s="140"/>
      <c r="G427" s="140"/>
    </row>
    <row r="428" ht="22.5" customHeight="1">
      <c r="A428" s="140"/>
      <c r="B428" s="140"/>
      <c r="C428" s="140"/>
      <c r="D428" s="140"/>
      <c r="E428" s="140"/>
      <c r="F428" s="140"/>
      <c r="G428" s="140"/>
    </row>
    <row r="429" ht="22.5" customHeight="1">
      <c r="A429" s="140"/>
      <c r="B429" s="140"/>
      <c r="C429" s="140"/>
      <c r="D429" s="140"/>
      <c r="E429" s="140"/>
      <c r="F429" s="140"/>
      <c r="G429" s="140"/>
    </row>
    <row r="430" ht="22.5" customHeight="1">
      <c r="A430" s="140"/>
      <c r="B430" s="140"/>
      <c r="C430" s="140"/>
      <c r="D430" s="140"/>
      <c r="E430" s="140"/>
      <c r="F430" s="140"/>
      <c r="G430" s="140"/>
    </row>
    <row r="431" ht="22.5" customHeight="1">
      <c r="A431" s="140"/>
      <c r="B431" s="140"/>
      <c r="C431" s="140"/>
      <c r="D431" s="140"/>
      <c r="E431" s="140"/>
      <c r="F431" s="140"/>
      <c r="G431" s="140"/>
    </row>
    <row r="432" ht="22.5" customHeight="1">
      <c r="A432" s="140"/>
      <c r="B432" s="140"/>
      <c r="C432" s="140"/>
      <c r="D432" s="140"/>
      <c r="E432" s="140"/>
      <c r="F432" s="140"/>
      <c r="G432" s="140"/>
    </row>
    <row r="433" ht="22.5" customHeight="1">
      <c r="A433" s="140"/>
      <c r="B433" s="140"/>
      <c r="C433" s="140"/>
      <c r="D433" s="140"/>
      <c r="E433" s="140"/>
      <c r="F433" s="140"/>
      <c r="G433" s="140"/>
    </row>
    <row r="434" ht="22.5" customHeight="1">
      <c r="A434" s="140"/>
      <c r="B434" s="140"/>
      <c r="C434" s="140"/>
      <c r="D434" s="140"/>
      <c r="E434" s="140"/>
      <c r="F434" s="140"/>
      <c r="G434" s="140"/>
    </row>
    <row r="435" ht="22.5" customHeight="1">
      <c r="A435" s="140"/>
      <c r="B435" s="140"/>
      <c r="C435" s="140"/>
      <c r="D435" s="140"/>
      <c r="E435" s="140"/>
      <c r="F435" s="140"/>
      <c r="G435" s="140"/>
    </row>
    <row r="436" ht="22.5" customHeight="1">
      <c r="A436" s="140"/>
      <c r="B436" s="140"/>
      <c r="C436" s="140"/>
      <c r="D436" s="140"/>
      <c r="E436" s="140"/>
      <c r="F436" s="140"/>
      <c r="G436" s="140"/>
    </row>
    <row r="437" ht="22.5" customHeight="1">
      <c r="A437" s="140"/>
      <c r="B437" s="140"/>
      <c r="C437" s="140"/>
      <c r="D437" s="140"/>
      <c r="E437" s="140"/>
      <c r="F437" s="140"/>
      <c r="G437" s="140"/>
    </row>
    <row r="438" ht="22.5" customHeight="1">
      <c r="A438" s="140"/>
      <c r="B438" s="140"/>
      <c r="C438" s="140"/>
      <c r="D438" s="140"/>
      <c r="E438" s="140"/>
      <c r="F438" s="140"/>
      <c r="G438" s="140"/>
    </row>
    <row r="439" ht="22.5" customHeight="1">
      <c r="A439" s="140"/>
      <c r="B439" s="140"/>
      <c r="C439" s="140"/>
      <c r="D439" s="140"/>
      <c r="E439" s="140"/>
      <c r="F439" s="140"/>
      <c r="G439" s="140"/>
    </row>
    <row r="440" ht="22.5" customHeight="1">
      <c r="A440" s="140"/>
      <c r="B440" s="140"/>
      <c r="C440" s="140"/>
      <c r="D440" s="140"/>
      <c r="E440" s="140"/>
      <c r="F440" s="140"/>
      <c r="G440" s="140"/>
    </row>
    <row r="441" ht="22.5" customHeight="1">
      <c r="A441" s="140"/>
      <c r="B441" s="140"/>
      <c r="C441" s="140"/>
      <c r="D441" s="140"/>
      <c r="E441" s="140"/>
      <c r="F441" s="140"/>
      <c r="G441" s="140"/>
    </row>
    <row r="442" ht="22.5" customHeight="1">
      <c r="A442" s="140"/>
      <c r="B442" s="140"/>
      <c r="C442" s="140"/>
      <c r="D442" s="140"/>
      <c r="E442" s="140"/>
      <c r="F442" s="140"/>
      <c r="G442" s="140"/>
    </row>
    <row r="443" ht="22.5" customHeight="1">
      <c r="A443" s="140"/>
      <c r="B443" s="140"/>
      <c r="C443" s="140"/>
      <c r="D443" s="140"/>
      <c r="E443" s="140"/>
      <c r="F443" s="140"/>
      <c r="G443" s="140"/>
    </row>
    <row r="444" ht="22.5" customHeight="1">
      <c r="A444" s="140"/>
      <c r="B444" s="140"/>
      <c r="C444" s="140"/>
      <c r="D444" s="140"/>
      <c r="E444" s="140"/>
      <c r="F444" s="140"/>
      <c r="G444" s="140"/>
    </row>
    <row r="445" ht="22.5" customHeight="1">
      <c r="A445" s="140"/>
      <c r="B445" s="140"/>
      <c r="C445" s="140"/>
      <c r="D445" s="140"/>
      <c r="E445" s="140"/>
      <c r="F445" s="140"/>
      <c r="G445" s="140"/>
    </row>
    <row r="446" ht="22.5" customHeight="1">
      <c r="A446" s="140"/>
      <c r="B446" s="140"/>
      <c r="C446" s="140"/>
      <c r="D446" s="140"/>
      <c r="E446" s="140"/>
      <c r="F446" s="140"/>
      <c r="G446" s="140"/>
    </row>
    <row r="447" ht="22.5" customHeight="1">
      <c r="A447" s="140"/>
      <c r="B447" s="140"/>
      <c r="C447" s="140"/>
      <c r="D447" s="140"/>
      <c r="E447" s="140"/>
      <c r="F447" s="140"/>
      <c r="G447" s="140"/>
    </row>
    <row r="448" ht="22.5" customHeight="1">
      <c r="A448" s="140"/>
      <c r="B448" s="140"/>
      <c r="C448" s="140"/>
      <c r="D448" s="140"/>
      <c r="E448" s="140"/>
      <c r="F448" s="140"/>
      <c r="G448" s="140"/>
    </row>
    <row r="449" ht="22.5" customHeight="1">
      <c r="A449" s="140"/>
      <c r="B449" s="140"/>
      <c r="C449" s="140"/>
      <c r="D449" s="140"/>
      <c r="E449" s="140"/>
      <c r="F449" s="140"/>
      <c r="G449" s="140"/>
    </row>
    <row r="450" ht="22.5" customHeight="1">
      <c r="A450" s="140"/>
      <c r="B450" s="140"/>
      <c r="C450" s="140"/>
      <c r="D450" s="140"/>
      <c r="E450" s="140"/>
      <c r="F450" s="140"/>
      <c r="G450" s="140"/>
    </row>
    <row r="451" ht="22.5" customHeight="1">
      <c r="A451" s="140"/>
      <c r="B451" s="140"/>
      <c r="C451" s="140"/>
      <c r="D451" s="140"/>
      <c r="E451" s="140"/>
      <c r="F451" s="140"/>
      <c r="G451" s="140"/>
    </row>
    <row r="452" ht="22.5" customHeight="1">
      <c r="A452" s="140"/>
      <c r="B452" s="140"/>
      <c r="C452" s="140"/>
      <c r="D452" s="140"/>
      <c r="E452" s="140"/>
      <c r="F452" s="140"/>
      <c r="G452" s="140"/>
    </row>
    <row r="453" ht="22.5" customHeight="1">
      <c r="A453" s="140"/>
      <c r="B453" s="140"/>
      <c r="C453" s="140"/>
      <c r="D453" s="140"/>
      <c r="E453" s="140"/>
      <c r="F453" s="140"/>
      <c r="G453" s="140"/>
    </row>
    <row r="454" ht="22.5" customHeight="1">
      <c r="A454" s="140"/>
      <c r="B454" s="140"/>
      <c r="C454" s="140"/>
      <c r="D454" s="140"/>
      <c r="E454" s="140"/>
      <c r="F454" s="140"/>
      <c r="G454" s="140"/>
    </row>
    <row r="455" ht="22.5" customHeight="1">
      <c r="A455" s="140"/>
      <c r="B455" s="140"/>
      <c r="C455" s="140"/>
      <c r="D455" s="140"/>
      <c r="E455" s="140"/>
      <c r="F455" s="140"/>
      <c r="G455" s="140"/>
    </row>
    <row r="456" ht="22.5" customHeight="1">
      <c r="A456" s="140"/>
      <c r="B456" s="140"/>
      <c r="C456" s="140"/>
      <c r="D456" s="140"/>
      <c r="E456" s="140"/>
      <c r="F456" s="140"/>
      <c r="G456" s="140"/>
    </row>
    <row r="457" ht="22.5" customHeight="1">
      <c r="A457" s="140"/>
      <c r="B457" s="140"/>
      <c r="C457" s="140"/>
      <c r="D457" s="140"/>
      <c r="E457" s="140"/>
      <c r="F457" s="140"/>
      <c r="G457" s="140"/>
    </row>
    <row r="458" ht="22.5" customHeight="1">
      <c r="A458" s="140"/>
      <c r="B458" s="140"/>
      <c r="C458" s="140"/>
      <c r="D458" s="140"/>
      <c r="E458" s="140"/>
      <c r="F458" s="140"/>
      <c r="G458" s="140"/>
    </row>
    <row r="459" ht="22.5" customHeight="1">
      <c r="A459" s="140"/>
      <c r="B459" s="140"/>
      <c r="C459" s="140"/>
      <c r="D459" s="140"/>
      <c r="E459" s="140"/>
      <c r="F459" s="140"/>
      <c r="G459" s="140"/>
    </row>
    <row r="460" ht="22.5" customHeight="1">
      <c r="A460" s="140"/>
      <c r="B460" s="140"/>
      <c r="C460" s="140"/>
      <c r="D460" s="140"/>
      <c r="E460" s="140"/>
      <c r="F460" s="140"/>
      <c r="G460" s="140"/>
    </row>
    <row r="461" ht="22.5" customHeight="1">
      <c r="A461" s="140"/>
      <c r="B461" s="140"/>
      <c r="C461" s="140"/>
      <c r="D461" s="140"/>
      <c r="E461" s="140"/>
      <c r="F461" s="140"/>
      <c r="G461" s="140"/>
    </row>
    <row r="462" ht="22.5" customHeight="1">
      <c r="A462" s="140"/>
      <c r="B462" s="140"/>
      <c r="C462" s="140"/>
      <c r="D462" s="140"/>
      <c r="E462" s="140"/>
      <c r="F462" s="140"/>
      <c r="G462" s="140"/>
    </row>
    <row r="463" ht="22.5" customHeight="1">
      <c r="A463" s="140"/>
      <c r="B463" s="140"/>
      <c r="C463" s="140"/>
      <c r="D463" s="140"/>
      <c r="E463" s="140"/>
      <c r="F463" s="140"/>
      <c r="G463" s="140"/>
    </row>
    <row r="464" ht="22.5" customHeight="1">
      <c r="A464" s="140"/>
      <c r="B464" s="140"/>
      <c r="C464" s="140"/>
      <c r="D464" s="140"/>
      <c r="E464" s="140"/>
      <c r="F464" s="140"/>
      <c r="G464" s="140"/>
    </row>
    <row r="465" ht="22.5" customHeight="1">
      <c r="A465" s="140"/>
      <c r="B465" s="140"/>
      <c r="C465" s="140"/>
      <c r="D465" s="140"/>
      <c r="E465" s="140"/>
      <c r="F465" s="140"/>
      <c r="G465" s="140"/>
    </row>
    <row r="466" ht="22.5" customHeight="1">
      <c r="A466" s="140"/>
      <c r="B466" s="140"/>
      <c r="C466" s="140"/>
      <c r="D466" s="140"/>
      <c r="E466" s="140"/>
      <c r="F466" s="140"/>
      <c r="G466" s="140"/>
    </row>
    <row r="467" ht="22.5" customHeight="1">
      <c r="A467" s="140"/>
      <c r="B467" s="140"/>
      <c r="C467" s="140"/>
      <c r="D467" s="140"/>
      <c r="E467" s="140"/>
      <c r="F467" s="140"/>
      <c r="G467" s="140"/>
    </row>
    <row r="468" ht="22.5" customHeight="1">
      <c r="A468" s="140"/>
      <c r="B468" s="140"/>
      <c r="C468" s="140"/>
      <c r="D468" s="140"/>
      <c r="E468" s="140"/>
      <c r="F468" s="140"/>
      <c r="G468" s="140"/>
    </row>
    <row r="469" ht="22.5" customHeight="1">
      <c r="A469" s="140"/>
      <c r="B469" s="140"/>
      <c r="C469" s="140"/>
      <c r="D469" s="140"/>
      <c r="E469" s="140"/>
      <c r="F469" s="140"/>
      <c r="G469" s="140"/>
    </row>
    <row r="470" ht="22.5" customHeight="1">
      <c r="A470" s="140"/>
      <c r="B470" s="140"/>
      <c r="C470" s="140"/>
      <c r="D470" s="140"/>
      <c r="E470" s="140"/>
      <c r="F470" s="140"/>
      <c r="G470" s="140"/>
    </row>
    <row r="471" ht="22.5" customHeight="1">
      <c r="A471" s="140"/>
      <c r="B471" s="140"/>
      <c r="C471" s="140"/>
      <c r="D471" s="140"/>
      <c r="E471" s="140"/>
      <c r="F471" s="140"/>
      <c r="G471" s="140"/>
    </row>
    <row r="472" ht="22.5" customHeight="1">
      <c r="A472" s="140"/>
      <c r="B472" s="140"/>
      <c r="C472" s="140"/>
      <c r="D472" s="140"/>
      <c r="E472" s="140"/>
      <c r="F472" s="140"/>
      <c r="G472" s="140"/>
    </row>
    <row r="473" ht="22.5" customHeight="1">
      <c r="A473" s="140"/>
      <c r="B473" s="140"/>
      <c r="C473" s="140"/>
      <c r="D473" s="140"/>
      <c r="E473" s="140"/>
      <c r="F473" s="140"/>
      <c r="G473" s="140"/>
    </row>
    <row r="474" ht="22.5" customHeight="1">
      <c r="A474" s="140"/>
      <c r="B474" s="140"/>
      <c r="C474" s="140"/>
      <c r="D474" s="140"/>
      <c r="E474" s="140"/>
      <c r="F474" s="140"/>
      <c r="G474" s="140"/>
    </row>
    <row r="475" ht="22.5" customHeight="1">
      <c r="A475" s="140"/>
      <c r="B475" s="140"/>
      <c r="C475" s="140"/>
      <c r="D475" s="140"/>
      <c r="E475" s="140"/>
      <c r="F475" s="140"/>
      <c r="G475" s="140"/>
    </row>
    <row r="476" ht="22.5" customHeight="1">
      <c r="A476" s="140"/>
      <c r="B476" s="140"/>
      <c r="C476" s="140"/>
      <c r="D476" s="140"/>
      <c r="E476" s="140"/>
      <c r="F476" s="140"/>
      <c r="G476" s="140"/>
    </row>
    <row r="477" ht="22.5" customHeight="1">
      <c r="A477" s="140"/>
      <c r="B477" s="140"/>
      <c r="C477" s="140"/>
      <c r="D477" s="140"/>
      <c r="E477" s="140"/>
      <c r="F477" s="140"/>
      <c r="G477" s="140"/>
    </row>
    <row r="478" ht="22.5" customHeight="1">
      <c r="A478" s="140"/>
      <c r="B478" s="140"/>
      <c r="C478" s="140"/>
      <c r="D478" s="140"/>
      <c r="E478" s="140"/>
      <c r="F478" s="140"/>
      <c r="G478" s="140"/>
    </row>
    <row r="479" ht="22.5" customHeight="1">
      <c r="A479" s="140"/>
      <c r="B479" s="140"/>
      <c r="C479" s="140"/>
      <c r="D479" s="140"/>
      <c r="E479" s="140"/>
      <c r="F479" s="140"/>
      <c r="G479" s="140"/>
    </row>
    <row r="480" ht="22.5" customHeight="1">
      <c r="A480" s="140"/>
      <c r="B480" s="140"/>
      <c r="C480" s="140"/>
      <c r="D480" s="140"/>
      <c r="E480" s="140"/>
      <c r="F480" s="140"/>
      <c r="G480" s="140"/>
    </row>
    <row r="481" ht="22.5" customHeight="1">
      <c r="A481" s="140"/>
      <c r="B481" s="140"/>
      <c r="C481" s="140"/>
      <c r="D481" s="140"/>
      <c r="E481" s="140"/>
      <c r="F481" s="140"/>
      <c r="G481" s="140"/>
    </row>
    <row r="482" ht="22.5" customHeight="1">
      <c r="A482" s="140"/>
      <c r="B482" s="140"/>
      <c r="C482" s="140"/>
      <c r="D482" s="140"/>
      <c r="E482" s="140"/>
      <c r="F482" s="140"/>
      <c r="G482" s="140"/>
    </row>
    <row r="483" ht="22.5" customHeight="1">
      <c r="A483" s="140"/>
      <c r="B483" s="140"/>
      <c r="C483" s="140"/>
      <c r="D483" s="140"/>
      <c r="E483" s="140"/>
      <c r="F483" s="140"/>
      <c r="G483" s="140"/>
    </row>
    <row r="484" ht="22.5" customHeight="1">
      <c r="A484" s="140"/>
      <c r="B484" s="140"/>
      <c r="C484" s="140"/>
      <c r="D484" s="140"/>
      <c r="E484" s="140"/>
      <c r="F484" s="140"/>
      <c r="G484" s="140"/>
    </row>
    <row r="485" ht="22.5" customHeight="1">
      <c r="A485" s="140"/>
      <c r="B485" s="140"/>
      <c r="C485" s="140"/>
      <c r="D485" s="140"/>
      <c r="E485" s="140"/>
      <c r="F485" s="140"/>
      <c r="G485" s="140"/>
    </row>
    <row r="486" ht="22.5" customHeight="1">
      <c r="A486" s="140"/>
      <c r="B486" s="140"/>
      <c r="C486" s="140"/>
      <c r="D486" s="140"/>
      <c r="E486" s="140"/>
      <c r="F486" s="140"/>
      <c r="G486" s="140"/>
    </row>
    <row r="487" ht="22.5" customHeight="1">
      <c r="A487" s="140"/>
      <c r="B487" s="140"/>
      <c r="C487" s="140"/>
      <c r="D487" s="140"/>
      <c r="E487" s="140"/>
      <c r="F487" s="140"/>
      <c r="G487" s="140"/>
    </row>
    <row r="488" ht="22.5" customHeight="1">
      <c r="A488" s="140"/>
      <c r="B488" s="140"/>
      <c r="C488" s="140"/>
      <c r="D488" s="140"/>
      <c r="E488" s="140"/>
      <c r="F488" s="140"/>
      <c r="G488" s="140"/>
    </row>
    <row r="489" ht="22.5" customHeight="1">
      <c r="A489" s="140"/>
      <c r="B489" s="140"/>
      <c r="C489" s="140"/>
      <c r="D489" s="140"/>
      <c r="E489" s="140"/>
      <c r="F489" s="140"/>
      <c r="G489" s="140"/>
    </row>
    <row r="490" ht="22.5" customHeight="1">
      <c r="A490" s="140"/>
      <c r="B490" s="140"/>
      <c r="C490" s="140"/>
      <c r="D490" s="140"/>
      <c r="E490" s="140"/>
      <c r="F490" s="140"/>
      <c r="G490" s="140"/>
    </row>
    <row r="491" ht="22.5" customHeight="1">
      <c r="A491" s="140"/>
      <c r="B491" s="140"/>
      <c r="C491" s="140"/>
      <c r="D491" s="140"/>
      <c r="E491" s="140"/>
      <c r="F491" s="140"/>
      <c r="G491" s="140"/>
    </row>
    <row r="492" ht="22.5" customHeight="1">
      <c r="A492" s="140"/>
      <c r="B492" s="140"/>
      <c r="C492" s="140"/>
      <c r="D492" s="140"/>
      <c r="E492" s="140"/>
      <c r="F492" s="140"/>
      <c r="G492" s="140"/>
    </row>
    <row r="493" ht="22.5" customHeight="1">
      <c r="A493" s="140"/>
      <c r="B493" s="140"/>
      <c r="C493" s="140"/>
      <c r="D493" s="140"/>
      <c r="E493" s="140"/>
      <c r="F493" s="140"/>
      <c r="G493" s="140"/>
    </row>
    <row r="494" ht="22.5" customHeight="1">
      <c r="A494" s="140"/>
      <c r="B494" s="140"/>
      <c r="C494" s="140"/>
      <c r="D494" s="140"/>
      <c r="E494" s="140"/>
      <c r="F494" s="140"/>
      <c r="G494" s="140"/>
    </row>
    <row r="495" ht="22.5" customHeight="1">
      <c r="A495" s="140"/>
      <c r="B495" s="140"/>
      <c r="C495" s="140"/>
      <c r="D495" s="140"/>
      <c r="E495" s="140"/>
      <c r="F495" s="140"/>
      <c r="G495" s="140"/>
    </row>
    <row r="496" ht="22.5" customHeight="1">
      <c r="A496" s="140"/>
      <c r="B496" s="140"/>
      <c r="C496" s="140"/>
      <c r="D496" s="140"/>
      <c r="E496" s="140"/>
      <c r="F496" s="140"/>
      <c r="G496" s="140"/>
    </row>
    <row r="497" ht="22.5" customHeight="1">
      <c r="A497" s="140"/>
      <c r="B497" s="140"/>
      <c r="C497" s="140"/>
      <c r="D497" s="140"/>
      <c r="E497" s="140"/>
      <c r="F497" s="140"/>
      <c r="G497" s="140"/>
    </row>
    <row r="498" ht="22.5" customHeight="1">
      <c r="A498" s="140"/>
      <c r="B498" s="140"/>
      <c r="C498" s="140"/>
      <c r="D498" s="140"/>
      <c r="E498" s="140"/>
      <c r="F498" s="140"/>
      <c r="G498" s="140"/>
    </row>
    <row r="499" ht="22.5" customHeight="1">
      <c r="A499" s="140"/>
      <c r="B499" s="140"/>
      <c r="C499" s="140"/>
      <c r="D499" s="140"/>
      <c r="E499" s="140"/>
      <c r="F499" s="140"/>
      <c r="G499" s="140"/>
    </row>
    <row r="500" ht="22.5" customHeight="1">
      <c r="A500" s="140"/>
      <c r="B500" s="140"/>
      <c r="C500" s="140"/>
      <c r="D500" s="140"/>
      <c r="E500" s="140"/>
      <c r="F500" s="140"/>
      <c r="G500" s="140"/>
    </row>
    <row r="501" ht="22.5" customHeight="1">
      <c r="A501" s="140"/>
      <c r="B501" s="140"/>
      <c r="C501" s="140"/>
      <c r="D501" s="140"/>
      <c r="E501" s="140"/>
      <c r="F501" s="140"/>
      <c r="G501" s="140"/>
    </row>
    <row r="502" ht="22.5" customHeight="1">
      <c r="A502" s="140"/>
      <c r="B502" s="140"/>
      <c r="C502" s="140"/>
      <c r="D502" s="140"/>
      <c r="E502" s="140"/>
      <c r="F502" s="140"/>
      <c r="G502" s="140"/>
    </row>
    <row r="503" ht="22.5" customHeight="1">
      <c r="A503" s="140"/>
      <c r="B503" s="140"/>
      <c r="C503" s="140"/>
      <c r="D503" s="140"/>
      <c r="E503" s="140"/>
      <c r="F503" s="140"/>
      <c r="G503" s="140"/>
    </row>
    <row r="504" ht="22.5" customHeight="1">
      <c r="A504" s="140"/>
      <c r="B504" s="140"/>
      <c r="C504" s="140"/>
      <c r="D504" s="140"/>
      <c r="E504" s="140"/>
      <c r="F504" s="140"/>
      <c r="G504" s="140"/>
    </row>
    <row r="505" ht="22.5" customHeight="1">
      <c r="A505" s="140"/>
      <c r="B505" s="140"/>
      <c r="C505" s="140"/>
      <c r="D505" s="140"/>
      <c r="E505" s="140"/>
      <c r="F505" s="140"/>
      <c r="G505" s="140"/>
    </row>
    <row r="506" ht="22.5" customHeight="1">
      <c r="A506" s="140"/>
      <c r="B506" s="140"/>
      <c r="C506" s="140"/>
      <c r="D506" s="140"/>
      <c r="E506" s="140"/>
      <c r="F506" s="140"/>
      <c r="G506" s="140"/>
    </row>
    <row r="507" ht="22.5" customHeight="1">
      <c r="A507" s="140"/>
      <c r="B507" s="140"/>
      <c r="C507" s="140"/>
      <c r="D507" s="140"/>
      <c r="E507" s="140"/>
      <c r="F507" s="140"/>
      <c r="G507" s="140"/>
    </row>
    <row r="508" ht="22.5" customHeight="1">
      <c r="A508" s="140"/>
      <c r="B508" s="140"/>
      <c r="C508" s="140"/>
      <c r="D508" s="140"/>
      <c r="E508" s="140"/>
      <c r="F508" s="140"/>
      <c r="G508" s="140"/>
    </row>
    <row r="509" ht="22.5" customHeight="1">
      <c r="A509" s="140"/>
      <c r="B509" s="140"/>
      <c r="C509" s="140"/>
      <c r="D509" s="140"/>
      <c r="E509" s="140"/>
      <c r="F509" s="140"/>
      <c r="G509" s="140"/>
    </row>
    <row r="510" ht="22.5" customHeight="1">
      <c r="A510" s="140"/>
      <c r="B510" s="140"/>
      <c r="C510" s="140"/>
      <c r="D510" s="140"/>
      <c r="E510" s="140"/>
      <c r="F510" s="140"/>
      <c r="G510" s="140"/>
    </row>
    <row r="511" ht="22.5" customHeight="1">
      <c r="A511" s="140"/>
      <c r="B511" s="140"/>
      <c r="C511" s="140"/>
      <c r="D511" s="140"/>
      <c r="E511" s="140"/>
      <c r="F511" s="140"/>
      <c r="G511" s="140"/>
    </row>
    <row r="512" ht="22.5" customHeight="1">
      <c r="A512" s="140"/>
      <c r="B512" s="140"/>
      <c r="C512" s="140"/>
      <c r="D512" s="140"/>
      <c r="E512" s="140"/>
      <c r="F512" s="140"/>
      <c r="G512" s="140"/>
    </row>
    <row r="513" ht="22.5" customHeight="1">
      <c r="A513" s="140"/>
      <c r="B513" s="140"/>
      <c r="C513" s="140"/>
      <c r="D513" s="140"/>
      <c r="E513" s="140"/>
      <c r="F513" s="140"/>
      <c r="G513" s="140"/>
    </row>
    <row r="514" ht="22.5" customHeight="1">
      <c r="A514" s="140"/>
      <c r="B514" s="140"/>
      <c r="C514" s="140"/>
      <c r="D514" s="140"/>
      <c r="E514" s="140"/>
      <c r="F514" s="140"/>
      <c r="G514" s="140"/>
    </row>
    <row r="515" ht="22.5" customHeight="1">
      <c r="A515" s="140"/>
      <c r="B515" s="140"/>
      <c r="C515" s="140"/>
      <c r="D515" s="140"/>
      <c r="E515" s="140"/>
      <c r="F515" s="140"/>
      <c r="G515" s="140"/>
    </row>
    <row r="516" ht="22.5" customHeight="1">
      <c r="A516" s="140"/>
      <c r="B516" s="140"/>
      <c r="C516" s="140"/>
      <c r="D516" s="140"/>
      <c r="E516" s="140"/>
      <c r="F516" s="140"/>
      <c r="G516" s="140"/>
    </row>
    <row r="517" ht="22.5" customHeight="1">
      <c r="A517" s="140"/>
      <c r="B517" s="140"/>
      <c r="C517" s="140"/>
      <c r="D517" s="140"/>
      <c r="E517" s="140"/>
      <c r="F517" s="140"/>
      <c r="G517" s="140"/>
    </row>
    <row r="518" ht="22.5" customHeight="1">
      <c r="A518" s="140"/>
      <c r="B518" s="140"/>
      <c r="C518" s="140"/>
      <c r="D518" s="140"/>
      <c r="E518" s="140"/>
      <c r="F518" s="140"/>
      <c r="G518" s="140"/>
    </row>
    <row r="519" ht="22.5" customHeight="1">
      <c r="A519" s="140"/>
      <c r="B519" s="140"/>
      <c r="C519" s="140"/>
      <c r="D519" s="140"/>
      <c r="E519" s="140"/>
      <c r="F519" s="140"/>
      <c r="G519" s="140"/>
    </row>
    <row r="520" ht="22.5" customHeight="1">
      <c r="A520" s="140"/>
      <c r="B520" s="140"/>
      <c r="C520" s="140"/>
      <c r="D520" s="140"/>
      <c r="E520" s="140"/>
      <c r="F520" s="140"/>
      <c r="G520" s="140"/>
    </row>
    <row r="521" ht="22.5" customHeight="1">
      <c r="A521" s="140"/>
      <c r="B521" s="140"/>
      <c r="C521" s="140"/>
      <c r="D521" s="140"/>
      <c r="E521" s="140"/>
      <c r="F521" s="140"/>
      <c r="G521" s="140"/>
    </row>
    <row r="522" ht="22.5" customHeight="1">
      <c r="A522" s="140"/>
      <c r="B522" s="140"/>
      <c r="C522" s="140"/>
      <c r="D522" s="140"/>
      <c r="E522" s="140"/>
      <c r="F522" s="140"/>
      <c r="G522" s="140"/>
    </row>
    <row r="523" ht="22.5" customHeight="1">
      <c r="A523" s="140"/>
      <c r="B523" s="140"/>
      <c r="C523" s="140"/>
      <c r="D523" s="140"/>
      <c r="E523" s="140"/>
      <c r="F523" s="140"/>
      <c r="G523" s="140"/>
    </row>
    <row r="524" ht="22.5" customHeight="1">
      <c r="A524" s="140"/>
      <c r="B524" s="140"/>
      <c r="C524" s="140"/>
      <c r="D524" s="140"/>
      <c r="E524" s="140"/>
      <c r="F524" s="140"/>
      <c r="G524" s="140"/>
    </row>
    <row r="525" ht="22.5" customHeight="1">
      <c r="A525" s="140"/>
      <c r="B525" s="140"/>
      <c r="C525" s="140"/>
      <c r="D525" s="140"/>
      <c r="E525" s="140"/>
      <c r="F525" s="140"/>
      <c r="G525" s="140"/>
    </row>
    <row r="526" ht="22.5" customHeight="1">
      <c r="A526" s="140"/>
      <c r="B526" s="140"/>
      <c r="C526" s="140"/>
      <c r="D526" s="140"/>
      <c r="E526" s="140"/>
      <c r="F526" s="140"/>
      <c r="G526" s="140"/>
    </row>
    <row r="527" ht="22.5" customHeight="1">
      <c r="A527" s="140"/>
      <c r="B527" s="140"/>
      <c r="C527" s="140"/>
      <c r="D527" s="140"/>
      <c r="E527" s="140"/>
      <c r="F527" s="140"/>
      <c r="G527" s="140"/>
    </row>
    <row r="528" ht="22.5" customHeight="1">
      <c r="A528" s="140"/>
      <c r="B528" s="140"/>
      <c r="C528" s="140"/>
      <c r="D528" s="140"/>
      <c r="E528" s="140"/>
      <c r="F528" s="140"/>
      <c r="G528" s="140"/>
    </row>
    <row r="529" ht="22.5" customHeight="1">
      <c r="A529" s="140"/>
      <c r="B529" s="140"/>
      <c r="C529" s="140"/>
      <c r="D529" s="140"/>
      <c r="E529" s="140"/>
      <c r="F529" s="140"/>
      <c r="G529" s="140"/>
    </row>
    <row r="530" ht="22.5" customHeight="1">
      <c r="A530" s="140"/>
      <c r="B530" s="140"/>
      <c r="C530" s="140"/>
      <c r="D530" s="140"/>
      <c r="E530" s="140"/>
      <c r="F530" s="140"/>
      <c r="G530" s="140"/>
    </row>
    <row r="531" ht="22.5" customHeight="1">
      <c r="A531" s="140"/>
      <c r="B531" s="140"/>
      <c r="C531" s="140"/>
      <c r="D531" s="140"/>
      <c r="E531" s="140"/>
      <c r="F531" s="140"/>
      <c r="G531" s="140"/>
    </row>
    <row r="532" ht="22.5" customHeight="1">
      <c r="A532" s="140"/>
      <c r="B532" s="140"/>
      <c r="C532" s="140"/>
      <c r="D532" s="140"/>
      <c r="E532" s="140"/>
      <c r="F532" s="140"/>
      <c r="G532" s="140"/>
    </row>
    <row r="533" ht="22.5" customHeight="1">
      <c r="A533" s="140"/>
      <c r="B533" s="140"/>
      <c r="C533" s="140"/>
      <c r="D533" s="140"/>
      <c r="E533" s="140"/>
      <c r="F533" s="140"/>
      <c r="G533" s="140"/>
    </row>
    <row r="534" ht="22.5" customHeight="1">
      <c r="A534" s="140"/>
      <c r="B534" s="140"/>
      <c r="C534" s="140"/>
      <c r="D534" s="140"/>
      <c r="E534" s="140"/>
      <c r="F534" s="140"/>
      <c r="G534" s="140"/>
    </row>
    <row r="535" ht="22.5" customHeight="1">
      <c r="A535" s="140"/>
      <c r="B535" s="140"/>
      <c r="C535" s="140"/>
      <c r="D535" s="140"/>
      <c r="E535" s="140"/>
      <c r="F535" s="140"/>
      <c r="G535" s="140"/>
    </row>
    <row r="536" ht="22.5" customHeight="1">
      <c r="A536" s="140"/>
      <c r="B536" s="140"/>
      <c r="C536" s="140"/>
      <c r="D536" s="140"/>
      <c r="E536" s="140"/>
      <c r="F536" s="140"/>
      <c r="G536" s="140"/>
    </row>
    <row r="537" ht="22.5" customHeight="1">
      <c r="A537" s="140"/>
      <c r="B537" s="140"/>
      <c r="C537" s="140"/>
      <c r="D537" s="140"/>
      <c r="E537" s="140"/>
      <c r="F537" s="140"/>
      <c r="G537" s="140"/>
    </row>
    <row r="538" ht="22.5" customHeight="1">
      <c r="A538" s="140"/>
      <c r="B538" s="140"/>
      <c r="C538" s="140"/>
      <c r="D538" s="140"/>
      <c r="E538" s="140"/>
      <c r="F538" s="140"/>
      <c r="G538" s="140"/>
    </row>
    <row r="539" ht="22.5" customHeight="1">
      <c r="A539" s="140"/>
      <c r="B539" s="140"/>
      <c r="C539" s="140"/>
      <c r="D539" s="140"/>
      <c r="E539" s="140"/>
      <c r="F539" s="140"/>
      <c r="G539" s="140"/>
    </row>
    <row r="540" ht="22.5" customHeight="1">
      <c r="A540" s="140"/>
      <c r="B540" s="140"/>
      <c r="C540" s="140"/>
      <c r="D540" s="140"/>
      <c r="E540" s="140"/>
      <c r="F540" s="140"/>
      <c r="G540" s="140"/>
    </row>
    <row r="541" ht="22.5" customHeight="1">
      <c r="A541" s="140"/>
      <c r="B541" s="140"/>
      <c r="C541" s="140"/>
      <c r="D541" s="140"/>
      <c r="E541" s="140"/>
      <c r="F541" s="140"/>
      <c r="G541" s="140"/>
    </row>
    <row r="542" ht="22.5" customHeight="1">
      <c r="A542" s="140"/>
      <c r="B542" s="140"/>
      <c r="C542" s="140"/>
      <c r="D542" s="140"/>
      <c r="E542" s="140"/>
      <c r="F542" s="140"/>
      <c r="G542" s="140"/>
    </row>
    <row r="543" ht="22.5" customHeight="1">
      <c r="A543" s="140"/>
      <c r="B543" s="140"/>
      <c r="C543" s="140"/>
      <c r="D543" s="140"/>
      <c r="E543" s="140"/>
      <c r="F543" s="140"/>
      <c r="G543" s="140"/>
    </row>
    <row r="544" ht="22.5" customHeight="1">
      <c r="A544" s="140"/>
      <c r="B544" s="140"/>
      <c r="C544" s="140"/>
      <c r="D544" s="140"/>
      <c r="E544" s="140"/>
      <c r="F544" s="140"/>
      <c r="G544" s="140"/>
    </row>
    <row r="545" ht="22.5" customHeight="1">
      <c r="A545" s="140"/>
      <c r="B545" s="140"/>
      <c r="C545" s="140"/>
      <c r="D545" s="140"/>
      <c r="E545" s="140"/>
      <c r="F545" s="140"/>
      <c r="G545" s="140"/>
    </row>
    <row r="546" ht="22.5" customHeight="1">
      <c r="A546" s="140"/>
      <c r="B546" s="140"/>
      <c r="C546" s="140"/>
      <c r="D546" s="140"/>
      <c r="E546" s="140"/>
      <c r="F546" s="140"/>
      <c r="G546" s="140"/>
    </row>
    <row r="547" ht="22.5" customHeight="1">
      <c r="A547" s="140"/>
      <c r="B547" s="140"/>
      <c r="C547" s="140"/>
      <c r="D547" s="140"/>
      <c r="E547" s="140"/>
      <c r="F547" s="140"/>
      <c r="G547" s="140"/>
    </row>
    <row r="548" ht="22.5" customHeight="1">
      <c r="A548" s="140"/>
      <c r="B548" s="140"/>
      <c r="C548" s="140"/>
      <c r="D548" s="140"/>
      <c r="E548" s="140"/>
      <c r="F548" s="140"/>
      <c r="G548" s="140"/>
    </row>
    <row r="549" ht="22.5" customHeight="1">
      <c r="A549" s="140"/>
      <c r="B549" s="140"/>
      <c r="C549" s="140"/>
      <c r="D549" s="140"/>
      <c r="E549" s="140"/>
      <c r="F549" s="140"/>
      <c r="G549" s="140"/>
    </row>
    <row r="550" ht="22.5" customHeight="1">
      <c r="A550" s="140"/>
      <c r="B550" s="140"/>
      <c r="C550" s="140"/>
      <c r="D550" s="140"/>
      <c r="E550" s="140"/>
      <c r="F550" s="140"/>
      <c r="G550" s="140"/>
    </row>
    <row r="551" ht="22.5" customHeight="1">
      <c r="A551" s="140"/>
      <c r="B551" s="140"/>
      <c r="C551" s="140"/>
      <c r="D551" s="140"/>
      <c r="E551" s="140"/>
      <c r="F551" s="140"/>
      <c r="G551" s="140"/>
    </row>
    <row r="552" ht="22.5" customHeight="1">
      <c r="A552" s="140"/>
      <c r="B552" s="140"/>
      <c r="C552" s="140"/>
      <c r="D552" s="140"/>
      <c r="E552" s="140"/>
      <c r="F552" s="140"/>
      <c r="G552" s="140"/>
    </row>
    <row r="553" ht="22.5" customHeight="1">
      <c r="A553" s="140"/>
      <c r="B553" s="140"/>
      <c r="C553" s="140"/>
      <c r="D553" s="140"/>
      <c r="E553" s="140"/>
      <c r="F553" s="140"/>
      <c r="G553" s="140"/>
    </row>
    <row r="554" ht="22.5" customHeight="1">
      <c r="A554" s="140"/>
      <c r="B554" s="140"/>
      <c r="C554" s="140"/>
      <c r="D554" s="140"/>
      <c r="E554" s="140"/>
      <c r="F554" s="140"/>
      <c r="G554" s="140"/>
    </row>
    <row r="555" ht="22.5" customHeight="1">
      <c r="A555" s="140"/>
      <c r="B555" s="140"/>
      <c r="C555" s="140"/>
      <c r="D555" s="140"/>
      <c r="E555" s="140"/>
      <c r="F555" s="140"/>
      <c r="G555" s="140"/>
    </row>
    <row r="556" ht="22.5" customHeight="1">
      <c r="A556" s="140"/>
      <c r="B556" s="140"/>
      <c r="C556" s="140"/>
      <c r="D556" s="140"/>
      <c r="E556" s="140"/>
      <c r="F556" s="140"/>
      <c r="G556" s="140"/>
    </row>
    <row r="557" ht="22.5" customHeight="1">
      <c r="A557" s="140"/>
      <c r="B557" s="140"/>
      <c r="C557" s="140"/>
      <c r="D557" s="140"/>
      <c r="E557" s="140"/>
      <c r="F557" s="140"/>
      <c r="G557" s="140"/>
    </row>
    <row r="558" ht="22.5" customHeight="1">
      <c r="A558" s="140"/>
      <c r="B558" s="140"/>
      <c r="C558" s="140"/>
      <c r="D558" s="140"/>
      <c r="E558" s="140"/>
      <c r="F558" s="140"/>
      <c r="G558" s="140"/>
    </row>
    <row r="559" ht="22.5" customHeight="1">
      <c r="A559" s="140"/>
      <c r="B559" s="140"/>
      <c r="C559" s="140"/>
      <c r="D559" s="140"/>
      <c r="E559" s="140"/>
      <c r="F559" s="140"/>
      <c r="G559" s="140"/>
    </row>
    <row r="560" ht="22.5" customHeight="1">
      <c r="A560" s="140"/>
      <c r="B560" s="140"/>
      <c r="C560" s="140"/>
      <c r="D560" s="140"/>
      <c r="E560" s="140"/>
      <c r="F560" s="140"/>
      <c r="G560" s="140"/>
    </row>
    <row r="561" ht="22.5" customHeight="1">
      <c r="A561" s="140"/>
      <c r="B561" s="140"/>
      <c r="C561" s="140"/>
      <c r="D561" s="140"/>
      <c r="E561" s="140"/>
      <c r="F561" s="140"/>
      <c r="G561" s="140"/>
    </row>
    <row r="562" ht="22.5" customHeight="1">
      <c r="A562" s="140"/>
      <c r="B562" s="140"/>
      <c r="C562" s="140"/>
      <c r="D562" s="140"/>
      <c r="E562" s="140"/>
      <c r="F562" s="140"/>
      <c r="G562" s="140"/>
    </row>
    <row r="563" ht="22.5" customHeight="1">
      <c r="A563" s="140"/>
      <c r="B563" s="140"/>
      <c r="C563" s="140"/>
      <c r="D563" s="140"/>
      <c r="E563" s="140"/>
      <c r="F563" s="140"/>
      <c r="G563" s="140"/>
    </row>
    <row r="564" ht="22.5" customHeight="1">
      <c r="A564" s="140"/>
      <c r="B564" s="140"/>
      <c r="C564" s="140"/>
      <c r="D564" s="140"/>
      <c r="E564" s="140"/>
      <c r="F564" s="140"/>
      <c r="G564" s="140"/>
    </row>
    <row r="565" ht="22.5" customHeight="1">
      <c r="A565" s="140"/>
      <c r="B565" s="140"/>
      <c r="C565" s="140"/>
      <c r="D565" s="140"/>
      <c r="E565" s="140"/>
      <c r="F565" s="140"/>
      <c r="G565" s="140"/>
    </row>
    <row r="566" ht="22.5" customHeight="1">
      <c r="A566" s="140"/>
      <c r="B566" s="140"/>
      <c r="C566" s="140"/>
      <c r="D566" s="140"/>
      <c r="E566" s="140"/>
      <c r="F566" s="140"/>
      <c r="G566" s="140"/>
    </row>
    <row r="567" ht="22.5" customHeight="1">
      <c r="A567" s="140"/>
      <c r="B567" s="140"/>
      <c r="C567" s="140"/>
      <c r="D567" s="140"/>
      <c r="E567" s="140"/>
      <c r="F567" s="140"/>
      <c r="G567" s="140"/>
    </row>
    <row r="568" ht="22.5" customHeight="1">
      <c r="A568" s="140"/>
      <c r="B568" s="140"/>
      <c r="C568" s="140"/>
      <c r="D568" s="140"/>
      <c r="E568" s="140"/>
      <c r="F568" s="140"/>
      <c r="G568" s="140"/>
    </row>
    <row r="569" ht="22.5" customHeight="1">
      <c r="A569" s="140"/>
      <c r="B569" s="140"/>
      <c r="C569" s="140"/>
      <c r="D569" s="140"/>
      <c r="E569" s="140"/>
      <c r="F569" s="140"/>
      <c r="G569" s="140"/>
    </row>
    <row r="570" ht="22.5" customHeight="1">
      <c r="A570" s="140"/>
      <c r="B570" s="140"/>
      <c r="C570" s="140"/>
      <c r="D570" s="140"/>
      <c r="E570" s="140"/>
      <c r="F570" s="140"/>
      <c r="G570" s="140"/>
    </row>
    <row r="571" ht="22.5" customHeight="1">
      <c r="A571" s="140"/>
      <c r="B571" s="140"/>
      <c r="C571" s="140"/>
      <c r="D571" s="140"/>
      <c r="E571" s="140"/>
      <c r="F571" s="140"/>
      <c r="G571" s="140"/>
    </row>
    <row r="572" ht="22.5" customHeight="1">
      <c r="A572" s="140"/>
      <c r="B572" s="140"/>
      <c r="C572" s="140"/>
      <c r="D572" s="140"/>
      <c r="E572" s="140"/>
      <c r="F572" s="140"/>
      <c r="G572" s="140"/>
    </row>
    <row r="573" ht="22.5" customHeight="1">
      <c r="A573" s="140"/>
      <c r="B573" s="140"/>
      <c r="C573" s="140"/>
      <c r="D573" s="140"/>
      <c r="E573" s="140"/>
      <c r="F573" s="140"/>
      <c r="G573" s="140"/>
    </row>
    <row r="574" ht="22.5" customHeight="1">
      <c r="A574" s="140"/>
      <c r="B574" s="140"/>
      <c r="C574" s="140"/>
      <c r="D574" s="140"/>
      <c r="E574" s="140"/>
      <c r="F574" s="140"/>
      <c r="G574" s="140"/>
    </row>
    <row r="575" ht="22.5" customHeight="1">
      <c r="A575" s="140"/>
      <c r="B575" s="140"/>
      <c r="C575" s="140"/>
      <c r="D575" s="140"/>
      <c r="E575" s="140"/>
      <c r="F575" s="140"/>
      <c r="G575" s="140"/>
    </row>
    <row r="576" ht="22.5" customHeight="1">
      <c r="A576" s="140"/>
      <c r="B576" s="140"/>
      <c r="C576" s="140"/>
      <c r="D576" s="140"/>
      <c r="E576" s="140"/>
      <c r="F576" s="140"/>
      <c r="G576" s="140"/>
    </row>
    <row r="577" ht="22.5" customHeight="1">
      <c r="A577" s="140"/>
      <c r="B577" s="140"/>
      <c r="C577" s="140"/>
      <c r="D577" s="140"/>
      <c r="E577" s="140"/>
      <c r="F577" s="140"/>
      <c r="G577" s="140"/>
    </row>
    <row r="578" ht="22.5" customHeight="1">
      <c r="A578" s="140"/>
      <c r="B578" s="140"/>
      <c r="C578" s="140"/>
      <c r="D578" s="140"/>
      <c r="E578" s="140"/>
      <c r="F578" s="140"/>
      <c r="G578" s="140"/>
    </row>
    <row r="579" ht="22.5" customHeight="1">
      <c r="A579" s="140"/>
      <c r="B579" s="140"/>
      <c r="C579" s="140"/>
      <c r="D579" s="140"/>
      <c r="E579" s="140"/>
      <c r="F579" s="140"/>
      <c r="G579" s="140"/>
    </row>
    <row r="580" ht="22.5" customHeight="1">
      <c r="A580" s="140"/>
      <c r="B580" s="140"/>
      <c r="C580" s="140"/>
      <c r="D580" s="140"/>
      <c r="E580" s="140"/>
      <c r="F580" s="140"/>
      <c r="G580" s="140"/>
    </row>
    <row r="581" ht="22.5" customHeight="1">
      <c r="A581" s="140"/>
      <c r="B581" s="140"/>
      <c r="C581" s="140"/>
      <c r="D581" s="140"/>
      <c r="E581" s="140"/>
      <c r="F581" s="140"/>
      <c r="G581" s="140"/>
    </row>
    <row r="582" ht="22.5" customHeight="1">
      <c r="A582" s="140"/>
      <c r="B582" s="140"/>
      <c r="C582" s="140"/>
      <c r="D582" s="140"/>
      <c r="E582" s="140"/>
      <c r="F582" s="140"/>
      <c r="G582" s="140"/>
    </row>
    <row r="583" ht="22.5" customHeight="1">
      <c r="A583" s="140"/>
      <c r="B583" s="140"/>
      <c r="C583" s="140"/>
      <c r="D583" s="140"/>
      <c r="E583" s="140"/>
      <c r="F583" s="140"/>
      <c r="G583" s="140"/>
    </row>
    <row r="584" ht="22.5" customHeight="1">
      <c r="A584" s="140"/>
      <c r="B584" s="140"/>
      <c r="C584" s="140"/>
      <c r="D584" s="140"/>
      <c r="E584" s="140"/>
      <c r="F584" s="140"/>
      <c r="G584" s="140"/>
    </row>
    <row r="585" ht="22.5" customHeight="1">
      <c r="A585" s="140"/>
      <c r="B585" s="140"/>
      <c r="C585" s="140"/>
      <c r="D585" s="140"/>
      <c r="E585" s="140"/>
      <c r="F585" s="140"/>
      <c r="G585" s="140"/>
    </row>
    <row r="586" ht="22.5" customHeight="1">
      <c r="A586" s="140"/>
      <c r="B586" s="140"/>
      <c r="C586" s="140"/>
      <c r="D586" s="140"/>
      <c r="E586" s="140"/>
      <c r="F586" s="140"/>
      <c r="G586" s="140"/>
    </row>
    <row r="587" ht="22.5" customHeight="1">
      <c r="A587" s="140"/>
      <c r="B587" s="140"/>
      <c r="C587" s="140"/>
      <c r="D587" s="140"/>
      <c r="E587" s="140"/>
      <c r="F587" s="140"/>
      <c r="G587" s="140"/>
    </row>
    <row r="588" ht="22.5" customHeight="1">
      <c r="A588" s="140"/>
      <c r="B588" s="140"/>
      <c r="C588" s="140"/>
      <c r="D588" s="140"/>
      <c r="E588" s="140"/>
      <c r="F588" s="140"/>
      <c r="G588" s="140"/>
    </row>
    <row r="589" ht="22.5" customHeight="1">
      <c r="A589" s="140"/>
      <c r="B589" s="140"/>
      <c r="C589" s="140"/>
      <c r="D589" s="140"/>
      <c r="E589" s="140"/>
      <c r="F589" s="140"/>
      <c r="G589" s="140"/>
    </row>
    <row r="590" ht="22.5" customHeight="1">
      <c r="A590" s="140"/>
      <c r="B590" s="140"/>
      <c r="C590" s="140"/>
      <c r="D590" s="140"/>
      <c r="E590" s="140"/>
      <c r="F590" s="140"/>
      <c r="G590" s="140"/>
    </row>
    <row r="591" ht="22.5" customHeight="1">
      <c r="A591" s="140"/>
      <c r="B591" s="140"/>
      <c r="C591" s="140"/>
      <c r="D591" s="140"/>
      <c r="E591" s="140"/>
      <c r="F591" s="140"/>
      <c r="G591" s="140"/>
    </row>
    <row r="592" ht="22.5" customHeight="1">
      <c r="A592" s="140"/>
      <c r="B592" s="140"/>
      <c r="C592" s="140"/>
      <c r="D592" s="140"/>
      <c r="E592" s="140"/>
      <c r="F592" s="140"/>
      <c r="G592" s="140"/>
    </row>
    <row r="593" ht="22.5" customHeight="1">
      <c r="A593" s="140"/>
      <c r="B593" s="140"/>
      <c r="C593" s="140"/>
      <c r="D593" s="140"/>
      <c r="E593" s="140"/>
      <c r="F593" s="140"/>
      <c r="G593" s="140"/>
    </row>
    <row r="594" ht="22.5" customHeight="1">
      <c r="A594" s="140"/>
      <c r="B594" s="140"/>
      <c r="C594" s="140"/>
      <c r="D594" s="140"/>
      <c r="E594" s="140"/>
      <c r="F594" s="140"/>
      <c r="G594" s="140"/>
    </row>
    <row r="595" ht="22.5" customHeight="1">
      <c r="A595" s="140"/>
      <c r="B595" s="140"/>
      <c r="C595" s="140"/>
      <c r="D595" s="140"/>
      <c r="E595" s="140"/>
      <c r="F595" s="140"/>
      <c r="G595" s="140"/>
    </row>
    <row r="596" ht="22.5" customHeight="1">
      <c r="A596" s="140"/>
      <c r="B596" s="140"/>
      <c r="C596" s="140"/>
      <c r="D596" s="140"/>
      <c r="E596" s="140"/>
      <c r="F596" s="140"/>
      <c r="G596" s="140"/>
    </row>
    <row r="597" ht="22.5" customHeight="1">
      <c r="A597" s="140"/>
      <c r="B597" s="140"/>
      <c r="C597" s="140"/>
      <c r="D597" s="140"/>
      <c r="E597" s="140"/>
      <c r="F597" s="140"/>
      <c r="G597" s="140"/>
    </row>
    <row r="598" ht="22.5" customHeight="1">
      <c r="A598" s="140"/>
      <c r="B598" s="140"/>
      <c r="C598" s="140"/>
      <c r="D598" s="140"/>
      <c r="E598" s="140"/>
      <c r="F598" s="140"/>
      <c r="G598" s="140"/>
    </row>
    <row r="599" ht="22.5" customHeight="1">
      <c r="A599" s="140"/>
      <c r="B599" s="140"/>
      <c r="C599" s="140"/>
      <c r="D599" s="140"/>
      <c r="E599" s="140"/>
      <c r="F599" s="140"/>
      <c r="G599" s="140"/>
    </row>
    <row r="600" ht="22.5" customHeight="1">
      <c r="A600" s="140"/>
      <c r="B600" s="140"/>
      <c r="C600" s="140"/>
      <c r="D600" s="140"/>
      <c r="E600" s="140"/>
      <c r="F600" s="140"/>
      <c r="G600" s="140"/>
    </row>
    <row r="601" ht="22.5" customHeight="1">
      <c r="A601" s="140"/>
      <c r="B601" s="140"/>
      <c r="C601" s="140"/>
      <c r="D601" s="140"/>
      <c r="E601" s="140"/>
      <c r="F601" s="140"/>
      <c r="G601" s="140"/>
    </row>
    <row r="602" ht="22.5" customHeight="1">
      <c r="A602" s="140"/>
      <c r="B602" s="140"/>
      <c r="C602" s="140"/>
      <c r="D602" s="140"/>
      <c r="E602" s="140"/>
      <c r="F602" s="140"/>
      <c r="G602" s="140"/>
    </row>
    <row r="603" ht="22.5" customHeight="1">
      <c r="A603" s="140"/>
      <c r="B603" s="140"/>
      <c r="C603" s="140"/>
      <c r="D603" s="140"/>
      <c r="E603" s="140"/>
      <c r="F603" s="140"/>
      <c r="G603" s="140"/>
    </row>
    <row r="604" ht="22.5" customHeight="1">
      <c r="A604" s="140"/>
      <c r="B604" s="140"/>
      <c r="C604" s="140"/>
      <c r="D604" s="140"/>
      <c r="E604" s="140"/>
      <c r="F604" s="140"/>
      <c r="G604" s="140"/>
    </row>
    <row r="605" ht="22.5" customHeight="1">
      <c r="A605" s="140"/>
      <c r="B605" s="140"/>
      <c r="C605" s="140"/>
      <c r="D605" s="140"/>
      <c r="E605" s="140"/>
      <c r="F605" s="140"/>
      <c r="G605" s="140"/>
    </row>
    <row r="606" ht="22.5" customHeight="1">
      <c r="A606" s="140"/>
      <c r="B606" s="140"/>
      <c r="C606" s="140"/>
      <c r="D606" s="140"/>
      <c r="E606" s="140"/>
      <c r="F606" s="140"/>
      <c r="G606" s="140"/>
    </row>
    <row r="607" ht="22.5" customHeight="1">
      <c r="A607" s="140"/>
      <c r="B607" s="140"/>
      <c r="C607" s="140"/>
      <c r="D607" s="140"/>
      <c r="E607" s="140"/>
      <c r="F607" s="140"/>
      <c r="G607" s="140"/>
    </row>
    <row r="608" ht="22.5" customHeight="1">
      <c r="A608" s="140"/>
      <c r="B608" s="140"/>
      <c r="C608" s="140"/>
      <c r="D608" s="140"/>
      <c r="E608" s="140"/>
      <c r="F608" s="140"/>
      <c r="G608" s="140"/>
    </row>
    <row r="609" ht="22.5" customHeight="1">
      <c r="A609" s="140"/>
      <c r="B609" s="140"/>
      <c r="C609" s="140"/>
      <c r="D609" s="140"/>
      <c r="E609" s="140"/>
      <c r="F609" s="140"/>
      <c r="G609" s="140"/>
    </row>
    <row r="610" ht="22.5" customHeight="1">
      <c r="A610" s="140"/>
      <c r="B610" s="140"/>
      <c r="C610" s="140"/>
      <c r="D610" s="140"/>
      <c r="E610" s="140"/>
      <c r="F610" s="140"/>
      <c r="G610" s="140"/>
    </row>
    <row r="611" ht="22.5" customHeight="1">
      <c r="A611" s="140"/>
      <c r="B611" s="140"/>
      <c r="C611" s="140"/>
      <c r="D611" s="140"/>
      <c r="E611" s="140"/>
      <c r="F611" s="140"/>
      <c r="G611" s="140"/>
    </row>
    <row r="612" ht="22.5" customHeight="1">
      <c r="A612" s="140"/>
      <c r="B612" s="140"/>
      <c r="C612" s="140"/>
      <c r="D612" s="140"/>
      <c r="E612" s="140"/>
      <c r="F612" s="140"/>
      <c r="G612" s="140"/>
    </row>
    <row r="613" ht="22.5" customHeight="1">
      <c r="A613" s="140"/>
      <c r="B613" s="140"/>
      <c r="C613" s="140"/>
      <c r="D613" s="140"/>
      <c r="E613" s="140"/>
      <c r="F613" s="140"/>
      <c r="G613" s="140"/>
    </row>
    <row r="614" ht="22.5" customHeight="1">
      <c r="A614" s="140"/>
      <c r="B614" s="140"/>
      <c r="C614" s="140"/>
      <c r="D614" s="140"/>
      <c r="E614" s="140"/>
      <c r="F614" s="140"/>
      <c r="G614" s="140"/>
    </row>
    <row r="615" ht="22.5" customHeight="1">
      <c r="A615" s="140"/>
      <c r="B615" s="140"/>
      <c r="C615" s="140"/>
      <c r="D615" s="140"/>
      <c r="E615" s="140"/>
      <c r="F615" s="140"/>
      <c r="G615" s="140"/>
    </row>
    <row r="616" ht="22.5" customHeight="1">
      <c r="A616" s="140"/>
      <c r="B616" s="140"/>
      <c r="C616" s="140"/>
      <c r="D616" s="140"/>
      <c r="E616" s="140"/>
      <c r="F616" s="140"/>
      <c r="G616" s="140"/>
    </row>
    <row r="617" ht="22.5" customHeight="1">
      <c r="A617" s="140"/>
      <c r="B617" s="140"/>
      <c r="C617" s="140"/>
      <c r="D617" s="140"/>
      <c r="E617" s="140"/>
      <c r="F617" s="140"/>
      <c r="G617" s="140"/>
    </row>
    <row r="618" ht="22.5" customHeight="1">
      <c r="A618" s="140"/>
      <c r="B618" s="140"/>
      <c r="C618" s="140"/>
      <c r="D618" s="140"/>
      <c r="E618" s="140"/>
      <c r="F618" s="140"/>
      <c r="G618" s="140"/>
    </row>
    <row r="619" ht="22.5" customHeight="1">
      <c r="A619" s="140"/>
      <c r="B619" s="140"/>
      <c r="C619" s="140"/>
      <c r="D619" s="140"/>
      <c r="E619" s="140"/>
      <c r="F619" s="140"/>
      <c r="G619" s="140"/>
    </row>
    <row r="620" ht="22.5" customHeight="1">
      <c r="A620" s="140"/>
      <c r="B620" s="140"/>
      <c r="C620" s="140"/>
      <c r="D620" s="140"/>
      <c r="E620" s="140"/>
      <c r="F620" s="140"/>
      <c r="G620" s="140"/>
    </row>
    <row r="621" ht="22.5" customHeight="1">
      <c r="A621" s="140"/>
      <c r="B621" s="140"/>
      <c r="C621" s="140"/>
      <c r="D621" s="140"/>
      <c r="E621" s="140"/>
      <c r="F621" s="140"/>
      <c r="G621" s="140"/>
    </row>
    <row r="622" ht="22.5" customHeight="1">
      <c r="A622" s="140"/>
      <c r="B622" s="140"/>
      <c r="C622" s="140"/>
      <c r="D622" s="140"/>
      <c r="E622" s="140"/>
      <c r="F622" s="140"/>
      <c r="G622" s="140"/>
    </row>
    <row r="623" ht="22.5" customHeight="1">
      <c r="A623" s="140"/>
      <c r="B623" s="140"/>
      <c r="C623" s="140"/>
      <c r="D623" s="140"/>
      <c r="E623" s="140"/>
      <c r="F623" s="140"/>
      <c r="G623" s="140"/>
    </row>
    <row r="624" ht="22.5" customHeight="1">
      <c r="A624" s="140"/>
      <c r="B624" s="140"/>
      <c r="C624" s="140"/>
      <c r="D624" s="140"/>
      <c r="E624" s="140"/>
      <c r="F624" s="140"/>
      <c r="G624" s="140"/>
    </row>
    <row r="625" ht="22.5" customHeight="1">
      <c r="A625" s="140"/>
      <c r="B625" s="140"/>
      <c r="C625" s="140"/>
      <c r="D625" s="140"/>
      <c r="E625" s="140"/>
      <c r="F625" s="140"/>
      <c r="G625" s="140"/>
    </row>
    <row r="626" ht="22.5" customHeight="1">
      <c r="A626" s="140"/>
      <c r="B626" s="140"/>
      <c r="C626" s="140"/>
      <c r="D626" s="140"/>
      <c r="E626" s="140"/>
      <c r="F626" s="140"/>
      <c r="G626" s="140"/>
    </row>
    <row r="627" ht="22.5" customHeight="1">
      <c r="A627" s="140"/>
      <c r="B627" s="140"/>
      <c r="C627" s="140"/>
      <c r="D627" s="140"/>
      <c r="E627" s="140"/>
      <c r="F627" s="140"/>
      <c r="G627" s="140"/>
    </row>
    <row r="628" ht="22.5" customHeight="1">
      <c r="A628" s="140"/>
      <c r="B628" s="140"/>
      <c r="C628" s="140"/>
      <c r="D628" s="140"/>
      <c r="E628" s="140"/>
      <c r="F628" s="140"/>
      <c r="G628" s="140"/>
    </row>
    <row r="629" ht="22.5" customHeight="1">
      <c r="A629" s="140"/>
      <c r="B629" s="140"/>
      <c r="C629" s="140"/>
      <c r="D629" s="140"/>
      <c r="E629" s="140"/>
      <c r="F629" s="140"/>
      <c r="G629" s="140"/>
    </row>
    <row r="630" ht="22.5" customHeight="1">
      <c r="A630" s="140"/>
      <c r="B630" s="140"/>
      <c r="C630" s="140"/>
      <c r="D630" s="140"/>
      <c r="E630" s="140"/>
      <c r="F630" s="140"/>
      <c r="G630" s="140"/>
    </row>
    <row r="631" ht="22.5" customHeight="1">
      <c r="A631" s="140"/>
      <c r="B631" s="140"/>
      <c r="C631" s="140"/>
      <c r="D631" s="140"/>
      <c r="E631" s="140"/>
      <c r="F631" s="140"/>
      <c r="G631" s="140"/>
    </row>
    <row r="632" ht="22.5" customHeight="1">
      <c r="A632" s="140"/>
      <c r="B632" s="140"/>
      <c r="C632" s="140"/>
      <c r="D632" s="140"/>
      <c r="E632" s="140"/>
      <c r="F632" s="140"/>
      <c r="G632" s="140"/>
    </row>
    <row r="633" ht="22.5" customHeight="1">
      <c r="A633" s="140"/>
      <c r="B633" s="140"/>
      <c r="C633" s="140"/>
      <c r="D633" s="140"/>
      <c r="E633" s="140"/>
      <c r="F633" s="140"/>
      <c r="G633" s="140"/>
    </row>
    <row r="634" ht="22.5" customHeight="1">
      <c r="A634" s="140"/>
      <c r="B634" s="140"/>
      <c r="C634" s="140"/>
      <c r="D634" s="140"/>
      <c r="E634" s="140"/>
      <c r="F634" s="140"/>
      <c r="G634" s="140"/>
    </row>
    <row r="635" ht="22.5" customHeight="1">
      <c r="A635" s="140"/>
      <c r="B635" s="140"/>
      <c r="C635" s="140"/>
      <c r="D635" s="140"/>
      <c r="E635" s="140"/>
      <c r="F635" s="140"/>
      <c r="G635" s="140"/>
    </row>
    <row r="636" ht="22.5" customHeight="1">
      <c r="A636" s="140"/>
      <c r="B636" s="140"/>
      <c r="C636" s="140"/>
      <c r="D636" s="140"/>
      <c r="E636" s="140"/>
      <c r="F636" s="140"/>
      <c r="G636" s="140"/>
    </row>
    <row r="637" ht="22.5" customHeight="1">
      <c r="A637" s="140"/>
      <c r="B637" s="140"/>
      <c r="C637" s="140"/>
      <c r="D637" s="140"/>
      <c r="E637" s="140"/>
      <c r="F637" s="140"/>
      <c r="G637" s="140"/>
    </row>
    <row r="638" ht="22.5" customHeight="1">
      <c r="A638" s="140"/>
      <c r="B638" s="140"/>
      <c r="C638" s="140"/>
      <c r="D638" s="140"/>
      <c r="E638" s="140"/>
      <c r="F638" s="140"/>
      <c r="G638" s="140"/>
    </row>
    <row r="639" ht="22.5" customHeight="1">
      <c r="A639" s="140"/>
      <c r="B639" s="140"/>
      <c r="C639" s="140"/>
      <c r="D639" s="140"/>
      <c r="E639" s="140"/>
      <c r="F639" s="140"/>
      <c r="G639" s="140"/>
    </row>
    <row r="640" ht="22.5" customHeight="1">
      <c r="A640" s="140"/>
      <c r="B640" s="140"/>
      <c r="C640" s="140"/>
      <c r="D640" s="140"/>
      <c r="E640" s="140"/>
      <c r="F640" s="140"/>
      <c r="G640" s="140"/>
    </row>
    <row r="641" ht="22.5" customHeight="1">
      <c r="A641" s="140"/>
      <c r="B641" s="140"/>
      <c r="C641" s="140"/>
      <c r="D641" s="140"/>
      <c r="E641" s="140"/>
      <c r="F641" s="140"/>
      <c r="G641" s="140"/>
    </row>
    <row r="642" ht="22.5" customHeight="1">
      <c r="A642" s="140"/>
      <c r="B642" s="140"/>
      <c r="C642" s="140"/>
      <c r="D642" s="140"/>
      <c r="E642" s="140"/>
      <c r="F642" s="140"/>
      <c r="G642" s="140"/>
    </row>
    <row r="643" ht="22.5" customHeight="1">
      <c r="A643" s="140"/>
      <c r="B643" s="140"/>
      <c r="C643" s="140"/>
      <c r="D643" s="140"/>
      <c r="E643" s="140"/>
      <c r="F643" s="140"/>
      <c r="G643" s="140"/>
    </row>
    <row r="644" ht="22.5" customHeight="1">
      <c r="A644" s="140"/>
      <c r="B644" s="140"/>
      <c r="C644" s="140"/>
      <c r="D644" s="140"/>
      <c r="E644" s="140"/>
      <c r="F644" s="140"/>
      <c r="G644" s="140"/>
    </row>
    <row r="645" ht="22.5" customHeight="1">
      <c r="A645" s="140"/>
      <c r="B645" s="140"/>
      <c r="C645" s="140"/>
      <c r="D645" s="140"/>
      <c r="E645" s="140"/>
      <c r="F645" s="140"/>
      <c r="G645" s="140"/>
    </row>
    <row r="646" ht="22.5" customHeight="1">
      <c r="A646" s="140"/>
      <c r="B646" s="140"/>
      <c r="C646" s="140"/>
      <c r="D646" s="140"/>
      <c r="E646" s="140"/>
      <c r="F646" s="140"/>
      <c r="G646" s="140"/>
    </row>
    <row r="647" ht="22.5" customHeight="1">
      <c r="A647" s="140"/>
      <c r="B647" s="140"/>
      <c r="C647" s="140"/>
      <c r="D647" s="140"/>
      <c r="E647" s="140"/>
      <c r="F647" s="140"/>
      <c r="G647" s="140"/>
    </row>
    <row r="648" ht="22.5" customHeight="1">
      <c r="A648" s="140"/>
      <c r="B648" s="140"/>
      <c r="C648" s="140"/>
      <c r="D648" s="140"/>
      <c r="E648" s="140"/>
      <c r="F648" s="140"/>
      <c r="G648" s="140"/>
    </row>
    <row r="649" ht="22.5" customHeight="1">
      <c r="A649" s="140"/>
      <c r="B649" s="140"/>
      <c r="C649" s="140"/>
      <c r="D649" s="140"/>
      <c r="E649" s="140"/>
      <c r="F649" s="140"/>
      <c r="G649" s="140"/>
    </row>
    <row r="650" ht="22.5" customHeight="1">
      <c r="A650" s="140"/>
      <c r="B650" s="140"/>
      <c r="C650" s="140"/>
      <c r="D650" s="140"/>
      <c r="E650" s="140"/>
      <c r="F650" s="140"/>
      <c r="G650" s="140"/>
    </row>
    <row r="651" ht="22.5" customHeight="1">
      <c r="A651" s="140"/>
      <c r="B651" s="140"/>
      <c r="C651" s="140"/>
      <c r="D651" s="140"/>
      <c r="E651" s="140"/>
      <c r="F651" s="140"/>
      <c r="G651" s="140"/>
    </row>
    <row r="652" ht="22.5" customHeight="1">
      <c r="A652" s="140"/>
      <c r="B652" s="140"/>
      <c r="C652" s="140"/>
      <c r="D652" s="140"/>
      <c r="E652" s="140"/>
      <c r="F652" s="140"/>
      <c r="G652" s="140"/>
    </row>
    <row r="653" ht="22.5" customHeight="1">
      <c r="A653" s="140"/>
      <c r="B653" s="140"/>
      <c r="C653" s="140"/>
      <c r="D653" s="140"/>
      <c r="E653" s="140"/>
      <c r="F653" s="140"/>
      <c r="G653" s="140"/>
    </row>
    <row r="654" ht="22.5" customHeight="1">
      <c r="A654" s="140"/>
      <c r="B654" s="140"/>
      <c r="C654" s="140"/>
      <c r="D654" s="140"/>
      <c r="E654" s="140"/>
      <c r="F654" s="140"/>
      <c r="G654" s="140"/>
    </row>
    <row r="655" ht="22.5" customHeight="1">
      <c r="A655" s="140"/>
      <c r="B655" s="140"/>
      <c r="C655" s="140"/>
      <c r="D655" s="140"/>
      <c r="E655" s="140"/>
      <c r="F655" s="140"/>
      <c r="G655" s="140"/>
    </row>
    <row r="656" ht="22.5" customHeight="1">
      <c r="A656" s="140"/>
      <c r="B656" s="140"/>
      <c r="C656" s="140"/>
      <c r="D656" s="140"/>
      <c r="E656" s="140"/>
      <c r="F656" s="140"/>
      <c r="G656" s="140"/>
    </row>
    <row r="657" ht="22.5" customHeight="1">
      <c r="A657" s="140"/>
      <c r="B657" s="140"/>
      <c r="C657" s="140"/>
      <c r="D657" s="140"/>
      <c r="E657" s="140"/>
      <c r="F657" s="140"/>
      <c r="G657" s="140"/>
    </row>
    <row r="658" ht="22.5" customHeight="1">
      <c r="A658" s="140"/>
      <c r="B658" s="140"/>
      <c r="C658" s="140"/>
      <c r="D658" s="140"/>
      <c r="E658" s="140"/>
      <c r="F658" s="140"/>
      <c r="G658" s="140"/>
    </row>
    <row r="659" ht="22.5" customHeight="1">
      <c r="A659" s="140"/>
      <c r="B659" s="140"/>
      <c r="C659" s="140"/>
      <c r="D659" s="140"/>
      <c r="E659" s="140"/>
      <c r="F659" s="140"/>
      <c r="G659" s="140"/>
    </row>
    <row r="660" ht="22.5" customHeight="1">
      <c r="A660" s="140"/>
      <c r="B660" s="140"/>
      <c r="C660" s="140"/>
      <c r="D660" s="140"/>
      <c r="E660" s="140"/>
      <c r="F660" s="140"/>
      <c r="G660" s="140"/>
    </row>
    <row r="661" ht="22.5" customHeight="1">
      <c r="A661" s="140"/>
      <c r="B661" s="140"/>
      <c r="C661" s="140"/>
      <c r="D661" s="140"/>
      <c r="E661" s="140"/>
      <c r="F661" s="140"/>
      <c r="G661" s="140"/>
    </row>
    <row r="662" ht="22.5" customHeight="1">
      <c r="A662" s="140"/>
      <c r="B662" s="140"/>
      <c r="C662" s="140"/>
      <c r="D662" s="140"/>
      <c r="E662" s="140"/>
      <c r="F662" s="140"/>
      <c r="G662" s="140"/>
    </row>
    <row r="663" ht="22.5" customHeight="1">
      <c r="A663" s="140"/>
      <c r="B663" s="140"/>
      <c r="C663" s="140"/>
      <c r="D663" s="140"/>
      <c r="E663" s="140"/>
      <c r="F663" s="140"/>
      <c r="G663" s="140"/>
    </row>
    <row r="664" ht="22.5" customHeight="1">
      <c r="A664" s="140"/>
      <c r="B664" s="140"/>
      <c r="C664" s="140"/>
      <c r="D664" s="140"/>
      <c r="E664" s="140"/>
      <c r="F664" s="140"/>
      <c r="G664" s="140"/>
    </row>
    <row r="665" ht="22.5" customHeight="1">
      <c r="A665" s="140"/>
      <c r="B665" s="140"/>
      <c r="C665" s="140"/>
      <c r="D665" s="140"/>
      <c r="E665" s="140"/>
      <c r="F665" s="140"/>
      <c r="G665" s="140"/>
    </row>
    <row r="666" ht="22.5" customHeight="1">
      <c r="A666" s="140"/>
      <c r="B666" s="140"/>
      <c r="C666" s="140"/>
      <c r="D666" s="140"/>
      <c r="E666" s="140"/>
      <c r="F666" s="140"/>
      <c r="G666" s="140"/>
    </row>
    <row r="667" ht="22.5" customHeight="1">
      <c r="A667" s="140"/>
      <c r="B667" s="140"/>
      <c r="C667" s="140"/>
      <c r="D667" s="140"/>
      <c r="E667" s="140"/>
      <c r="F667" s="140"/>
      <c r="G667" s="140"/>
    </row>
    <row r="668" ht="22.5" customHeight="1">
      <c r="A668" s="140"/>
      <c r="B668" s="140"/>
      <c r="C668" s="140"/>
      <c r="D668" s="140"/>
      <c r="E668" s="140"/>
      <c r="F668" s="140"/>
      <c r="G668" s="140"/>
    </row>
    <row r="669" ht="22.5" customHeight="1">
      <c r="A669" s="140"/>
      <c r="B669" s="140"/>
      <c r="C669" s="140"/>
      <c r="D669" s="140"/>
      <c r="E669" s="140"/>
      <c r="F669" s="140"/>
      <c r="G669" s="140"/>
    </row>
    <row r="670" ht="22.5" customHeight="1">
      <c r="A670" s="140"/>
      <c r="B670" s="140"/>
      <c r="C670" s="140"/>
      <c r="D670" s="140"/>
      <c r="E670" s="140"/>
      <c r="F670" s="140"/>
      <c r="G670" s="140"/>
    </row>
    <row r="671" ht="22.5" customHeight="1">
      <c r="A671" s="140"/>
      <c r="B671" s="140"/>
      <c r="C671" s="140"/>
      <c r="D671" s="140"/>
      <c r="E671" s="140"/>
      <c r="F671" s="140"/>
      <c r="G671" s="140"/>
    </row>
    <row r="672" ht="22.5" customHeight="1">
      <c r="A672" s="140"/>
      <c r="B672" s="140"/>
      <c r="C672" s="140"/>
      <c r="D672" s="140"/>
      <c r="E672" s="140"/>
      <c r="F672" s="140"/>
      <c r="G672" s="140"/>
    </row>
    <row r="673" ht="22.5" customHeight="1">
      <c r="A673" s="140"/>
      <c r="B673" s="140"/>
      <c r="C673" s="140"/>
      <c r="D673" s="140"/>
      <c r="E673" s="140"/>
      <c r="F673" s="140"/>
      <c r="G673" s="140"/>
    </row>
    <row r="674" ht="22.5" customHeight="1">
      <c r="A674" s="140"/>
      <c r="B674" s="140"/>
      <c r="C674" s="140"/>
      <c r="D674" s="140"/>
      <c r="E674" s="140"/>
      <c r="F674" s="140"/>
      <c r="G674" s="140"/>
    </row>
    <row r="675" ht="22.5" customHeight="1">
      <c r="A675" s="140"/>
      <c r="B675" s="140"/>
      <c r="C675" s="140"/>
      <c r="D675" s="140"/>
      <c r="E675" s="140"/>
      <c r="F675" s="140"/>
      <c r="G675" s="140"/>
    </row>
    <row r="676" ht="22.5" customHeight="1">
      <c r="A676" s="140"/>
      <c r="B676" s="140"/>
      <c r="C676" s="140"/>
      <c r="D676" s="140"/>
      <c r="E676" s="140"/>
      <c r="F676" s="140"/>
      <c r="G676" s="140"/>
    </row>
    <row r="677" ht="22.5" customHeight="1">
      <c r="A677" s="140"/>
      <c r="B677" s="140"/>
      <c r="C677" s="140"/>
      <c r="D677" s="140"/>
      <c r="E677" s="140"/>
      <c r="F677" s="140"/>
      <c r="G677" s="140"/>
    </row>
    <row r="678" ht="22.5" customHeight="1">
      <c r="A678" s="140"/>
      <c r="B678" s="140"/>
      <c r="C678" s="140"/>
      <c r="D678" s="140"/>
      <c r="E678" s="140"/>
      <c r="F678" s="140"/>
      <c r="G678" s="140"/>
    </row>
    <row r="679" ht="22.5" customHeight="1">
      <c r="A679" s="140"/>
      <c r="B679" s="140"/>
      <c r="C679" s="140"/>
      <c r="D679" s="140"/>
      <c r="E679" s="140"/>
      <c r="F679" s="140"/>
      <c r="G679" s="140"/>
    </row>
    <row r="680" ht="22.5" customHeight="1">
      <c r="A680" s="140"/>
      <c r="B680" s="140"/>
      <c r="C680" s="140"/>
      <c r="D680" s="140"/>
      <c r="E680" s="140"/>
      <c r="F680" s="140"/>
      <c r="G680" s="140"/>
    </row>
    <row r="681" ht="22.5" customHeight="1">
      <c r="A681" s="140"/>
      <c r="B681" s="140"/>
      <c r="C681" s="140"/>
      <c r="D681" s="140"/>
      <c r="E681" s="140"/>
      <c r="F681" s="140"/>
      <c r="G681" s="140"/>
    </row>
    <row r="682" ht="22.5" customHeight="1">
      <c r="A682" s="140"/>
      <c r="B682" s="140"/>
      <c r="C682" s="140"/>
      <c r="D682" s="140"/>
      <c r="E682" s="140"/>
      <c r="F682" s="140"/>
      <c r="G682" s="140"/>
    </row>
    <row r="683" ht="22.5" customHeight="1">
      <c r="A683" s="140"/>
      <c r="B683" s="140"/>
      <c r="C683" s="140"/>
      <c r="D683" s="140"/>
      <c r="E683" s="140"/>
      <c r="F683" s="140"/>
      <c r="G683" s="140"/>
    </row>
    <row r="684" ht="22.5" customHeight="1">
      <c r="A684" s="140"/>
      <c r="B684" s="140"/>
      <c r="C684" s="140"/>
      <c r="D684" s="140"/>
      <c r="E684" s="140"/>
      <c r="F684" s="140"/>
      <c r="G684" s="140"/>
    </row>
    <row r="685" ht="22.5" customHeight="1">
      <c r="A685" s="140"/>
      <c r="B685" s="140"/>
      <c r="C685" s="140"/>
      <c r="D685" s="140"/>
      <c r="E685" s="140"/>
      <c r="F685" s="140"/>
      <c r="G685" s="140"/>
    </row>
    <row r="686" ht="22.5" customHeight="1">
      <c r="A686" s="140"/>
      <c r="B686" s="140"/>
      <c r="C686" s="140"/>
      <c r="D686" s="140"/>
      <c r="E686" s="140"/>
      <c r="F686" s="140"/>
      <c r="G686" s="140"/>
    </row>
    <row r="687" ht="22.5" customHeight="1">
      <c r="A687" s="140"/>
      <c r="B687" s="140"/>
      <c r="C687" s="140"/>
      <c r="D687" s="140"/>
      <c r="E687" s="140"/>
      <c r="F687" s="140"/>
      <c r="G687" s="140"/>
    </row>
    <row r="688" ht="22.5" customHeight="1">
      <c r="A688" s="140"/>
      <c r="B688" s="140"/>
      <c r="C688" s="140"/>
      <c r="D688" s="140"/>
      <c r="E688" s="140"/>
      <c r="F688" s="140"/>
      <c r="G688" s="140"/>
    </row>
    <row r="689" ht="22.5" customHeight="1">
      <c r="A689" s="140"/>
      <c r="B689" s="140"/>
      <c r="C689" s="140"/>
      <c r="D689" s="140"/>
      <c r="E689" s="140"/>
      <c r="F689" s="140"/>
      <c r="G689" s="140"/>
    </row>
    <row r="690" ht="22.5" customHeight="1">
      <c r="A690" s="140"/>
      <c r="B690" s="140"/>
      <c r="C690" s="140"/>
      <c r="D690" s="140"/>
      <c r="E690" s="140"/>
      <c r="F690" s="140"/>
      <c r="G690" s="140"/>
    </row>
    <row r="691" ht="22.5" customHeight="1">
      <c r="A691" s="140"/>
      <c r="B691" s="140"/>
      <c r="C691" s="140"/>
      <c r="D691" s="140"/>
      <c r="E691" s="140"/>
      <c r="F691" s="140"/>
      <c r="G691" s="140"/>
    </row>
    <row r="692" ht="22.5" customHeight="1">
      <c r="A692" s="140"/>
      <c r="B692" s="140"/>
      <c r="C692" s="140"/>
      <c r="D692" s="140"/>
      <c r="E692" s="140"/>
      <c r="F692" s="140"/>
      <c r="G692" s="140"/>
    </row>
    <row r="693" ht="22.5" customHeight="1">
      <c r="A693" s="140"/>
      <c r="B693" s="140"/>
      <c r="C693" s="140"/>
      <c r="D693" s="140"/>
      <c r="E693" s="140"/>
      <c r="F693" s="140"/>
      <c r="G693" s="140"/>
    </row>
    <row r="694" ht="22.5" customHeight="1">
      <c r="A694" s="140"/>
      <c r="B694" s="140"/>
      <c r="C694" s="140"/>
      <c r="D694" s="140"/>
      <c r="E694" s="140"/>
      <c r="F694" s="140"/>
      <c r="G694" s="140"/>
    </row>
    <row r="695" ht="22.5" customHeight="1">
      <c r="A695" s="140"/>
      <c r="B695" s="140"/>
      <c r="C695" s="140"/>
      <c r="D695" s="140"/>
      <c r="E695" s="140"/>
      <c r="F695" s="140"/>
      <c r="G695" s="140"/>
    </row>
    <row r="696" ht="22.5" customHeight="1">
      <c r="A696" s="140"/>
      <c r="B696" s="140"/>
      <c r="C696" s="140"/>
      <c r="D696" s="140"/>
      <c r="E696" s="140"/>
      <c r="F696" s="140"/>
      <c r="G696" s="140"/>
    </row>
    <row r="697" ht="22.5" customHeight="1">
      <c r="A697" s="140"/>
      <c r="B697" s="140"/>
      <c r="C697" s="140"/>
      <c r="D697" s="140"/>
      <c r="E697" s="140"/>
      <c r="F697" s="140"/>
      <c r="G697" s="140"/>
    </row>
    <row r="698" ht="22.5" customHeight="1">
      <c r="A698" s="140"/>
      <c r="B698" s="140"/>
      <c r="C698" s="140"/>
      <c r="D698" s="140"/>
      <c r="E698" s="140"/>
      <c r="F698" s="140"/>
      <c r="G698" s="140"/>
    </row>
    <row r="699" ht="22.5" customHeight="1">
      <c r="A699" s="140"/>
      <c r="B699" s="140"/>
      <c r="C699" s="140"/>
      <c r="D699" s="140"/>
      <c r="E699" s="140"/>
      <c r="F699" s="140"/>
      <c r="G699" s="140"/>
    </row>
    <row r="700" ht="22.5" customHeight="1">
      <c r="A700" s="140"/>
      <c r="B700" s="140"/>
      <c r="C700" s="140"/>
      <c r="D700" s="140"/>
      <c r="E700" s="140"/>
      <c r="F700" s="140"/>
      <c r="G700" s="140"/>
    </row>
    <row r="701" ht="22.5" customHeight="1">
      <c r="A701" s="140"/>
      <c r="B701" s="140"/>
      <c r="C701" s="140"/>
      <c r="D701" s="140"/>
      <c r="E701" s="140"/>
      <c r="F701" s="140"/>
      <c r="G701" s="140"/>
    </row>
    <row r="702" ht="22.5" customHeight="1">
      <c r="A702" s="140"/>
      <c r="B702" s="140"/>
      <c r="C702" s="140"/>
      <c r="D702" s="140"/>
      <c r="E702" s="140"/>
      <c r="F702" s="140"/>
      <c r="G702" s="140"/>
    </row>
    <row r="703" ht="22.5" customHeight="1">
      <c r="A703" s="140"/>
      <c r="B703" s="140"/>
      <c r="C703" s="140"/>
      <c r="D703" s="140"/>
      <c r="E703" s="140"/>
      <c r="F703" s="140"/>
      <c r="G703" s="140"/>
    </row>
    <row r="704" ht="22.5" customHeight="1">
      <c r="A704" s="140"/>
      <c r="B704" s="140"/>
      <c r="C704" s="140"/>
      <c r="D704" s="140"/>
      <c r="E704" s="140"/>
      <c r="F704" s="140"/>
      <c r="G704" s="140"/>
    </row>
    <row r="705" ht="22.5" customHeight="1">
      <c r="A705" s="140"/>
      <c r="B705" s="140"/>
      <c r="C705" s="140"/>
      <c r="D705" s="140"/>
      <c r="E705" s="140"/>
      <c r="F705" s="140"/>
      <c r="G705" s="140"/>
    </row>
    <row r="706" ht="22.5" customHeight="1">
      <c r="A706" s="140"/>
      <c r="B706" s="140"/>
      <c r="C706" s="140"/>
      <c r="D706" s="140"/>
      <c r="E706" s="140"/>
      <c r="F706" s="140"/>
      <c r="G706" s="140"/>
    </row>
    <row r="707" ht="22.5" customHeight="1">
      <c r="A707" s="140"/>
      <c r="B707" s="140"/>
      <c r="C707" s="140"/>
      <c r="D707" s="140"/>
      <c r="E707" s="140"/>
      <c r="F707" s="140"/>
      <c r="G707" s="140"/>
    </row>
    <row r="708" ht="22.5" customHeight="1">
      <c r="A708" s="140"/>
      <c r="B708" s="140"/>
      <c r="C708" s="140"/>
      <c r="D708" s="140"/>
      <c r="E708" s="140"/>
      <c r="F708" s="140"/>
      <c r="G708" s="140"/>
    </row>
    <row r="709" ht="22.5" customHeight="1">
      <c r="A709" s="140"/>
      <c r="B709" s="140"/>
      <c r="C709" s="140"/>
      <c r="D709" s="140"/>
      <c r="E709" s="140"/>
      <c r="F709" s="140"/>
      <c r="G709" s="140"/>
    </row>
    <row r="710" ht="22.5" customHeight="1">
      <c r="A710" s="140"/>
      <c r="B710" s="140"/>
      <c r="C710" s="140"/>
      <c r="D710" s="140"/>
      <c r="E710" s="140"/>
      <c r="F710" s="140"/>
      <c r="G710" s="140"/>
    </row>
    <row r="711" ht="22.5" customHeight="1">
      <c r="A711" s="140"/>
      <c r="B711" s="140"/>
      <c r="C711" s="140"/>
      <c r="D711" s="140"/>
      <c r="E711" s="140"/>
      <c r="F711" s="140"/>
      <c r="G711" s="140"/>
    </row>
    <row r="712" ht="22.5" customHeight="1">
      <c r="A712" s="140"/>
      <c r="B712" s="140"/>
      <c r="C712" s="140"/>
      <c r="D712" s="140"/>
      <c r="E712" s="140"/>
      <c r="F712" s="140"/>
      <c r="G712" s="140"/>
    </row>
    <row r="713" ht="22.5" customHeight="1">
      <c r="A713" s="140"/>
      <c r="B713" s="140"/>
      <c r="C713" s="140"/>
      <c r="D713" s="140"/>
      <c r="E713" s="140"/>
      <c r="F713" s="140"/>
      <c r="G713" s="140"/>
    </row>
    <row r="714" ht="22.5" customHeight="1">
      <c r="A714" s="140"/>
      <c r="B714" s="140"/>
      <c r="C714" s="140"/>
      <c r="D714" s="140"/>
      <c r="E714" s="140"/>
      <c r="F714" s="140"/>
      <c r="G714" s="140"/>
    </row>
    <row r="715" ht="22.5" customHeight="1">
      <c r="A715" s="140"/>
      <c r="B715" s="140"/>
      <c r="C715" s="140"/>
      <c r="D715" s="140"/>
      <c r="E715" s="140"/>
      <c r="F715" s="140"/>
      <c r="G715" s="140"/>
    </row>
    <row r="716" ht="22.5" customHeight="1">
      <c r="A716" s="140"/>
      <c r="B716" s="140"/>
      <c r="C716" s="140"/>
      <c r="D716" s="140"/>
      <c r="E716" s="140"/>
      <c r="F716" s="140"/>
      <c r="G716" s="140"/>
    </row>
    <row r="717" ht="22.5" customHeight="1">
      <c r="A717" s="140"/>
      <c r="B717" s="140"/>
      <c r="C717" s="140"/>
      <c r="D717" s="140"/>
      <c r="E717" s="140"/>
      <c r="F717" s="140"/>
      <c r="G717" s="140"/>
    </row>
    <row r="718" ht="22.5" customHeight="1">
      <c r="A718" s="140"/>
      <c r="B718" s="140"/>
      <c r="C718" s="140"/>
      <c r="D718" s="140"/>
      <c r="E718" s="140"/>
      <c r="F718" s="140"/>
      <c r="G718" s="140"/>
    </row>
    <row r="719" ht="22.5" customHeight="1">
      <c r="A719" s="140"/>
      <c r="B719" s="140"/>
      <c r="C719" s="140"/>
      <c r="D719" s="140"/>
      <c r="E719" s="140"/>
      <c r="F719" s="140"/>
      <c r="G719" s="140"/>
    </row>
    <row r="720" ht="22.5" customHeight="1">
      <c r="A720" s="140"/>
      <c r="B720" s="140"/>
      <c r="C720" s="140"/>
      <c r="D720" s="140"/>
      <c r="E720" s="140"/>
      <c r="F720" s="140"/>
      <c r="G720" s="140"/>
    </row>
    <row r="721" ht="22.5" customHeight="1">
      <c r="A721" s="140"/>
      <c r="B721" s="140"/>
      <c r="C721" s="140"/>
      <c r="D721" s="140"/>
      <c r="E721" s="140"/>
      <c r="F721" s="140"/>
      <c r="G721" s="140"/>
    </row>
    <row r="722" ht="22.5" customHeight="1">
      <c r="A722" s="140"/>
      <c r="B722" s="140"/>
      <c r="C722" s="140"/>
      <c r="D722" s="140"/>
      <c r="E722" s="140"/>
      <c r="F722" s="140"/>
      <c r="G722" s="140"/>
    </row>
    <row r="723" ht="22.5" customHeight="1">
      <c r="A723" s="140"/>
      <c r="B723" s="140"/>
      <c r="C723" s="140"/>
      <c r="D723" s="140"/>
      <c r="E723" s="140"/>
      <c r="F723" s="140"/>
      <c r="G723" s="140"/>
    </row>
    <row r="724" ht="22.5" customHeight="1">
      <c r="A724" s="140"/>
      <c r="B724" s="140"/>
      <c r="C724" s="140"/>
      <c r="D724" s="140"/>
      <c r="E724" s="140"/>
      <c r="F724" s="140"/>
      <c r="G724" s="140"/>
    </row>
    <row r="725" ht="22.5" customHeight="1">
      <c r="A725" s="140"/>
      <c r="B725" s="140"/>
      <c r="C725" s="140"/>
      <c r="D725" s="140"/>
      <c r="E725" s="140"/>
      <c r="F725" s="140"/>
      <c r="G725" s="140"/>
    </row>
    <row r="726" ht="22.5" customHeight="1">
      <c r="A726" s="140"/>
      <c r="B726" s="140"/>
      <c r="C726" s="140"/>
      <c r="D726" s="140"/>
      <c r="E726" s="140"/>
      <c r="F726" s="140"/>
      <c r="G726" s="140"/>
    </row>
    <row r="727" ht="22.5" customHeight="1">
      <c r="A727" s="140"/>
      <c r="B727" s="140"/>
      <c r="C727" s="140"/>
      <c r="D727" s="140"/>
      <c r="E727" s="140"/>
      <c r="F727" s="140"/>
      <c r="G727" s="140"/>
    </row>
    <row r="728" ht="22.5" customHeight="1">
      <c r="A728" s="140"/>
      <c r="B728" s="140"/>
      <c r="C728" s="140"/>
      <c r="D728" s="140"/>
      <c r="E728" s="140"/>
      <c r="F728" s="140"/>
      <c r="G728" s="140"/>
    </row>
    <row r="729" ht="22.5" customHeight="1">
      <c r="A729" s="140"/>
      <c r="B729" s="140"/>
      <c r="C729" s="140"/>
      <c r="D729" s="140"/>
      <c r="E729" s="140"/>
      <c r="F729" s="140"/>
      <c r="G729" s="140"/>
    </row>
    <row r="730" ht="22.5" customHeight="1">
      <c r="A730" s="140"/>
      <c r="B730" s="140"/>
      <c r="C730" s="140"/>
      <c r="D730" s="140"/>
      <c r="E730" s="140"/>
      <c r="F730" s="140"/>
      <c r="G730" s="140"/>
    </row>
    <row r="731" ht="22.5" customHeight="1">
      <c r="A731" s="140"/>
      <c r="B731" s="140"/>
      <c r="C731" s="140"/>
      <c r="D731" s="140"/>
      <c r="E731" s="140"/>
      <c r="F731" s="140"/>
      <c r="G731" s="140"/>
    </row>
    <row r="732" ht="22.5" customHeight="1">
      <c r="A732" s="140"/>
      <c r="B732" s="140"/>
      <c r="C732" s="140"/>
      <c r="D732" s="140"/>
      <c r="E732" s="140"/>
      <c r="F732" s="140"/>
      <c r="G732" s="140"/>
    </row>
    <row r="733" ht="22.5" customHeight="1">
      <c r="A733" s="140"/>
      <c r="B733" s="140"/>
      <c r="C733" s="140"/>
      <c r="D733" s="140"/>
      <c r="E733" s="140"/>
      <c r="F733" s="140"/>
      <c r="G733" s="140"/>
    </row>
    <row r="734" ht="22.5" customHeight="1">
      <c r="A734" s="140"/>
      <c r="B734" s="140"/>
      <c r="C734" s="140"/>
      <c r="D734" s="140"/>
      <c r="E734" s="140"/>
      <c r="F734" s="140"/>
      <c r="G734" s="140"/>
    </row>
    <row r="735" ht="22.5" customHeight="1">
      <c r="A735" s="140"/>
      <c r="B735" s="140"/>
      <c r="C735" s="140"/>
      <c r="D735" s="140"/>
      <c r="E735" s="140"/>
      <c r="F735" s="140"/>
      <c r="G735" s="140"/>
    </row>
    <row r="736" ht="22.5" customHeight="1">
      <c r="A736" s="140"/>
      <c r="B736" s="140"/>
      <c r="C736" s="140"/>
      <c r="D736" s="140"/>
      <c r="E736" s="140"/>
      <c r="F736" s="140"/>
      <c r="G736" s="140"/>
    </row>
    <row r="737" ht="22.5" customHeight="1">
      <c r="A737" s="140"/>
      <c r="B737" s="140"/>
      <c r="C737" s="140"/>
      <c r="D737" s="140"/>
      <c r="E737" s="140"/>
      <c r="F737" s="140"/>
      <c r="G737" s="140"/>
    </row>
    <row r="738" ht="22.5" customHeight="1">
      <c r="A738" s="140"/>
      <c r="B738" s="140"/>
      <c r="C738" s="140"/>
      <c r="D738" s="140"/>
      <c r="E738" s="140"/>
      <c r="F738" s="140"/>
      <c r="G738" s="140"/>
    </row>
    <row r="739" ht="22.5" customHeight="1">
      <c r="A739" s="140"/>
      <c r="B739" s="140"/>
      <c r="C739" s="140"/>
      <c r="D739" s="140"/>
      <c r="E739" s="140"/>
      <c r="F739" s="140"/>
      <c r="G739" s="140"/>
    </row>
    <row r="740" ht="22.5" customHeight="1">
      <c r="A740" s="140"/>
      <c r="B740" s="140"/>
      <c r="C740" s="140"/>
      <c r="D740" s="140"/>
      <c r="E740" s="140"/>
      <c r="F740" s="140"/>
      <c r="G740" s="140"/>
    </row>
    <row r="741" ht="22.5" customHeight="1">
      <c r="A741" s="140"/>
      <c r="B741" s="140"/>
      <c r="C741" s="140"/>
      <c r="D741" s="140"/>
      <c r="E741" s="140"/>
      <c r="F741" s="140"/>
      <c r="G741" s="140"/>
    </row>
    <row r="742" ht="22.5" customHeight="1">
      <c r="A742" s="140"/>
      <c r="B742" s="140"/>
      <c r="C742" s="140"/>
      <c r="D742" s="140"/>
      <c r="E742" s="140"/>
      <c r="F742" s="140"/>
      <c r="G742" s="140"/>
    </row>
    <row r="743" ht="22.5" customHeight="1">
      <c r="A743" s="140"/>
      <c r="B743" s="140"/>
      <c r="C743" s="140"/>
      <c r="D743" s="140"/>
      <c r="E743" s="140"/>
      <c r="F743" s="140"/>
      <c r="G743" s="140"/>
    </row>
    <row r="744" ht="22.5" customHeight="1">
      <c r="A744" s="140"/>
      <c r="B744" s="140"/>
      <c r="C744" s="140"/>
      <c r="D744" s="140"/>
      <c r="E744" s="140"/>
      <c r="F744" s="140"/>
      <c r="G744" s="140"/>
    </row>
    <row r="745" ht="22.5" customHeight="1">
      <c r="A745" s="140"/>
      <c r="B745" s="140"/>
      <c r="C745" s="140"/>
      <c r="D745" s="140"/>
      <c r="E745" s="140"/>
      <c r="F745" s="140"/>
      <c r="G745" s="140"/>
    </row>
    <row r="746" ht="22.5" customHeight="1">
      <c r="A746" s="140"/>
      <c r="B746" s="140"/>
      <c r="C746" s="140"/>
      <c r="D746" s="140"/>
      <c r="E746" s="140"/>
      <c r="F746" s="140"/>
      <c r="G746" s="140"/>
    </row>
    <row r="747" ht="22.5" customHeight="1">
      <c r="A747" s="140"/>
      <c r="B747" s="140"/>
      <c r="C747" s="140"/>
      <c r="D747" s="140"/>
      <c r="E747" s="140"/>
      <c r="F747" s="140"/>
      <c r="G747" s="140"/>
    </row>
    <row r="748" ht="22.5" customHeight="1">
      <c r="A748" s="140"/>
      <c r="B748" s="140"/>
      <c r="C748" s="140"/>
      <c r="D748" s="140"/>
      <c r="E748" s="140"/>
      <c r="F748" s="140"/>
      <c r="G748" s="140"/>
    </row>
    <row r="749" ht="22.5" customHeight="1">
      <c r="A749" s="140"/>
      <c r="B749" s="140"/>
      <c r="C749" s="140"/>
      <c r="D749" s="140"/>
      <c r="E749" s="140"/>
      <c r="F749" s="140"/>
      <c r="G749" s="140"/>
    </row>
    <row r="750" ht="22.5" customHeight="1">
      <c r="A750" s="140"/>
      <c r="B750" s="140"/>
      <c r="C750" s="140"/>
      <c r="D750" s="140"/>
      <c r="E750" s="140"/>
      <c r="F750" s="140"/>
      <c r="G750" s="140"/>
    </row>
    <row r="751" ht="22.5" customHeight="1">
      <c r="A751" s="140"/>
      <c r="B751" s="140"/>
      <c r="C751" s="140"/>
      <c r="D751" s="140"/>
      <c r="E751" s="140"/>
      <c r="F751" s="140"/>
      <c r="G751" s="140"/>
    </row>
    <row r="752" ht="22.5" customHeight="1">
      <c r="A752" s="140"/>
      <c r="B752" s="140"/>
      <c r="C752" s="140"/>
      <c r="D752" s="140"/>
      <c r="E752" s="140"/>
      <c r="F752" s="140"/>
      <c r="G752" s="140"/>
    </row>
    <row r="753" ht="22.5" customHeight="1">
      <c r="A753" s="140"/>
      <c r="B753" s="140"/>
      <c r="C753" s="140"/>
      <c r="D753" s="140"/>
      <c r="E753" s="140"/>
      <c r="F753" s="140"/>
      <c r="G753" s="140"/>
    </row>
    <row r="754" ht="22.5" customHeight="1">
      <c r="A754" s="140"/>
      <c r="B754" s="140"/>
      <c r="C754" s="140"/>
      <c r="D754" s="140"/>
      <c r="E754" s="140"/>
      <c r="F754" s="140"/>
      <c r="G754" s="140"/>
    </row>
    <row r="755" ht="22.5" customHeight="1">
      <c r="A755" s="140"/>
      <c r="B755" s="140"/>
      <c r="C755" s="140"/>
      <c r="D755" s="140"/>
      <c r="E755" s="140"/>
      <c r="F755" s="140"/>
      <c r="G755" s="140"/>
    </row>
    <row r="756" ht="22.5" customHeight="1">
      <c r="A756" s="140"/>
      <c r="B756" s="140"/>
      <c r="C756" s="140"/>
      <c r="D756" s="140"/>
      <c r="E756" s="140"/>
      <c r="F756" s="140"/>
      <c r="G756" s="140"/>
    </row>
    <row r="757" ht="22.5" customHeight="1">
      <c r="A757" s="140"/>
      <c r="B757" s="140"/>
      <c r="C757" s="140"/>
      <c r="D757" s="140"/>
      <c r="E757" s="140"/>
      <c r="F757" s="140"/>
      <c r="G757" s="140"/>
    </row>
    <row r="758" ht="22.5" customHeight="1">
      <c r="A758" s="140"/>
      <c r="B758" s="140"/>
      <c r="C758" s="140"/>
      <c r="D758" s="140"/>
      <c r="E758" s="140"/>
      <c r="F758" s="140"/>
      <c r="G758" s="140"/>
    </row>
    <row r="759" ht="22.5" customHeight="1">
      <c r="A759" s="140"/>
      <c r="B759" s="140"/>
      <c r="C759" s="140"/>
      <c r="D759" s="140"/>
      <c r="E759" s="140"/>
      <c r="F759" s="140"/>
      <c r="G759" s="140"/>
    </row>
    <row r="760" ht="22.5" customHeight="1">
      <c r="A760" s="140"/>
      <c r="B760" s="140"/>
      <c r="C760" s="140"/>
      <c r="D760" s="140"/>
      <c r="E760" s="140"/>
      <c r="F760" s="140"/>
      <c r="G760" s="140"/>
    </row>
    <row r="761" ht="22.5" customHeight="1">
      <c r="A761" s="140"/>
      <c r="B761" s="140"/>
      <c r="C761" s="140"/>
      <c r="D761" s="140"/>
      <c r="E761" s="140"/>
      <c r="F761" s="140"/>
      <c r="G761" s="140"/>
    </row>
    <row r="762" ht="22.5" customHeight="1">
      <c r="A762" s="140"/>
      <c r="B762" s="140"/>
      <c r="C762" s="140"/>
      <c r="D762" s="140"/>
      <c r="E762" s="140"/>
      <c r="F762" s="140"/>
      <c r="G762" s="140"/>
    </row>
    <row r="763" ht="22.5" customHeight="1">
      <c r="A763" s="140"/>
      <c r="B763" s="140"/>
      <c r="C763" s="140"/>
      <c r="D763" s="140"/>
      <c r="E763" s="140"/>
      <c r="F763" s="140"/>
      <c r="G763" s="140"/>
    </row>
    <row r="764" ht="22.5" customHeight="1">
      <c r="A764" s="140"/>
      <c r="B764" s="140"/>
      <c r="C764" s="140"/>
      <c r="D764" s="140"/>
      <c r="E764" s="140"/>
      <c r="F764" s="140"/>
      <c r="G764" s="140"/>
    </row>
    <row r="765" ht="22.5" customHeight="1">
      <c r="A765" s="140"/>
      <c r="B765" s="140"/>
      <c r="C765" s="140"/>
      <c r="D765" s="140"/>
      <c r="E765" s="140"/>
      <c r="F765" s="140"/>
      <c r="G765" s="140"/>
    </row>
    <row r="766" ht="22.5" customHeight="1">
      <c r="A766" s="140"/>
      <c r="B766" s="140"/>
      <c r="C766" s="140"/>
      <c r="D766" s="140"/>
      <c r="E766" s="140"/>
      <c r="F766" s="140"/>
      <c r="G766" s="140"/>
    </row>
    <row r="767" ht="22.5" customHeight="1">
      <c r="A767" s="140"/>
      <c r="B767" s="140"/>
      <c r="C767" s="140"/>
      <c r="D767" s="140"/>
      <c r="E767" s="140"/>
      <c r="F767" s="140"/>
      <c r="G767" s="140"/>
    </row>
    <row r="768" ht="22.5" customHeight="1">
      <c r="A768" s="140"/>
      <c r="B768" s="140"/>
      <c r="C768" s="140"/>
      <c r="D768" s="140"/>
      <c r="E768" s="140"/>
      <c r="F768" s="140"/>
      <c r="G768" s="140"/>
    </row>
    <row r="769" ht="22.5" customHeight="1">
      <c r="A769" s="140"/>
      <c r="B769" s="140"/>
      <c r="C769" s="140"/>
      <c r="D769" s="140"/>
      <c r="E769" s="140"/>
      <c r="F769" s="140"/>
      <c r="G769" s="140"/>
    </row>
    <row r="770" ht="22.5" customHeight="1">
      <c r="A770" s="140"/>
      <c r="B770" s="140"/>
      <c r="C770" s="140"/>
      <c r="D770" s="140"/>
      <c r="E770" s="140"/>
      <c r="F770" s="140"/>
      <c r="G770" s="140"/>
    </row>
    <row r="771" ht="22.5" customHeight="1">
      <c r="A771" s="140"/>
      <c r="B771" s="140"/>
      <c r="C771" s="140"/>
      <c r="D771" s="140"/>
      <c r="E771" s="140"/>
      <c r="F771" s="140"/>
      <c r="G771" s="140"/>
    </row>
    <row r="772" ht="22.5" customHeight="1">
      <c r="A772" s="140"/>
      <c r="B772" s="140"/>
      <c r="C772" s="140"/>
      <c r="D772" s="140"/>
      <c r="E772" s="140"/>
      <c r="F772" s="140"/>
      <c r="G772" s="140"/>
    </row>
    <row r="773" ht="22.5" customHeight="1">
      <c r="A773" s="140"/>
      <c r="B773" s="140"/>
      <c r="C773" s="140"/>
      <c r="D773" s="140"/>
      <c r="E773" s="140"/>
      <c r="F773" s="140"/>
      <c r="G773" s="140"/>
    </row>
    <row r="774" ht="22.5" customHeight="1">
      <c r="A774" s="140"/>
      <c r="B774" s="140"/>
      <c r="C774" s="140"/>
      <c r="D774" s="140"/>
      <c r="E774" s="140"/>
      <c r="F774" s="140"/>
      <c r="G774" s="140"/>
    </row>
    <row r="775" ht="22.5" customHeight="1">
      <c r="A775" s="140"/>
      <c r="B775" s="140"/>
      <c r="C775" s="140"/>
      <c r="D775" s="140"/>
      <c r="E775" s="140"/>
      <c r="F775" s="140"/>
      <c r="G775" s="140"/>
    </row>
    <row r="776" ht="22.5" customHeight="1">
      <c r="A776" s="140"/>
      <c r="B776" s="140"/>
      <c r="C776" s="140"/>
      <c r="D776" s="140"/>
      <c r="E776" s="140"/>
      <c r="F776" s="140"/>
      <c r="G776" s="140"/>
    </row>
    <row r="777" ht="22.5" customHeight="1">
      <c r="A777" s="140"/>
      <c r="B777" s="140"/>
      <c r="C777" s="140"/>
      <c r="D777" s="140"/>
      <c r="E777" s="140"/>
      <c r="F777" s="140"/>
      <c r="G777" s="140"/>
    </row>
    <row r="778" ht="22.5" customHeight="1">
      <c r="A778" s="140"/>
      <c r="B778" s="140"/>
      <c r="C778" s="140"/>
      <c r="D778" s="140"/>
      <c r="E778" s="140"/>
      <c r="F778" s="140"/>
      <c r="G778" s="140"/>
    </row>
    <row r="779" ht="22.5" customHeight="1">
      <c r="A779" s="140"/>
      <c r="B779" s="140"/>
      <c r="C779" s="140"/>
      <c r="D779" s="140"/>
      <c r="E779" s="140"/>
      <c r="F779" s="140"/>
      <c r="G779" s="140"/>
    </row>
    <row r="780" ht="22.5" customHeight="1">
      <c r="A780" s="140"/>
      <c r="B780" s="140"/>
      <c r="C780" s="140"/>
      <c r="D780" s="140"/>
      <c r="E780" s="140"/>
      <c r="F780" s="140"/>
      <c r="G780" s="140"/>
    </row>
    <row r="781" ht="22.5" customHeight="1">
      <c r="A781" s="140"/>
      <c r="B781" s="140"/>
      <c r="C781" s="140"/>
      <c r="D781" s="140"/>
      <c r="E781" s="140"/>
      <c r="F781" s="140"/>
      <c r="G781" s="140"/>
    </row>
    <row r="782" ht="22.5" customHeight="1">
      <c r="A782" s="140"/>
      <c r="B782" s="140"/>
      <c r="C782" s="140"/>
      <c r="D782" s="140"/>
      <c r="E782" s="140"/>
      <c r="F782" s="140"/>
      <c r="G782" s="140"/>
    </row>
    <row r="783" ht="22.5" customHeight="1">
      <c r="A783" s="140"/>
      <c r="B783" s="140"/>
      <c r="C783" s="140"/>
      <c r="D783" s="140"/>
      <c r="E783" s="140"/>
      <c r="F783" s="140"/>
      <c r="G783" s="140"/>
    </row>
    <row r="784" ht="22.5" customHeight="1">
      <c r="A784" s="140"/>
      <c r="B784" s="140"/>
      <c r="C784" s="140"/>
      <c r="D784" s="140"/>
      <c r="E784" s="140"/>
      <c r="F784" s="140"/>
      <c r="G784" s="140"/>
    </row>
    <row r="785" ht="22.5" customHeight="1">
      <c r="A785" s="140"/>
      <c r="B785" s="140"/>
      <c r="C785" s="140"/>
      <c r="D785" s="140"/>
      <c r="E785" s="140"/>
      <c r="F785" s="140"/>
      <c r="G785" s="140"/>
    </row>
    <row r="786" ht="22.5" customHeight="1">
      <c r="A786" s="140"/>
      <c r="B786" s="140"/>
      <c r="C786" s="140"/>
      <c r="D786" s="140"/>
      <c r="E786" s="140"/>
      <c r="F786" s="140"/>
      <c r="G786" s="140"/>
    </row>
    <row r="787" ht="22.5" customHeight="1">
      <c r="A787" s="140"/>
      <c r="B787" s="140"/>
      <c r="C787" s="140"/>
      <c r="D787" s="140"/>
      <c r="E787" s="140"/>
      <c r="F787" s="140"/>
      <c r="G787" s="140"/>
    </row>
    <row r="788" ht="22.5" customHeight="1">
      <c r="A788" s="140"/>
      <c r="B788" s="140"/>
      <c r="C788" s="140"/>
      <c r="D788" s="140"/>
      <c r="E788" s="140"/>
      <c r="F788" s="140"/>
      <c r="G788" s="140"/>
    </row>
    <row r="789" ht="22.5" customHeight="1">
      <c r="A789" s="140"/>
      <c r="B789" s="140"/>
      <c r="C789" s="140"/>
      <c r="D789" s="140"/>
      <c r="E789" s="140"/>
      <c r="F789" s="140"/>
      <c r="G789" s="140"/>
    </row>
    <row r="790" ht="22.5" customHeight="1">
      <c r="A790" s="140"/>
      <c r="B790" s="140"/>
      <c r="C790" s="140"/>
      <c r="D790" s="140"/>
      <c r="E790" s="140"/>
      <c r="F790" s="140"/>
      <c r="G790" s="140"/>
    </row>
    <row r="791" ht="22.5" customHeight="1">
      <c r="A791" s="140"/>
      <c r="B791" s="140"/>
      <c r="C791" s="140"/>
      <c r="D791" s="140"/>
      <c r="E791" s="140"/>
      <c r="F791" s="140"/>
      <c r="G791" s="140"/>
    </row>
    <row r="792" ht="22.5" customHeight="1">
      <c r="A792" s="140"/>
      <c r="B792" s="140"/>
      <c r="C792" s="140"/>
      <c r="D792" s="140"/>
      <c r="E792" s="140"/>
      <c r="F792" s="140"/>
      <c r="G792" s="140"/>
    </row>
    <row r="793" ht="22.5" customHeight="1">
      <c r="A793" s="140"/>
      <c r="B793" s="140"/>
      <c r="C793" s="140"/>
      <c r="D793" s="140"/>
      <c r="E793" s="140"/>
      <c r="F793" s="140"/>
      <c r="G793" s="140"/>
    </row>
    <row r="794" ht="22.5" customHeight="1">
      <c r="A794" s="140"/>
      <c r="B794" s="140"/>
      <c r="C794" s="140"/>
      <c r="D794" s="140"/>
      <c r="E794" s="140"/>
      <c r="F794" s="140"/>
      <c r="G794" s="140"/>
    </row>
    <row r="795" ht="22.5" customHeight="1">
      <c r="A795" s="140"/>
      <c r="B795" s="140"/>
      <c r="C795" s="140"/>
      <c r="D795" s="140"/>
      <c r="E795" s="140"/>
      <c r="F795" s="140"/>
      <c r="G795" s="140"/>
    </row>
    <row r="796" ht="22.5" customHeight="1">
      <c r="A796" s="140"/>
      <c r="B796" s="140"/>
      <c r="C796" s="140"/>
      <c r="D796" s="140"/>
      <c r="E796" s="140"/>
      <c r="F796" s="140"/>
      <c r="G796" s="140"/>
    </row>
    <row r="797" ht="22.5" customHeight="1">
      <c r="A797" s="140"/>
      <c r="B797" s="140"/>
      <c r="C797" s="140"/>
      <c r="D797" s="140"/>
      <c r="E797" s="140"/>
      <c r="F797" s="140"/>
      <c r="G797" s="140"/>
    </row>
    <row r="798" ht="22.5" customHeight="1">
      <c r="A798" s="140"/>
      <c r="B798" s="140"/>
      <c r="C798" s="140"/>
      <c r="D798" s="140"/>
      <c r="E798" s="140"/>
      <c r="F798" s="140"/>
      <c r="G798" s="140"/>
    </row>
    <row r="799" ht="22.5" customHeight="1">
      <c r="A799" s="140"/>
      <c r="B799" s="140"/>
      <c r="C799" s="140"/>
      <c r="D799" s="140"/>
      <c r="E799" s="140"/>
      <c r="F799" s="140"/>
      <c r="G799" s="140"/>
    </row>
    <row r="800" ht="22.5" customHeight="1">
      <c r="A800" s="140"/>
      <c r="B800" s="140"/>
      <c r="C800" s="140"/>
      <c r="D800" s="140"/>
      <c r="E800" s="140"/>
      <c r="F800" s="140"/>
      <c r="G800" s="140"/>
    </row>
    <row r="801" ht="22.5" customHeight="1">
      <c r="A801" s="140"/>
      <c r="B801" s="140"/>
      <c r="C801" s="140"/>
      <c r="D801" s="140"/>
      <c r="E801" s="140"/>
      <c r="F801" s="140"/>
      <c r="G801" s="140"/>
    </row>
    <row r="802" ht="22.5" customHeight="1">
      <c r="A802" s="140"/>
      <c r="B802" s="140"/>
      <c r="C802" s="140"/>
      <c r="D802" s="140"/>
      <c r="E802" s="140"/>
      <c r="F802" s="140"/>
      <c r="G802" s="140"/>
    </row>
    <row r="803" ht="22.5" customHeight="1">
      <c r="A803" s="140"/>
      <c r="B803" s="140"/>
      <c r="C803" s="140"/>
      <c r="D803" s="140"/>
      <c r="E803" s="140"/>
      <c r="F803" s="140"/>
      <c r="G803" s="140"/>
    </row>
    <row r="804" ht="22.5" customHeight="1">
      <c r="A804" s="140"/>
      <c r="B804" s="140"/>
      <c r="C804" s="140"/>
      <c r="D804" s="140"/>
      <c r="E804" s="140"/>
      <c r="F804" s="140"/>
      <c r="G804" s="140"/>
    </row>
    <row r="805" ht="22.5" customHeight="1">
      <c r="A805" s="140"/>
      <c r="B805" s="140"/>
      <c r="C805" s="140"/>
      <c r="D805" s="140"/>
      <c r="E805" s="140"/>
      <c r="F805" s="140"/>
      <c r="G805" s="140"/>
    </row>
    <row r="806" ht="22.5" customHeight="1">
      <c r="A806" s="140"/>
      <c r="B806" s="140"/>
      <c r="C806" s="140"/>
      <c r="D806" s="140"/>
      <c r="E806" s="140"/>
      <c r="F806" s="140"/>
      <c r="G806" s="140"/>
    </row>
    <row r="807" ht="22.5" customHeight="1">
      <c r="A807" s="140"/>
      <c r="B807" s="140"/>
      <c r="C807" s="140"/>
      <c r="D807" s="140"/>
      <c r="E807" s="140"/>
      <c r="F807" s="140"/>
      <c r="G807" s="140"/>
    </row>
    <row r="808" ht="22.5" customHeight="1">
      <c r="A808" s="140"/>
      <c r="B808" s="140"/>
      <c r="C808" s="140"/>
      <c r="D808" s="140"/>
      <c r="E808" s="140"/>
      <c r="F808" s="140"/>
      <c r="G808" s="140"/>
    </row>
    <row r="809" ht="22.5" customHeight="1">
      <c r="A809" s="140"/>
      <c r="B809" s="140"/>
      <c r="C809" s="140"/>
      <c r="D809" s="140"/>
      <c r="E809" s="140"/>
      <c r="F809" s="140"/>
      <c r="G809" s="140"/>
    </row>
    <row r="810" ht="22.5" customHeight="1">
      <c r="A810" s="140"/>
      <c r="B810" s="140"/>
      <c r="C810" s="140"/>
      <c r="D810" s="140"/>
      <c r="E810" s="140"/>
      <c r="F810" s="140"/>
      <c r="G810" s="140"/>
    </row>
    <row r="811" ht="22.5" customHeight="1">
      <c r="A811" s="140"/>
      <c r="B811" s="140"/>
      <c r="C811" s="140"/>
      <c r="D811" s="140"/>
      <c r="E811" s="140"/>
      <c r="F811" s="140"/>
      <c r="G811" s="140"/>
    </row>
    <row r="812" ht="22.5" customHeight="1">
      <c r="A812" s="140"/>
      <c r="B812" s="140"/>
      <c r="C812" s="140"/>
      <c r="D812" s="140"/>
      <c r="E812" s="140"/>
      <c r="F812" s="140"/>
      <c r="G812" s="140"/>
    </row>
    <row r="813" ht="22.5" customHeight="1">
      <c r="A813" s="140"/>
      <c r="B813" s="140"/>
      <c r="C813" s="140"/>
      <c r="D813" s="140"/>
      <c r="E813" s="140"/>
      <c r="F813" s="140"/>
      <c r="G813" s="140"/>
    </row>
    <row r="814" ht="22.5" customHeight="1">
      <c r="A814" s="140"/>
      <c r="B814" s="140"/>
      <c r="C814" s="140"/>
      <c r="D814" s="140"/>
      <c r="E814" s="140"/>
      <c r="F814" s="140"/>
      <c r="G814" s="140"/>
    </row>
    <row r="815" ht="22.5" customHeight="1">
      <c r="A815" s="140"/>
      <c r="B815" s="140"/>
      <c r="C815" s="140"/>
      <c r="D815" s="140"/>
      <c r="E815" s="140"/>
      <c r="F815" s="140"/>
      <c r="G815" s="140"/>
    </row>
    <row r="816" ht="22.5" customHeight="1">
      <c r="A816" s="140"/>
      <c r="B816" s="140"/>
      <c r="C816" s="140"/>
      <c r="D816" s="140"/>
      <c r="E816" s="140"/>
      <c r="F816" s="140"/>
      <c r="G816" s="140"/>
    </row>
    <row r="817" ht="22.5" customHeight="1">
      <c r="A817" s="140"/>
      <c r="B817" s="140"/>
      <c r="C817" s="140"/>
      <c r="D817" s="140"/>
      <c r="E817" s="140"/>
      <c r="F817" s="140"/>
      <c r="G817" s="140"/>
    </row>
    <row r="818" ht="22.5" customHeight="1">
      <c r="A818" s="140"/>
      <c r="B818" s="140"/>
      <c r="C818" s="140"/>
      <c r="D818" s="140"/>
      <c r="E818" s="140"/>
      <c r="F818" s="140"/>
      <c r="G818" s="140"/>
    </row>
    <row r="819" ht="22.5" customHeight="1">
      <c r="A819" s="140"/>
      <c r="B819" s="140"/>
      <c r="C819" s="140"/>
      <c r="D819" s="140"/>
      <c r="E819" s="140"/>
      <c r="F819" s="140"/>
      <c r="G819" s="140"/>
    </row>
    <row r="820" ht="22.5" customHeight="1">
      <c r="A820" s="140"/>
      <c r="B820" s="140"/>
      <c r="C820" s="140"/>
      <c r="D820" s="140"/>
      <c r="E820" s="140"/>
      <c r="F820" s="140"/>
      <c r="G820" s="140"/>
    </row>
    <row r="821" ht="22.5" customHeight="1">
      <c r="A821" s="140"/>
      <c r="B821" s="140"/>
      <c r="C821" s="140"/>
      <c r="D821" s="140"/>
      <c r="E821" s="140"/>
      <c r="F821" s="140"/>
      <c r="G821" s="140"/>
    </row>
    <row r="822" ht="22.5" customHeight="1">
      <c r="A822" s="140"/>
      <c r="B822" s="140"/>
      <c r="C822" s="140"/>
      <c r="D822" s="140"/>
      <c r="E822" s="140"/>
      <c r="F822" s="140"/>
      <c r="G822" s="140"/>
    </row>
    <row r="823" ht="22.5" customHeight="1">
      <c r="A823" s="140"/>
      <c r="B823" s="140"/>
      <c r="C823" s="140"/>
      <c r="D823" s="140"/>
      <c r="E823" s="140"/>
      <c r="F823" s="140"/>
      <c r="G823" s="140"/>
    </row>
    <row r="824" ht="22.5" customHeight="1">
      <c r="A824" s="140"/>
      <c r="B824" s="140"/>
      <c r="C824" s="140"/>
      <c r="D824" s="140"/>
      <c r="E824" s="140"/>
      <c r="F824" s="140"/>
      <c r="G824" s="140"/>
    </row>
    <row r="825" ht="22.5" customHeight="1">
      <c r="A825" s="140"/>
      <c r="B825" s="140"/>
      <c r="C825" s="140"/>
      <c r="D825" s="140"/>
      <c r="E825" s="140"/>
      <c r="F825" s="140"/>
      <c r="G825" s="140"/>
    </row>
    <row r="826" ht="22.5" customHeight="1">
      <c r="A826" s="140"/>
      <c r="B826" s="140"/>
      <c r="C826" s="140"/>
      <c r="D826" s="140"/>
      <c r="E826" s="140"/>
      <c r="F826" s="140"/>
      <c r="G826" s="140"/>
    </row>
    <row r="827" ht="22.5" customHeight="1">
      <c r="A827" s="140"/>
      <c r="B827" s="140"/>
      <c r="C827" s="140"/>
      <c r="D827" s="140"/>
      <c r="E827" s="140"/>
      <c r="F827" s="140"/>
      <c r="G827" s="140"/>
    </row>
    <row r="828" ht="22.5" customHeight="1">
      <c r="A828" s="140"/>
      <c r="B828" s="140"/>
      <c r="C828" s="140"/>
      <c r="D828" s="140"/>
      <c r="E828" s="140"/>
      <c r="F828" s="140"/>
      <c r="G828" s="140"/>
    </row>
    <row r="829" ht="22.5" customHeight="1">
      <c r="A829" s="140"/>
      <c r="B829" s="140"/>
      <c r="C829" s="140"/>
      <c r="D829" s="140"/>
      <c r="E829" s="140"/>
      <c r="F829" s="140"/>
      <c r="G829" s="140"/>
    </row>
    <row r="830" ht="22.5" customHeight="1">
      <c r="A830" s="140"/>
      <c r="B830" s="140"/>
      <c r="C830" s="140"/>
      <c r="D830" s="140"/>
      <c r="E830" s="140"/>
      <c r="F830" s="140"/>
      <c r="G830" s="140"/>
    </row>
    <row r="831" ht="22.5" customHeight="1">
      <c r="A831" s="140"/>
      <c r="B831" s="140"/>
      <c r="C831" s="140"/>
      <c r="D831" s="140"/>
      <c r="E831" s="140"/>
      <c r="F831" s="140"/>
      <c r="G831" s="140"/>
    </row>
    <row r="832" ht="22.5" customHeight="1">
      <c r="A832" s="140"/>
      <c r="B832" s="140"/>
      <c r="C832" s="140"/>
      <c r="D832" s="140"/>
      <c r="E832" s="140"/>
      <c r="F832" s="140"/>
      <c r="G832" s="140"/>
    </row>
    <row r="833" ht="22.5" customHeight="1">
      <c r="A833" s="140"/>
      <c r="B833" s="140"/>
      <c r="C833" s="140"/>
      <c r="D833" s="140"/>
      <c r="E833" s="140"/>
      <c r="F833" s="140"/>
      <c r="G833" s="140"/>
    </row>
    <row r="834" ht="22.5" customHeight="1">
      <c r="A834" s="140"/>
      <c r="B834" s="140"/>
      <c r="C834" s="140"/>
      <c r="D834" s="140"/>
      <c r="E834" s="140"/>
      <c r="F834" s="140"/>
      <c r="G834" s="140"/>
    </row>
    <row r="835" ht="22.5" customHeight="1">
      <c r="A835" s="140"/>
      <c r="B835" s="140"/>
      <c r="C835" s="140"/>
      <c r="D835" s="140"/>
      <c r="E835" s="140"/>
      <c r="F835" s="140"/>
      <c r="G835" s="140"/>
    </row>
    <row r="836" ht="22.5" customHeight="1">
      <c r="A836" s="140"/>
      <c r="B836" s="140"/>
      <c r="C836" s="140"/>
      <c r="D836" s="140"/>
      <c r="E836" s="140"/>
      <c r="F836" s="140"/>
      <c r="G836" s="140"/>
    </row>
    <row r="837" ht="22.5" customHeight="1">
      <c r="A837" s="140"/>
      <c r="B837" s="140"/>
      <c r="C837" s="140"/>
      <c r="D837" s="140"/>
      <c r="E837" s="140"/>
      <c r="F837" s="140"/>
      <c r="G837" s="140"/>
    </row>
    <row r="838" ht="22.5" customHeight="1">
      <c r="A838" s="140"/>
      <c r="B838" s="140"/>
      <c r="C838" s="140"/>
      <c r="D838" s="140"/>
      <c r="E838" s="140"/>
      <c r="F838" s="140"/>
      <c r="G838" s="140"/>
    </row>
    <row r="839" ht="22.5" customHeight="1">
      <c r="A839" s="140"/>
      <c r="B839" s="140"/>
      <c r="C839" s="140"/>
      <c r="D839" s="140"/>
      <c r="E839" s="140"/>
      <c r="F839" s="140"/>
      <c r="G839" s="140"/>
    </row>
    <row r="840" ht="22.5" customHeight="1">
      <c r="A840" s="140"/>
      <c r="B840" s="140"/>
      <c r="C840" s="140"/>
      <c r="D840" s="140"/>
      <c r="E840" s="140"/>
      <c r="F840" s="140"/>
      <c r="G840" s="140"/>
    </row>
    <row r="841" ht="22.5" customHeight="1">
      <c r="A841" s="140"/>
      <c r="B841" s="140"/>
      <c r="C841" s="140"/>
      <c r="D841" s="140"/>
      <c r="E841" s="140"/>
      <c r="F841" s="140"/>
      <c r="G841" s="140"/>
    </row>
    <row r="842" ht="22.5" customHeight="1">
      <c r="A842" s="140"/>
      <c r="B842" s="140"/>
      <c r="C842" s="140"/>
      <c r="D842" s="140"/>
      <c r="E842" s="140"/>
      <c r="F842" s="140"/>
      <c r="G842" s="140"/>
    </row>
    <row r="843" ht="22.5" customHeight="1">
      <c r="A843" s="140"/>
      <c r="B843" s="140"/>
      <c r="C843" s="140"/>
      <c r="D843" s="140"/>
      <c r="E843" s="140"/>
      <c r="F843" s="140"/>
      <c r="G843" s="140"/>
    </row>
    <row r="844" ht="22.5" customHeight="1">
      <c r="A844" s="140"/>
      <c r="B844" s="140"/>
      <c r="C844" s="140"/>
      <c r="D844" s="140"/>
      <c r="E844" s="140"/>
      <c r="F844" s="140"/>
      <c r="G844" s="140"/>
    </row>
    <row r="845" ht="22.5" customHeight="1">
      <c r="A845" s="140"/>
      <c r="B845" s="140"/>
      <c r="C845" s="140"/>
      <c r="D845" s="140"/>
      <c r="E845" s="140"/>
      <c r="F845" s="140"/>
      <c r="G845" s="140"/>
    </row>
    <row r="846" ht="22.5" customHeight="1">
      <c r="A846" s="140"/>
      <c r="B846" s="140"/>
      <c r="C846" s="140"/>
      <c r="D846" s="140"/>
      <c r="E846" s="140"/>
      <c r="F846" s="140"/>
      <c r="G846" s="140"/>
    </row>
    <row r="847" ht="22.5" customHeight="1">
      <c r="A847" s="140"/>
      <c r="B847" s="140"/>
      <c r="C847" s="140"/>
      <c r="D847" s="140"/>
      <c r="E847" s="140"/>
      <c r="F847" s="140"/>
      <c r="G847" s="140"/>
    </row>
    <row r="848" ht="22.5" customHeight="1">
      <c r="A848" s="140"/>
      <c r="B848" s="140"/>
      <c r="C848" s="140"/>
      <c r="D848" s="140"/>
      <c r="E848" s="140"/>
      <c r="F848" s="140"/>
      <c r="G848" s="140"/>
    </row>
    <row r="849" ht="22.5" customHeight="1">
      <c r="A849" s="140"/>
      <c r="B849" s="140"/>
      <c r="C849" s="140"/>
      <c r="D849" s="140"/>
      <c r="E849" s="140"/>
      <c r="F849" s="140"/>
      <c r="G849" s="140"/>
    </row>
    <row r="850" ht="22.5" customHeight="1">
      <c r="A850" s="140"/>
      <c r="B850" s="140"/>
      <c r="C850" s="140"/>
      <c r="D850" s="140"/>
      <c r="E850" s="140"/>
      <c r="F850" s="140"/>
      <c r="G850" s="140"/>
    </row>
    <row r="851" ht="22.5" customHeight="1">
      <c r="A851" s="140"/>
      <c r="B851" s="140"/>
      <c r="C851" s="140"/>
      <c r="D851" s="140"/>
      <c r="E851" s="140"/>
      <c r="F851" s="140"/>
      <c r="G851" s="140"/>
    </row>
    <row r="852" ht="22.5" customHeight="1">
      <c r="A852" s="140"/>
      <c r="B852" s="140"/>
      <c r="C852" s="140"/>
      <c r="D852" s="140"/>
      <c r="E852" s="140"/>
      <c r="F852" s="140"/>
      <c r="G852" s="140"/>
    </row>
    <row r="853" ht="22.5" customHeight="1">
      <c r="A853" s="140"/>
      <c r="B853" s="140"/>
      <c r="C853" s="140"/>
      <c r="D853" s="140"/>
      <c r="E853" s="140"/>
      <c r="F853" s="140"/>
      <c r="G853" s="140"/>
    </row>
    <row r="854" ht="22.5" customHeight="1">
      <c r="A854" s="140"/>
      <c r="B854" s="140"/>
      <c r="C854" s="140"/>
      <c r="D854" s="140"/>
      <c r="E854" s="140"/>
      <c r="F854" s="140"/>
      <c r="G854" s="140"/>
    </row>
    <row r="855" ht="22.5" customHeight="1">
      <c r="A855" s="140"/>
      <c r="B855" s="140"/>
      <c r="C855" s="140"/>
      <c r="D855" s="140"/>
      <c r="E855" s="140"/>
      <c r="F855" s="140"/>
      <c r="G855" s="140"/>
    </row>
    <row r="856" ht="22.5" customHeight="1">
      <c r="A856" s="140"/>
      <c r="B856" s="140"/>
      <c r="C856" s="140"/>
      <c r="D856" s="140"/>
      <c r="E856" s="140"/>
      <c r="F856" s="140"/>
      <c r="G856" s="140"/>
    </row>
    <row r="857" ht="22.5" customHeight="1">
      <c r="A857" s="140"/>
      <c r="B857" s="140"/>
      <c r="C857" s="140"/>
      <c r="D857" s="140"/>
      <c r="E857" s="140"/>
      <c r="F857" s="140"/>
      <c r="G857" s="140"/>
    </row>
    <row r="858" ht="22.5" customHeight="1">
      <c r="A858" s="140"/>
      <c r="B858" s="140"/>
      <c r="C858" s="140"/>
      <c r="D858" s="140"/>
      <c r="E858" s="140"/>
      <c r="F858" s="140"/>
      <c r="G858" s="140"/>
    </row>
    <row r="859" ht="22.5" customHeight="1">
      <c r="A859" s="140"/>
      <c r="B859" s="140"/>
      <c r="C859" s="140"/>
      <c r="D859" s="140"/>
      <c r="E859" s="140"/>
      <c r="F859" s="140"/>
      <c r="G859" s="140"/>
    </row>
    <row r="860" ht="22.5" customHeight="1">
      <c r="A860" s="140"/>
      <c r="B860" s="140"/>
      <c r="C860" s="140"/>
      <c r="D860" s="140"/>
      <c r="E860" s="140"/>
      <c r="F860" s="140"/>
      <c r="G860" s="140"/>
    </row>
    <row r="861" ht="22.5" customHeight="1">
      <c r="A861" s="140"/>
      <c r="B861" s="140"/>
      <c r="C861" s="140"/>
      <c r="D861" s="140"/>
      <c r="E861" s="140"/>
      <c r="F861" s="140"/>
      <c r="G861" s="140"/>
    </row>
    <row r="862" ht="22.5" customHeight="1">
      <c r="A862" s="140"/>
      <c r="B862" s="140"/>
      <c r="C862" s="140"/>
      <c r="D862" s="140"/>
      <c r="E862" s="140"/>
      <c r="F862" s="140"/>
      <c r="G862" s="140"/>
    </row>
    <row r="863" ht="22.5" customHeight="1">
      <c r="A863" s="140"/>
      <c r="B863" s="140"/>
      <c r="C863" s="140"/>
      <c r="D863" s="140"/>
      <c r="E863" s="140"/>
      <c r="F863" s="140"/>
      <c r="G863" s="140"/>
    </row>
    <row r="864" ht="22.5" customHeight="1">
      <c r="A864" s="140"/>
      <c r="B864" s="140"/>
      <c r="C864" s="140"/>
      <c r="D864" s="140"/>
      <c r="E864" s="140"/>
      <c r="F864" s="140"/>
      <c r="G864" s="140"/>
    </row>
    <row r="865" ht="22.5" customHeight="1">
      <c r="A865" s="140"/>
      <c r="B865" s="140"/>
      <c r="C865" s="140"/>
      <c r="D865" s="140"/>
      <c r="E865" s="140"/>
      <c r="F865" s="140"/>
      <c r="G865" s="140"/>
    </row>
    <row r="866" ht="22.5" customHeight="1">
      <c r="A866" s="140"/>
      <c r="B866" s="140"/>
      <c r="C866" s="140"/>
      <c r="D866" s="140"/>
      <c r="E866" s="140"/>
      <c r="F866" s="140"/>
      <c r="G866" s="140"/>
    </row>
    <row r="867" ht="22.5" customHeight="1">
      <c r="A867" s="140"/>
      <c r="B867" s="140"/>
      <c r="C867" s="140"/>
      <c r="D867" s="140"/>
      <c r="E867" s="140"/>
      <c r="F867" s="140"/>
      <c r="G867" s="140"/>
    </row>
    <row r="868" ht="22.5" customHeight="1">
      <c r="A868" s="140"/>
      <c r="B868" s="140"/>
      <c r="C868" s="140"/>
      <c r="D868" s="140"/>
      <c r="E868" s="140"/>
      <c r="F868" s="140"/>
      <c r="G868" s="140"/>
    </row>
    <row r="869" ht="22.5" customHeight="1">
      <c r="A869" s="140"/>
      <c r="B869" s="140"/>
      <c r="C869" s="140"/>
      <c r="D869" s="140"/>
      <c r="E869" s="140"/>
      <c r="F869" s="140"/>
      <c r="G869" s="140"/>
    </row>
    <row r="870" ht="22.5" customHeight="1">
      <c r="A870" s="140"/>
      <c r="B870" s="140"/>
      <c r="C870" s="140"/>
      <c r="D870" s="140"/>
      <c r="E870" s="140"/>
      <c r="F870" s="140"/>
      <c r="G870" s="140"/>
    </row>
    <row r="871" ht="22.5" customHeight="1">
      <c r="A871" s="140"/>
      <c r="B871" s="140"/>
      <c r="C871" s="140"/>
      <c r="D871" s="140"/>
      <c r="E871" s="140"/>
      <c r="F871" s="140"/>
      <c r="G871" s="140"/>
    </row>
    <row r="872" ht="22.5" customHeight="1">
      <c r="A872" s="140"/>
      <c r="B872" s="140"/>
      <c r="C872" s="140"/>
      <c r="D872" s="140"/>
      <c r="E872" s="140"/>
      <c r="F872" s="140"/>
      <c r="G872" s="140"/>
    </row>
    <row r="873" ht="22.5" customHeight="1">
      <c r="A873" s="140"/>
      <c r="B873" s="140"/>
      <c r="C873" s="140"/>
      <c r="D873" s="140"/>
      <c r="E873" s="140"/>
      <c r="F873" s="140"/>
      <c r="G873" s="140"/>
    </row>
    <row r="874" ht="22.5" customHeight="1">
      <c r="A874" s="140"/>
      <c r="B874" s="140"/>
      <c r="C874" s="140"/>
      <c r="D874" s="140"/>
      <c r="E874" s="140"/>
      <c r="F874" s="140"/>
      <c r="G874" s="140"/>
    </row>
    <row r="875" ht="22.5" customHeight="1">
      <c r="A875" s="140"/>
      <c r="B875" s="140"/>
      <c r="C875" s="140"/>
      <c r="D875" s="140"/>
      <c r="E875" s="140"/>
      <c r="F875" s="140"/>
      <c r="G875" s="140"/>
    </row>
    <row r="876" ht="22.5" customHeight="1">
      <c r="A876" s="140"/>
      <c r="B876" s="140"/>
      <c r="C876" s="140"/>
      <c r="D876" s="140"/>
      <c r="E876" s="140"/>
      <c r="F876" s="140"/>
      <c r="G876" s="140"/>
    </row>
    <row r="877" ht="22.5" customHeight="1">
      <c r="A877" s="140"/>
      <c r="B877" s="140"/>
      <c r="C877" s="140"/>
      <c r="D877" s="140"/>
      <c r="E877" s="140"/>
      <c r="F877" s="140"/>
      <c r="G877" s="140"/>
    </row>
    <row r="878" ht="22.5" customHeight="1">
      <c r="A878" s="140"/>
      <c r="B878" s="140"/>
      <c r="C878" s="140"/>
      <c r="D878" s="140"/>
      <c r="E878" s="140"/>
      <c r="F878" s="140"/>
      <c r="G878" s="140"/>
    </row>
    <row r="879" ht="22.5" customHeight="1">
      <c r="A879" s="140"/>
      <c r="B879" s="140"/>
      <c r="C879" s="140"/>
      <c r="D879" s="140"/>
      <c r="E879" s="140"/>
      <c r="F879" s="140"/>
      <c r="G879" s="140"/>
    </row>
    <row r="880" ht="22.5" customHeight="1">
      <c r="A880" s="140"/>
      <c r="B880" s="140"/>
      <c r="C880" s="140"/>
      <c r="D880" s="140"/>
      <c r="E880" s="140"/>
      <c r="F880" s="140"/>
      <c r="G880" s="140"/>
    </row>
    <row r="881" ht="22.5" customHeight="1">
      <c r="A881" s="140"/>
      <c r="B881" s="140"/>
      <c r="C881" s="140"/>
      <c r="D881" s="140"/>
      <c r="E881" s="140"/>
      <c r="F881" s="140"/>
      <c r="G881" s="140"/>
    </row>
    <row r="882" ht="22.5" customHeight="1">
      <c r="A882" s="140"/>
      <c r="B882" s="140"/>
      <c r="C882" s="140"/>
      <c r="D882" s="140"/>
      <c r="E882" s="140"/>
      <c r="F882" s="140"/>
      <c r="G882" s="140"/>
    </row>
    <row r="883" ht="22.5" customHeight="1">
      <c r="A883" s="140"/>
      <c r="B883" s="140"/>
      <c r="C883" s="140"/>
      <c r="D883" s="140"/>
      <c r="E883" s="140"/>
      <c r="F883" s="140"/>
      <c r="G883" s="140"/>
    </row>
    <row r="884" ht="22.5" customHeight="1">
      <c r="A884" s="140"/>
      <c r="B884" s="140"/>
      <c r="C884" s="140"/>
      <c r="D884" s="140"/>
      <c r="E884" s="140"/>
      <c r="F884" s="140"/>
      <c r="G884" s="140"/>
    </row>
    <row r="885" ht="22.5" customHeight="1">
      <c r="A885" s="140"/>
      <c r="B885" s="140"/>
      <c r="C885" s="140"/>
      <c r="D885" s="140"/>
      <c r="E885" s="140"/>
      <c r="F885" s="140"/>
      <c r="G885" s="140"/>
    </row>
    <row r="886" ht="22.5" customHeight="1">
      <c r="A886" s="140"/>
      <c r="B886" s="140"/>
      <c r="C886" s="140"/>
      <c r="D886" s="140"/>
      <c r="E886" s="140"/>
      <c r="F886" s="140"/>
      <c r="G886" s="140"/>
    </row>
    <row r="887" ht="22.5" customHeight="1">
      <c r="A887" s="140"/>
      <c r="B887" s="140"/>
      <c r="C887" s="140"/>
      <c r="D887" s="140"/>
      <c r="E887" s="140"/>
      <c r="F887" s="140"/>
      <c r="G887" s="140"/>
    </row>
    <row r="888" ht="22.5" customHeight="1">
      <c r="A888" s="140"/>
      <c r="B888" s="140"/>
      <c r="C888" s="140"/>
      <c r="D888" s="140"/>
      <c r="E888" s="140"/>
      <c r="F888" s="140"/>
      <c r="G888" s="140"/>
    </row>
    <row r="889" ht="22.5" customHeight="1">
      <c r="A889" s="140"/>
      <c r="B889" s="140"/>
      <c r="C889" s="140"/>
      <c r="D889" s="140"/>
      <c r="E889" s="140"/>
      <c r="F889" s="140"/>
      <c r="G889" s="140"/>
    </row>
    <row r="890" ht="22.5" customHeight="1">
      <c r="A890" s="140"/>
      <c r="B890" s="140"/>
      <c r="C890" s="140"/>
      <c r="D890" s="140"/>
      <c r="E890" s="140"/>
      <c r="F890" s="140"/>
      <c r="G890" s="140"/>
    </row>
    <row r="891" ht="22.5" customHeight="1">
      <c r="A891" s="140"/>
      <c r="B891" s="140"/>
      <c r="C891" s="140"/>
      <c r="D891" s="140"/>
      <c r="E891" s="140"/>
      <c r="F891" s="140"/>
      <c r="G891" s="140"/>
    </row>
    <row r="892" ht="22.5" customHeight="1">
      <c r="A892" s="140"/>
      <c r="B892" s="140"/>
      <c r="C892" s="140"/>
      <c r="D892" s="140"/>
      <c r="E892" s="140"/>
      <c r="F892" s="140"/>
      <c r="G892" s="140"/>
    </row>
    <row r="893" ht="22.5" customHeight="1">
      <c r="A893" s="140"/>
      <c r="B893" s="140"/>
      <c r="C893" s="140"/>
      <c r="D893" s="140"/>
      <c r="E893" s="140"/>
      <c r="F893" s="140"/>
      <c r="G893" s="140"/>
    </row>
    <row r="894" ht="22.5" customHeight="1">
      <c r="A894" s="140"/>
      <c r="B894" s="140"/>
      <c r="C894" s="140"/>
      <c r="D894" s="140"/>
      <c r="E894" s="140"/>
      <c r="F894" s="140"/>
      <c r="G894" s="140"/>
    </row>
    <row r="895" ht="22.5" customHeight="1">
      <c r="A895" s="140"/>
      <c r="B895" s="140"/>
      <c r="C895" s="140"/>
      <c r="D895" s="140"/>
      <c r="E895" s="140"/>
      <c r="F895" s="140"/>
      <c r="G895" s="140"/>
    </row>
    <row r="896" ht="22.5" customHeight="1">
      <c r="A896" s="140"/>
      <c r="B896" s="140"/>
      <c r="C896" s="140"/>
      <c r="D896" s="140"/>
      <c r="E896" s="140"/>
      <c r="F896" s="140"/>
      <c r="G896" s="140"/>
    </row>
    <row r="897" ht="22.5" customHeight="1">
      <c r="A897" s="140"/>
      <c r="B897" s="140"/>
      <c r="C897" s="140"/>
      <c r="D897" s="140"/>
      <c r="E897" s="140"/>
      <c r="F897" s="140"/>
      <c r="G897" s="140"/>
    </row>
    <row r="898" ht="22.5" customHeight="1">
      <c r="A898" s="140"/>
      <c r="B898" s="140"/>
      <c r="C898" s="140"/>
      <c r="D898" s="140"/>
      <c r="E898" s="140"/>
      <c r="F898" s="140"/>
      <c r="G898" s="140"/>
    </row>
    <row r="899" ht="22.5" customHeight="1">
      <c r="A899" s="140"/>
      <c r="B899" s="140"/>
      <c r="C899" s="140"/>
      <c r="D899" s="140"/>
      <c r="E899" s="140"/>
      <c r="F899" s="140"/>
      <c r="G899" s="140"/>
    </row>
    <row r="900" ht="22.5" customHeight="1">
      <c r="A900" s="140"/>
      <c r="B900" s="140"/>
      <c r="C900" s="140"/>
      <c r="D900" s="140"/>
      <c r="E900" s="140"/>
      <c r="F900" s="140"/>
      <c r="G900" s="140"/>
    </row>
    <row r="901" ht="22.5" customHeight="1">
      <c r="A901" s="140"/>
      <c r="B901" s="140"/>
      <c r="C901" s="140"/>
      <c r="D901" s="140"/>
      <c r="E901" s="140"/>
      <c r="F901" s="140"/>
      <c r="G901" s="140"/>
    </row>
    <row r="902" ht="22.5" customHeight="1">
      <c r="A902" s="140"/>
      <c r="B902" s="140"/>
      <c r="C902" s="140"/>
      <c r="D902" s="140"/>
      <c r="E902" s="140"/>
      <c r="F902" s="140"/>
      <c r="G902" s="140"/>
    </row>
    <row r="903" ht="22.5" customHeight="1">
      <c r="A903" s="140"/>
      <c r="B903" s="140"/>
      <c r="C903" s="140"/>
      <c r="D903" s="140"/>
      <c r="E903" s="140"/>
      <c r="F903" s="140"/>
      <c r="G903" s="140"/>
    </row>
    <row r="904" ht="22.5" customHeight="1">
      <c r="A904" s="140"/>
      <c r="B904" s="140"/>
      <c r="C904" s="140"/>
      <c r="D904" s="140"/>
      <c r="E904" s="140"/>
      <c r="F904" s="140"/>
      <c r="G904" s="140"/>
    </row>
    <row r="905" ht="22.5" customHeight="1">
      <c r="A905" s="140"/>
      <c r="B905" s="140"/>
      <c r="C905" s="140"/>
      <c r="D905" s="140"/>
      <c r="E905" s="140"/>
      <c r="F905" s="140"/>
      <c r="G905" s="140"/>
    </row>
    <row r="906" ht="22.5" customHeight="1">
      <c r="A906" s="140"/>
      <c r="B906" s="140"/>
      <c r="C906" s="140"/>
      <c r="D906" s="140"/>
      <c r="E906" s="140"/>
      <c r="F906" s="140"/>
      <c r="G906" s="140"/>
    </row>
    <row r="907" ht="22.5" customHeight="1">
      <c r="A907" s="140"/>
      <c r="B907" s="140"/>
      <c r="C907" s="140"/>
      <c r="D907" s="140"/>
      <c r="E907" s="140"/>
      <c r="F907" s="140"/>
      <c r="G907" s="140"/>
    </row>
    <row r="908" ht="22.5" customHeight="1">
      <c r="A908" s="140"/>
      <c r="B908" s="140"/>
      <c r="C908" s="140"/>
      <c r="D908" s="140"/>
      <c r="E908" s="140"/>
      <c r="F908" s="140"/>
      <c r="G908" s="140"/>
    </row>
    <row r="909" ht="22.5" customHeight="1">
      <c r="A909" s="140"/>
      <c r="B909" s="140"/>
      <c r="C909" s="140"/>
      <c r="D909" s="140"/>
      <c r="E909" s="140"/>
      <c r="F909" s="140"/>
      <c r="G909" s="140"/>
    </row>
    <row r="910" ht="22.5" customHeight="1">
      <c r="A910" s="140"/>
      <c r="B910" s="140"/>
      <c r="C910" s="140"/>
      <c r="D910" s="140"/>
      <c r="E910" s="140"/>
      <c r="F910" s="140"/>
      <c r="G910" s="140"/>
    </row>
    <row r="911" ht="22.5" customHeight="1">
      <c r="A911" s="140"/>
      <c r="B911" s="140"/>
      <c r="C911" s="140"/>
      <c r="D911" s="140"/>
      <c r="E911" s="140"/>
      <c r="F911" s="140"/>
      <c r="G911" s="140"/>
    </row>
    <row r="912" ht="22.5" customHeight="1">
      <c r="A912" s="140"/>
      <c r="B912" s="140"/>
      <c r="C912" s="140"/>
      <c r="D912" s="140"/>
      <c r="E912" s="140"/>
      <c r="F912" s="140"/>
      <c r="G912" s="140"/>
    </row>
    <row r="913" ht="22.5" customHeight="1">
      <c r="A913" s="140"/>
      <c r="B913" s="140"/>
      <c r="C913" s="140"/>
      <c r="D913" s="140"/>
      <c r="E913" s="140"/>
      <c r="F913" s="140"/>
      <c r="G913" s="140"/>
    </row>
    <row r="914" ht="22.5" customHeight="1">
      <c r="A914" s="140"/>
      <c r="B914" s="140"/>
      <c r="C914" s="140"/>
      <c r="D914" s="140"/>
      <c r="E914" s="140"/>
      <c r="F914" s="140"/>
      <c r="G914" s="140"/>
    </row>
    <row r="915" ht="22.5" customHeight="1">
      <c r="A915" s="140"/>
      <c r="B915" s="140"/>
      <c r="C915" s="140"/>
      <c r="D915" s="140"/>
      <c r="E915" s="140"/>
      <c r="F915" s="140"/>
      <c r="G915" s="140"/>
    </row>
    <row r="916" ht="22.5" customHeight="1">
      <c r="A916" s="140"/>
      <c r="B916" s="140"/>
      <c r="C916" s="140"/>
      <c r="D916" s="140"/>
      <c r="E916" s="140"/>
      <c r="F916" s="140"/>
      <c r="G916" s="140"/>
    </row>
    <row r="917" ht="22.5" customHeight="1">
      <c r="A917" s="140"/>
      <c r="B917" s="140"/>
      <c r="C917" s="140"/>
      <c r="D917" s="140"/>
      <c r="E917" s="140"/>
      <c r="F917" s="140"/>
      <c r="G917" s="140"/>
    </row>
    <row r="918" ht="22.5" customHeight="1">
      <c r="A918" s="140"/>
      <c r="B918" s="140"/>
      <c r="C918" s="140"/>
      <c r="D918" s="140"/>
      <c r="E918" s="140"/>
      <c r="F918" s="140"/>
      <c r="G918" s="140"/>
    </row>
    <row r="919" ht="22.5" customHeight="1">
      <c r="A919" s="140"/>
      <c r="B919" s="140"/>
      <c r="C919" s="140"/>
      <c r="D919" s="140"/>
      <c r="E919" s="140"/>
      <c r="F919" s="140"/>
      <c r="G919" s="140"/>
    </row>
    <row r="920" ht="22.5" customHeight="1">
      <c r="A920" s="140"/>
      <c r="B920" s="140"/>
      <c r="C920" s="140"/>
      <c r="D920" s="140"/>
      <c r="E920" s="140"/>
      <c r="F920" s="140"/>
      <c r="G920" s="140"/>
    </row>
    <row r="921" ht="22.5" customHeight="1">
      <c r="A921" s="140"/>
      <c r="B921" s="140"/>
      <c r="C921" s="140"/>
      <c r="D921" s="140"/>
      <c r="E921" s="140"/>
      <c r="F921" s="140"/>
      <c r="G921" s="140"/>
    </row>
    <row r="922" ht="22.5" customHeight="1">
      <c r="A922" s="140"/>
      <c r="B922" s="140"/>
      <c r="C922" s="140"/>
      <c r="D922" s="140"/>
      <c r="E922" s="140"/>
      <c r="F922" s="140"/>
      <c r="G922" s="140"/>
    </row>
    <row r="923" ht="22.5" customHeight="1">
      <c r="A923" s="140"/>
      <c r="B923" s="140"/>
      <c r="C923" s="140"/>
      <c r="D923" s="140"/>
      <c r="E923" s="140"/>
      <c r="F923" s="140"/>
      <c r="G923" s="140"/>
    </row>
    <row r="924" ht="22.5" customHeight="1">
      <c r="A924" s="140"/>
      <c r="B924" s="140"/>
      <c r="C924" s="140"/>
      <c r="D924" s="140"/>
      <c r="E924" s="140"/>
      <c r="F924" s="140"/>
      <c r="G924" s="140"/>
    </row>
    <row r="925" ht="22.5" customHeight="1">
      <c r="A925" s="140"/>
      <c r="B925" s="140"/>
      <c r="C925" s="140"/>
      <c r="D925" s="140"/>
      <c r="E925" s="140"/>
      <c r="F925" s="140"/>
      <c r="G925" s="140"/>
    </row>
    <row r="926" ht="22.5" customHeight="1">
      <c r="A926" s="140"/>
      <c r="B926" s="140"/>
      <c r="C926" s="140"/>
      <c r="D926" s="140"/>
      <c r="E926" s="140"/>
      <c r="F926" s="140"/>
      <c r="G926" s="140"/>
    </row>
    <row r="927" ht="22.5" customHeight="1">
      <c r="A927" s="140"/>
      <c r="B927" s="140"/>
      <c r="C927" s="140"/>
      <c r="D927" s="140"/>
      <c r="E927" s="140"/>
      <c r="F927" s="140"/>
      <c r="G927" s="140"/>
    </row>
    <row r="928" ht="22.5" customHeight="1">
      <c r="A928" s="140"/>
      <c r="B928" s="140"/>
      <c r="C928" s="140"/>
      <c r="D928" s="140"/>
      <c r="E928" s="140"/>
      <c r="F928" s="140"/>
      <c r="G928" s="140"/>
    </row>
    <row r="929" ht="22.5" customHeight="1">
      <c r="A929" s="140"/>
      <c r="B929" s="140"/>
      <c r="C929" s="140"/>
      <c r="D929" s="140"/>
      <c r="E929" s="140"/>
      <c r="F929" s="140"/>
      <c r="G929" s="140"/>
    </row>
    <row r="930" ht="22.5" customHeight="1">
      <c r="A930" s="140"/>
      <c r="B930" s="140"/>
      <c r="C930" s="140"/>
      <c r="D930" s="140"/>
      <c r="E930" s="140"/>
      <c r="F930" s="140"/>
      <c r="G930" s="140"/>
    </row>
    <row r="931" ht="22.5" customHeight="1">
      <c r="A931" s="140"/>
      <c r="B931" s="140"/>
      <c r="C931" s="140"/>
      <c r="D931" s="140"/>
      <c r="E931" s="140"/>
      <c r="F931" s="140"/>
      <c r="G931" s="140"/>
    </row>
    <row r="932" ht="22.5" customHeight="1">
      <c r="A932" s="140"/>
      <c r="B932" s="140"/>
      <c r="C932" s="140"/>
      <c r="D932" s="140"/>
      <c r="E932" s="140"/>
      <c r="F932" s="140"/>
      <c r="G932" s="140"/>
    </row>
    <row r="933" ht="22.5" customHeight="1">
      <c r="A933" s="140"/>
      <c r="B933" s="140"/>
      <c r="C933" s="140"/>
      <c r="D933" s="140"/>
      <c r="E933" s="140"/>
      <c r="F933" s="140"/>
      <c r="G933" s="140"/>
    </row>
    <row r="934" ht="22.5" customHeight="1">
      <c r="A934" s="140"/>
      <c r="B934" s="140"/>
      <c r="C934" s="140"/>
      <c r="D934" s="140"/>
      <c r="E934" s="140"/>
      <c r="F934" s="140"/>
      <c r="G934" s="140"/>
    </row>
    <row r="935" ht="22.5" customHeight="1">
      <c r="A935" s="140"/>
      <c r="B935" s="140"/>
      <c r="C935" s="140"/>
      <c r="D935" s="140"/>
      <c r="E935" s="140"/>
      <c r="F935" s="140"/>
      <c r="G935" s="140"/>
    </row>
    <row r="936" ht="22.5" customHeight="1">
      <c r="A936" s="140"/>
      <c r="B936" s="140"/>
      <c r="C936" s="140"/>
      <c r="D936" s="140"/>
      <c r="E936" s="140"/>
      <c r="F936" s="140"/>
      <c r="G936" s="140"/>
    </row>
    <row r="937" ht="22.5" customHeight="1">
      <c r="A937" s="140"/>
      <c r="B937" s="140"/>
      <c r="C937" s="140"/>
      <c r="D937" s="140"/>
      <c r="E937" s="140"/>
      <c r="F937" s="140"/>
      <c r="G937" s="140"/>
    </row>
    <row r="938" ht="22.5" customHeight="1">
      <c r="A938" s="140"/>
      <c r="B938" s="140"/>
      <c r="C938" s="140"/>
      <c r="D938" s="140"/>
      <c r="E938" s="140"/>
      <c r="F938" s="140"/>
      <c r="G938" s="140"/>
    </row>
    <row r="939" ht="22.5" customHeight="1">
      <c r="A939" s="140"/>
      <c r="B939" s="140"/>
      <c r="C939" s="140"/>
      <c r="D939" s="140"/>
      <c r="E939" s="140"/>
      <c r="F939" s="140"/>
      <c r="G939" s="140"/>
    </row>
    <row r="940" ht="22.5" customHeight="1">
      <c r="A940" s="140"/>
      <c r="B940" s="140"/>
      <c r="C940" s="140"/>
      <c r="D940" s="140"/>
      <c r="E940" s="140"/>
      <c r="F940" s="140"/>
      <c r="G940" s="140"/>
    </row>
    <row r="941" ht="22.5" customHeight="1">
      <c r="A941" s="140"/>
      <c r="B941" s="140"/>
      <c r="C941" s="140"/>
      <c r="D941" s="140"/>
      <c r="E941" s="140"/>
      <c r="F941" s="140"/>
      <c r="G941" s="140"/>
    </row>
    <row r="942" ht="22.5" customHeight="1">
      <c r="A942" s="140"/>
      <c r="B942" s="140"/>
      <c r="C942" s="140"/>
      <c r="D942" s="140"/>
      <c r="E942" s="140"/>
      <c r="F942" s="140"/>
      <c r="G942" s="140"/>
    </row>
    <row r="943" ht="22.5" customHeight="1">
      <c r="A943" s="140"/>
      <c r="B943" s="140"/>
      <c r="C943" s="140"/>
      <c r="D943" s="140"/>
      <c r="E943" s="140"/>
      <c r="F943" s="140"/>
      <c r="G943" s="140"/>
    </row>
    <row r="944" ht="22.5" customHeight="1">
      <c r="A944" s="140"/>
      <c r="B944" s="140"/>
      <c r="C944" s="140"/>
      <c r="D944" s="140"/>
      <c r="E944" s="140"/>
      <c r="F944" s="140"/>
      <c r="G944" s="140"/>
    </row>
    <row r="945" ht="22.5" customHeight="1">
      <c r="A945" s="140"/>
      <c r="B945" s="140"/>
      <c r="C945" s="140"/>
      <c r="D945" s="140"/>
      <c r="E945" s="140"/>
      <c r="F945" s="140"/>
      <c r="G945" s="140"/>
    </row>
    <row r="946" ht="22.5" customHeight="1">
      <c r="A946" s="140"/>
      <c r="B946" s="140"/>
      <c r="C946" s="140"/>
      <c r="D946" s="140"/>
      <c r="E946" s="140"/>
      <c r="F946" s="140"/>
      <c r="G946" s="140"/>
    </row>
    <row r="947" ht="22.5" customHeight="1">
      <c r="A947" s="140"/>
      <c r="B947" s="140"/>
      <c r="C947" s="140"/>
      <c r="D947" s="140"/>
      <c r="E947" s="140"/>
      <c r="F947" s="140"/>
      <c r="G947" s="140"/>
    </row>
    <row r="948" ht="22.5" customHeight="1">
      <c r="A948" s="140"/>
      <c r="B948" s="140"/>
      <c r="C948" s="140"/>
      <c r="D948" s="140"/>
      <c r="E948" s="140"/>
      <c r="F948" s="140"/>
      <c r="G948" s="140"/>
    </row>
    <row r="949" ht="22.5" customHeight="1">
      <c r="A949" s="140"/>
      <c r="B949" s="140"/>
      <c r="C949" s="140"/>
      <c r="D949" s="140"/>
      <c r="E949" s="140"/>
      <c r="F949" s="140"/>
      <c r="G949" s="140"/>
    </row>
    <row r="950" ht="22.5" customHeight="1">
      <c r="A950" s="140"/>
      <c r="B950" s="140"/>
      <c r="C950" s="140"/>
      <c r="D950" s="140"/>
      <c r="E950" s="140"/>
      <c r="F950" s="140"/>
      <c r="G950" s="140"/>
    </row>
    <row r="951" ht="22.5" customHeight="1">
      <c r="A951" s="140"/>
      <c r="B951" s="140"/>
      <c r="C951" s="140"/>
      <c r="D951" s="140"/>
      <c r="E951" s="140"/>
      <c r="F951" s="140"/>
      <c r="G951" s="140"/>
    </row>
    <row r="952" ht="22.5" customHeight="1">
      <c r="A952" s="140"/>
      <c r="B952" s="140"/>
      <c r="C952" s="140"/>
      <c r="D952" s="140"/>
      <c r="E952" s="140"/>
      <c r="F952" s="140"/>
      <c r="G952" s="140"/>
    </row>
    <row r="953" ht="22.5" customHeight="1">
      <c r="A953" s="140"/>
      <c r="B953" s="140"/>
      <c r="C953" s="140"/>
      <c r="D953" s="140"/>
      <c r="E953" s="140"/>
      <c r="F953" s="140"/>
      <c r="G953" s="140"/>
    </row>
    <row r="954" ht="22.5" customHeight="1">
      <c r="A954" s="140"/>
      <c r="B954" s="140"/>
      <c r="C954" s="140"/>
      <c r="D954" s="140"/>
      <c r="E954" s="140"/>
      <c r="F954" s="140"/>
      <c r="G954" s="140"/>
    </row>
    <row r="955" ht="22.5" customHeight="1">
      <c r="A955" s="140"/>
      <c r="B955" s="140"/>
      <c r="C955" s="140"/>
      <c r="D955" s="140"/>
      <c r="E955" s="140"/>
      <c r="F955" s="140"/>
      <c r="G955" s="140"/>
    </row>
    <row r="956" ht="22.5" customHeight="1">
      <c r="A956" s="140"/>
      <c r="B956" s="140"/>
      <c r="C956" s="140"/>
      <c r="D956" s="140"/>
      <c r="E956" s="140"/>
      <c r="F956" s="140"/>
      <c r="G956" s="140"/>
    </row>
    <row r="957" ht="22.5" customHeight="1">
      <c r="A957" s="140"/>
      <c r="B957" s="140"/>
      <c r="C957" s="140"/>
      <c r="D957" s="140"/>
      <c r="E957" s="140"/>
      <c r="F957" s="140"/>
      <c r="G957" s="140"/>
    </row>
    <row r="958" ht="22.5" customHeight="1">
      <c r="A958" s="140"/>
      <c r="B958" s="140"/>
      <c r="C958" s="140"/>
      <c r="D958" s="140"/>
      <c r="E958" s="140"/>
      <c r="F958" s="140"/>
      <c r="G958" s="140"/>
    </row>
    <row r="959" ht="22.5" customHeight="1">
      <c r="A959" s="140"/>
      <c r="B959" s="140"/>
      <c r="C959" s="140"/>
      <c r="D959" s="140"/>
      <c r="E959" s="140"/>
      <c r="F959" s="140"/>
      <c r="G959" s="140"/>
    </row>
    <row r="960" ht="22.5" customHeight="1">
      <c r="A960" s="140"/>
      <c r="B960" s="140"/>
      <c r="C960" s="140"/>
      <c r="D960" s="140"/>
      <c r="E960" s="140"/>
      <c r="F960" s="140"/>
      <c r="G960" s="140"/>
    </row>
    <row r="961" ht="22.5" customHeight="1">
      <c r="A961" s="140"/>
      <c r="B961" s="140"/>
      <c r="C961" s="140"/>
      <c r="D961" s="140"/>
      <c r="E961" s="140"/>
      <c r="F961" s="140"/>
      <c r="G961" s="140"/>
    </row>
    <row r="962" ht="22.5" customHeight="1">
      <c r="A962" s="140"/>
      <c r="B962" s="140"/>
      <c r="C962" s="140"/>
      <c r="D962" s="140"/>
      <c r="E962" s="140"/>
      <c r="F962" s="140"/>
      <c r="G962" s="140"/>
    </row>
    <row r="963" ht="22.5" customHeight="1">
      <c r="A963" s="140"/>
      <c r="B963" s="140"/>
      <c r="C963" s="140"/>
      <c r="D963" s="140"/>
      <c r="E963" s="140"/>
      <c r="F963" s="140"/>
      <c r="G963" s="140"/>
    </row>
    <row r="964" ht="22.5" customHeight="1">
      <c r="A964" s="140"/>
      <c r="B964" s="140"/>
      <c r="C964" s="140"/>
      <c r="D964" s="140"/>
      <c r="E964" s="140"/>
      <c r="F964" s="140"/>
      <c r="G964" s="140"/>
    </row>
    <row r="965" ht="22.5" customHeight="1">
      <c r="A965" s="140"/>
      <c r="B965" s="140"/>
      <c r="C965" s="140"/>
      <c r="D965" s="140"/>
      <c r="E965" s="140"/>
      <c r="F965" s="140"/>
      <c r="G965" s="140"/>
    </row>
    <row r="966" ht="22.5" customHeight="1">
      <c r="A966" s="140"/>
      <c r="B966" s="140"/>
      <c r="C966" s="140"/>
      <c r="D966" s="140"/>
      <c r="E966" s="140"/>
      <c r="F966" s="140"/>
      <c r="G966" s="140"/>
    </row>
    <row r="967" ht="22.5" customHeight="1">
      <c r="A967" s="140"/>
      <c r="B967" s="140"/>
      <c r="C967" s="140"/>
      <c r="D967" s="140"/>
      <c r="E967" s="140"/>
      <c r="F967" s="140"/>
      <c r="G967" s="140"/>
    </row>
    <row r="968" ht="22.5" customHeight="1">
      <c r="A968" s="140"/>
      <c r="B968" s="140"/>
      <c r="C968" s="140"/>
      <c r="D968" s="140"/>
      <c r="E968" s="140"/>
      <c r="F968" s="140"/>
      <c r="G968" s="140"/>
    </row>
    <row r="969" ht="22.5" customHeight="1">
      <c r="A969" s="140"/>
      <c r="B969" s="140"/>
      <c r="C969" s="140"/>
      <c r="D969" s="140"/>
      <c r="E969" s="140"/>
      <c r="F969" s="140"/>
      <c r="G969" s="140"/>
    </row>
    <row r="970" ht="22.5" customHeight="1">
      <c r="A970" s="140"/>
      <c r="B970" s="140"/>
      <c r="C970" s="140"/>
      <c r="D970" s="140"/>
      <c r="E970" s="140"/>
      <c r="F970" s="140"/>
      <c r="G970" s="140"/>
    </row>
    <row r="971" ht="22.5" customHeight="1">
      <c r="A971" s="140"/>
      <c r="B971" s="140"/>
      <c r="C971" s="140"/>
      <c r="D971" s="140"/>
      <c r="E971" s="140"/>
      <c r="F971" s="140"/>
      <c r="G971" s="140"/>
    </row>
    <row r="972" ht="22.5" customHeight="1">
      <c r="A972" s="140"/>
      <c r="B972" s="140"/>
      <c r="C972" s="140"/>
      <c r="D972" s="140"/>
      <c r="E972" s="140"/>
      <c r="F972" s="140"/>
      <c r="G972" s="140"/>
    </row>
    <row r="973" ht="22.5" customHeight="1">
      <c r="A973" s="140"/>
      <c r="B973" s="140"/>
      <c r="C973" s="140"/>
      <c r="D973" s="140"/>
      <c r="E973" s="140"/>
      <c r="F973" s="140"/>
      <c r="G973" s="140"/>
    </row>
    <row r="974" ht="22.5" customHeight="1">
      <c r="A974" s="140"/>
      <c r="B974" s="140"/>
      <c r="C974" s="140"/>
      <c r="D974" s="140"/>
      <c r="E974" s="140"/>
      <c r="F974" s="140"/>
      <c r="G974" s="140"/>
    </row>
    <row r="975" ht="22.5" customHeight="1">
      <c r="A975" s="140"/>
      <c r="B975" s="140"/>
      <c r="C975" s="140"/>
      <c r="D975" s="140"/>
      <c r="E975" s="140"/>
      <c r="F975" s="140"/>
      <c r="G975" s="140"/>
    </row>
    <row r="976" ht="22.5" customHeight="1">
      <c r="A976" s="140"/>
      <c r="B976" s="140"/>
      <c r="C976" s="140"/>
      <c r="D976" s="140"/>
      <c r="E976" s="140"/>
      <c r="F976" s="140"/>
      <c r="G976" s="140"/>
    </row>
    <row r="977" ht="22.5" customHeight="1">
      <c r="A977" s="140"/>
      <c r="B977" s="140"/>
      <c r="C977" s="140"/>
      <c r="D977" s="140"/>
      <c r="E977" s="140"/>
      <c r="F977" s="140"/>
      <c r="G977" s="140"/>
    </row>
    <row r="978" ht="22.5" customHeight="1">
      <c r="A978" s="140"/>
      <c r="B978" s="140"/>
      <c r="C978" s="140"/>
      <c r="D978" s="140"/>
      <c r="E978" s="140"/>
      <c r="F978" s="140"/>
      <c r="G978" s="140"/>
    </row>
    <row r="979" ht="22.5" customHeight="1">
      <c r="A979" s="140"/>
      <c r="B979" s="140"/>
      <c r="C979" s="140"/>
      <c r="D979" s="140"/>
      <c r="E979" s="140"/>
      <c r="F979" s="140"/>
      <c r="G979" s="140"/>
    </row>
    <row r="980" ht="22.5" customHeight="1">
      <c r="A980" s="140"/>
      <c r="B980" s="140"/>
      <c r="C980" s="140"/>
      <c r="D980" s="140"/>
      <c r="E980" s="140"/>
      <c r="F980" s="140"/>
      <c r="G980" s="140"/>
    </row>
    <row r="981" ht="22.5" customHeight="1">
      <c r="A981" s="140"/>
      <c r="B981" s="140"/>
      <c r="C981" s="140"/>
      <c r="D981" s="140"/>
      <c r="E981" s="140"/>
      <c r="F981" s="140"/>
      <c r="G981" s="140"/>
    </row>
    <row r="982" ht="22.5" customHeight="1">
      <c r="A982" s="140"/>
      <c r="B982" s="140"/>
      <c r="C982" s="140"/>
      <c r="D982" s="140"/>
      <c r="E982" s="140"/>
      <c r="F982" s="140"/>
      <c r="G982" s="140"/>
    </row>
    <row r="983" ht="22.5" customHeight="1">
      <c r="A983" s="140"/>
      <c r="B983" s="140"/>
      <c r="C983" s="140"/>
      <c r="D983" s="140"/>
      <c r="E983" s="140"/>
      <c r="F983" s="140"/>
      <c r="G983" s="140"/>
    </row>
    <row r="984" ht="22.5" customHeight="1">
      <c r="A984" s="140"/>
      <c r="B984" s="140"/>
      <c r="C984" s="140"/>
      <c r="D984" s="140"/>
      <c r="E984" s="140"/>
      <c r="F984" s="140"/>
      <c r="G984" s="140"/>
    </row>
    <row r="985" ht="22.5" customHeight="1">
      <c r="A985" s="140"/>
      <c r="B985" s="140"/>
      <c r="C985" s="140"/>
      <c r="D985" s="140"/>
      <c r="E985" s="140"/>
      <c r="F985" s="140"/>
      <c r="G985" s="140"/>
    </row>
    <row r="986" ht="22.5" customHeight="1">
      <c r="A986" s="140"/>
      <c r="B986" s="140"/>
      <c r="C986" s="140"/>
      <c r="D986" s="140"/>
      <c r="E986" s="140"/>
      <c r="F986" s="140"/>
      <c r="G986" s="140"/>
    </row>
    <row r="987" ht="22.5" customHeight="1">
      <c r="A987" s="140"/>
      <c r="B987" s="140"/>
      <c r="C987" s="140"/>
      <c r="D987" s="140"/>
      <c r="E987" s="140"/>
      <c r="F987" s="140"/>
      <c r="G987" s="140"/>
    </row>
    <row r="988" ht="22.5" customHeight="1">
      <c r="A988" s="140"/>
      <c r="B988" s="140"/>
      <c r="C988" s="140"/>
      <c r="D988" s="140"/>
      <c r="E988" s="140"/>
      <c r="F988" s="140"/>
      <c r="G988" s="140"/>
    </row>
    <row r="989" ht="22.5" customHeight="1">
      <c r="A989" s="140"/>
      <c r="B989" s="140"/>
      <c r="C989" s="140"/>
      <c r="D989" s="140"/>
      <c r="E989" s="140"/>
      <c r="F989" s="140"/>
      <c r="G989" s="140"/>
    </row>
    <row r="990" ht="22.5" customHeight="1">
      <c r="A990" s="140"/>
      <c r="B990" s="140"/>
      <c r="C990" s="140"/>
      <c r="D990" s="140"/>
      <c r="E990" s="140"/>
      <c r="F990" s="140"/>
      <c r="G990" s="140"/>
    </row>
    <row r="991" ht="22.5" customHeight="1">
      <c r="A991" s="140"/>
      <c r="B991" s="140"/>
      <c r="C991" s="140"/>
      <c r="D991" s="140"/>
      <c r="E991" s="140"/>
      <c r="F991" s="140"/>
      <c r="G991" s="140"/>
    </row>
    <row r="992" ht="22.5" customHeight="1">
      <c r="A992" s="140"/>
      <c r="B992" s="140"/>
      <c r="C992" s="140"/>
      <c r="D992" s="140"/>
      <c r="E992" s="140"/>
      <c r="F992" s="140"/>
      <c r="G992" s="140"/>
    </row>
    <row r="993" ht="22.5" customHeight="1">
      <c r="A993" s="140"/>
      <c r="B993" s="140"/>
      <c r="C993" s="140"/>
      <c r="D993" s="140"/>
      <c r="E993" s="140"/>
      <c r="F993" s="140"/>
      <c r="G993" s="140"/>
    </row>
    <row r="994" ht="22.5" customHeight="1">
      <c r="A994" s="140"/>
      <c r="B994" s="140"/>
      <c r="C994" s="140"/>
      <c r="D994" s="140"/>
      <c r="E994" s="140"/>
      <c r="F994" s="140"/>
      <c r="G994" s="140"/>
    </row>
    <row r="995" ht="22.5" customHeight="1">
      <c r="A995" s="140"/>
      <c r="B995" s="140"/>
      <c r="C995" s="140"/>
      <c r="D995" s="140"/>
      <c r="E995" s="140"/>
      <c r="F995" s="140"/>
      <c r="G995" s="140"/>
    </row>
    <row r="996" ht="22.5" customHeight="1">
      <c r="A996" s="140"/>
      <c r="B996" s="140"/>
      <c r="C996" s="140"/>
      <c r="D996" s="140"/>
      <c r="E996" s="140"/>
      <c r="F996" s="140"/>
      <c r="G996" s="140"/>
    </row>
    <row r="997" ht="22.5" customHeight="1">
      <c r="A997" s="140"/>
      <c r="B997" s="140"/>
      <c r="C997" s="140"/>
      <c r="D997" s="140"/>
      <c r="E997" s="140"/>
      <c r="F997" s="140"/>
      <c r="G997" s="140"/>
    </row>
    <row r="998" ht="22.5" customHeight="1">
      <c r="A998" s="140"/>
      <c r="B998" s="140"/>
      <c r="C998" s="140"/>
      <c r="D998" s="140"/>
      <c r="E998" s="140"/>
      <c r="F998" s="140"/>
      <c r="G998" s="140"/>
    </row>
    <row r="999" ht="22.5" customHeight="1">
      <c r="A999" s="140"/>
      <c r="B999" s="140"/>
      <c r="C999" s="140"/>
      <c r="D999" s="140"/>
      <c r="E999" s="140"/>
      <c r="F999" s="140"/>
      <c r="G999" s="140"/>
    </row>
    <row r="1000" ht="22.5" customHeight="1">
      <c r="A1000" s="140"/>
      <c r="B1000" s="140"/>
      <c r="C1000" s="140"/>
      <c r="D1000" s="140"/>
      <c r="E1000" s="140"/>
      <c r="F1000" s="140"/>
      <c r="G1000" s="140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7" t="str">
        <f>IFERROR(__xludf.DUMMYFUNCTION("QUERY(
  'BASE OS'!A:H,
  ""SELECT E, COUNT(A) 
   GROUP BY E
   ORDER BY COUNT(A) DESC
   LIMIT 4"",
  0
)"),"")</f>
        <v/>
      </c>
      <c r="B1" s="127" t="str">
        <f>IFERROR(__xludf.DUMMYFUNCTION("""COMPUTED_VALUE"""),"count ")</f>
        <v>count </v>
      </c>
    </row>
    <row r="2">
      <c r="A2" s="127" t="str">
        <f>IFERROR(__xludf.DUMMYFUNCTION("""COMPUTED_VALUE"""),"ADELAYDA")</f>
        <v>ADELAYDA</v>
      </c>
      <c r="B2" s="127">
        <f>IFERROR(__xludf.DUMMYFUNCTION("""COMPUTED_VALUE"""),2.0)</f>
        <v>2</v>
      </c>
    </row>
    <row r="3">
      <c r="A3" s="127" t="str">
        <f>IFERROR(__xludf.DUMMYFUNCTION("""COMPUTED_VALUE"""),"GLENDA CAÑAS")</f>
        <v>GLENDA CAÑAS</v>
      </c>
      <c r="B3" s="127">
        <f>IFERROR(__xludf.DUMMYFUNCTION("""COMPUTED_VALUE"""),2.0)</f>
        <v>2</v>
      </c>
    </row>
    <row r="4">
      <c r="A4" s="127" t="str">
        <f>IFERROR(__xludf.DUMMYFUNCTION("""COMPUTED_VALUE"""),"MARÍA JOSE")</f>
        <v>MARÍA JOSE</v>
      </c>
      <c r="B4" s="127">
        <f>IFERROR(__xludf.DUMMYFUNCTION("""COMPUTED_VALUE"""),2.0)</f>
        <v>2</v>
      </c>
    </row>
    <row r="5">
      <c r="A5" s="127" t="str">
        <f>IFERROR(__xludf.DUMMYFUNCTION("""COMPUTED_VALUE"""),"ROBERTO")</f>
        <v>ROBERTO</v>
      </c>
      <c r="B5" s="127">
        <f>IFERROR(__xludf.DUMMYFUNCTION("""COMPUTED_VALUE"""),2.0)</f>
        <v>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63"/>
    <col customWidth="1" min="2" max="2" width="60.25"/>
    <col customWidth="1" min="3" max="3" width="64.25"/>
    <col customWidth="1" min="4" max="4" width="16.0"/>
    <col customWidth="1" min="6" max="6" width="35.63"/>
    <col customWidth="1" min="7" max="7" width="8.0"/>
    <col customWidth="1" min="9" max="9" width="47.63"/>
    <col customWidth="1" min="10" max="10" width="8.0"/>
  </cols>
  <sheetData>
    <row r="1">
      <c r="A1" s="153" t="s">
        <v>175</v>
      </c>
      <c r="B1" s="153" t="s">
        <v>28</v>
      </c>
      <c r="C1" s="153" t="s">
        <v>102</v>
      </c>
      <c r="D1" s="154" t="s">
        <v>176</v>
      </c>
      <c r="E1" s="2"/>
      <c r="F1" s="155" t="s">
        <v>177</v>
      </c>
      <c r="G1" s="156"/>
      <c r="H1" s="2"/>
      <c r="I1" s="157" t="s">
        <v>178</v>
      </c>
      <c r="J1" s="15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59" t="s">
        <v>57</v>
      </c>
      <c r="B2" s="159" t="s">
        <v>179</v>
      </c>
      <c r="C2" s="159" t="s">
        <v>180</v>
      </c>
      <c r="D2" s="160">
        <v>90.0</v>
      </c>
      <c r="E2" s="17"/>
      <c r="F2" s="161" t="s">
        <v>102</v>
      </c>
      <c r="G2" s="161" t="s">
        <v>181</v>
      </c>
      <c r="H2" s="17"/>
      <c r="I2" s="17" t="str">
        <f>IFERROR(__xludf.DUMMYFUNCTION("IF(COUNTIF(A2:A1000, 'CALCULO COBROS'!D4) &gt; 0,
    {FILTER(C:D, A:A = 'CALCULO COBROS'!D4); F3:G1000},
    ARRAYFORMULA(F3:G100)
)"),"")</f>
        <v/>
      </c>
      <c r="J2" s="9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59" t="s">
        <v>57</v>
      </c>
      <c r="B3" s="159" t="s">
        <v>179</v>
      </c>
      <c r="C3" s="159" t="s">
        <v>182</v>
      </c>
      <c r="D3" s="160">
        <v>45.0</v>
      </c>
      <c r="E3" s="17"/>
      <c r="F3" s="62" t="s">
        <v>114</v>
      </c>
      <c r="G3" s="81">
        <v>0.0</v>
      </c>
      <c r="H3" s="17"/>
      <c r="I3" s="17"/>
      <c r="J3" s="9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59" t="s">
        <v>57</v>
      </c>
      <c r="B4" s="159" t="s">
        <v>179</v>
      </c>
      <c r="C4" s="159" t="s">
        <v>183</v>
      </c>
      <c r="D4" s="160">
        <v>25.0</v>
      </c>
      <c r="E4" s="17"/>
      <c r="F4" s="62" t="s">
        <v>184</v>
      </c>
      <c r="G4" s="81">
        <v>0.0</v>
      </c>
      <c r="H4" s="17"/>
      <c r="I4" s="17"/>
      <c r="J4" s="9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9" t="s">
        <v>57</v>
      </c>
      <c r="B5" s="159" t="s">
        <v>179</v>
      </c>
      <c r="C5" s="159" t="s">
        <v>185</v>
      </c>
      <c r="D5" s="160">
        <v>25.0</v>
      </c>
      <c r="E5" s="17"/>
      <c r="F5" s="62" t="s">
        <v>186</v>
      </c>
      <c r="G5" s="81">
        <v>0.0</v>
      </c>
      <c r="H5" s="17"/>
      <c r="I5" s="17"/>
      <c r="J5" s="9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9" t="s">
        <v>57</v>
      </c>
      <c r="B6" s="159" t="s">
        <v>179</v>
      </c>
      <c r="C6" s="159" t="s">
        <v>187</v>
      </c>
      <c r="D6" s="160">
        <v>25.0</v>
      </c>
      <c r="E6" s="17"/>
      <c r="F6" s="62" t="s">
        <v>188</v>
      </c>
      <c r="G6" s="81">
        <v>0.0</v>
      </c>
      <c r="H6" s="17"/>
      <c r="I6" s="17"/>
      <c r="J6" s="9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9" t="s">
        <v>57</v>
      </c>
      <c r="B7" s="159" t="s">
        <v>179</v>
      </c>
      <c r="C7" s="159" t="s">
        <v>189</v>
      </c>
      <c r="D7" s="160">
        <v>150.0</v>
      </c>
      <c r="E7" s="17"/>
      <c r="F7" s="62" t="s">
        <v>190</v>
      </c>
      <c r="G7" s="81">
        <v>0.0</v>
      </c>
      <c r="H7" s="17"/>
      <c r="I7" s="17"/>
      <c r="J7" s="9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9" t="s">
        <v>57</v>
      </c>
      <c r="B8" s="159" t="s">
        <v>179</v>
      </c>
      <c r="C8" s="159" t="s">
        <v>191</v>
      </c>
      <c r="D8" s="160">
        <v>100.0</v>
      </c>
      <c r="E8" s="17"/>
      <c r="F8" s="62" t="s">
        <v>192</v>
      </c>
      <c r="G8" s="81">
        <v>0.0</v>
      </c>
      <c r="H8" s="17"/>
      <c r="I8" s="17"/>
      <c r="J8" s="9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59" t="s">
        <v>57</v>
      </c>
      <c r="B9" s="159" t="s">
        <v>179</v>
      </c>
      <c r="C9" s="159" t="s">
        <v>193</v>
      </c>
      <c r="D9" s="160">
        <v>130.0</v>
      </c>
      <c r="E9" s="17"/>
      <c r="F9" s="62" t="s">
        <v>194</v>
      </c>
      <c r="G9" s="81">
        <v>0.0</v>
      </c>
      <c r="H9" s="17"/>
      <c r="I9" s="17"/>
      <c r="J9" s="9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9" t="s">
        <v>195</v>
      </c>
      <c r="B10" s="159" t="s">
        <v>196</v>
      </c>
      <c r="C10" s="159" t="s">
        <v>180</v>
      </c>
      <c r="D10" s="160">
        <v>90.0</v>
      </c>
      <c r="E10" s="17"/>
      <c r="F10" s="62" t="s">
        <v>197</v>
      </c>
      <c r="G10" s="81">
        <v>0.0</v>
      </c>
      <c r="H10" s="17"/>
      <c r="I10" s="17"/>
      <c r="J10" s="9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59" t="s">
        <v>195</v>
      </c>
      <c r="B11" s="159" t="s">
        <v>196</v>
      </c>
      <c r="C11" s="159" t="s">
        <v>183</v>
      </c>
      <c r="D11" s="160">
        <v>25.0</v>
      </c>
      <c r="E11" s="17"/>
      <c r="F11" s="62" t="s">
        <v>198</v>
      </c>
      <c r="G11" s="81">
        <v>0.0</v>
      </c>
      <c r="H11" s="17"/>
      <c r="I11" s="17"/>
      <c r="J11" s="9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9" t="s">
        <v>199</v>
      </c>
      <c r="B12" s="159" t="s">
        <v>200</v>
      </c>
      <c r="C12" s="159" t="s">
        <v>201</v>
      </c>
      <c r="D12" s="160">
        <v>95.0</v>
      </c>
      <c r="E12" s="17"/>
      <c r="F12" s="62" t="s">
        <v>202</v>
      </c>
      <c r="G12" s="81">
        <v>0.0</v>
      </c>
      <c r="H12" s="17"/>
      <c r="I12" s="17"/>
      <c r="J12" s="9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9" t="s">
        <v>199</v>
      </c>
      <c r="B13" s="159" t="s">
        <v>200</v>
      </c>
      <c r="C13" s="159" t="s">
        <v>203</v>
      </c>
      <c r="D13" s="160">
        <v>25.0</v>
      </c>
      <c r="E13" s="17"/>
      <c r="F13" s="17"/>
      <c r="G13" s="91"/>
      <c r="H13" s="17"/>
      <c r="I13" s="17"/>
      <c r="J13" s="9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59" t="s">
        <v>199</v>
      </c>
      <c r="B14" s="159" t="s">
        <v>200</v>
      </c>
      <c r="C14" s="159" t="s">
        <v>204</v>
      </c>
      <c r="D14" s="160">
        <v>80.0</v>
      </c>
      <c r="E14" s="17"/>
      <c r="F14" s="17"/>
      <c r="G14" s="91"/>
      <c r="H14" s="17"/>
      <c r="I14" s="17"/>
      <c r="J14" s="9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9" t="s">
        <v>199</v>
      </c>
      <c r="B15" s="159" t="s">
        <v>200</v>
      </c>
      <c r="C15" s="159" t="s">
        <v>205</v>
      </c>
      <c r="D15" s="160">
        <v>20.0</v>
      </c>
      <c r="E15" s="17"/>
      <c r="F15" s="17"/>
      <c r="G15" s="91"/>
      <c r="H15" s="17"/>
      <c r="I15" s="17"/>
      <c r="J15" s="9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59" t="s">
        <v>199</v>
      </c>
      <c r="B16" s="159" t="s">
        <v>200</v>
      </c>
      <c r="C16" s="159" t="s">
        <v>187</v>
      </c>
      <c r="D16" s="160">
        <v>25.0</v>
      </c>
      <c r="E16" s="17"/>
      <c r="F16" s="17"/>
      <c r="G16" s="91"/>
      <c r="H16" s="17"/>
      <c r="I16" s="17"/>
      <c r="J16" s="9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59" t="s">
        <v>206</v>
      </c>
      <c r="B17" s="159" t="s">
        <v>207</v>
      </c>
      <c r="C17" s="159" t="s">
        <v>208</v>
      </c>
      <c r="D17" s="160">
        <v>465.0</v>
      </c>
      <c r="E17" s="17"/>
      <c r="F17" s="17"/>
      <c r="G17" s="91"/>
      <c r="H17" s="17"/>
      <c r="I17" s="17"/>
      <c r="J17" s="9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59" t="s">
        <v>206</v>
      </c>
      <c r="B18" s="159" t="s">
        <v>207</v>
      </c>
      <c r="C18" s="159" t="s">
        <v>209</v>
      </c>
      <c r="D18" s="160">
        <v>295.0</v>
      </c>
      <c r="E18" s="17"/>
      <c r="F18" s="17"/>
      <c r="G18" s="91"/>
      <c r="H18" s="17"/>
      <c r="I18" s="17"/>
      <c r="J18" s="9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59" t="s">
        <v>206</v>
      </c>
      <c r="B19" s="159" t="s">
        <v>207</v>
      </c>
      <c r="C19" s="159" t="s">
        <v>210</v>
      </c>
      <c r="D19" s="160">
        <v>35.0</v>
      </c>
      <c r="E19" s="17"/>
      <c r="F19" s="17"/>
      <c r="G19" s="91"/>
      <c r="H19" s="17"/>
      <c r="I19" s="17"/>
      <c r="J19" s="9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9" t="s">
        <v>206</v>
      </c>
      <c r="B20" s="159" t="s">
        <v>207</v>
      </c>
      <c r="C20" s="159" t="s">
        <v>211</v>
      </c>
      <c r="D20" s="160">
        <v>110.0</v>
      </c>
      <c r="E20" s="17"/>
      <c r="F20" s="17"/>
      <c r="G20" s="91"/>
      <c r="H20" s="17"/>
      <c r="I20" s="17"/>
      <c r="J20" s="9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59" t="s">
        <v>206</v>
      </c>
      <c r="B21" s="159" t="s">
        <v>207</v>
      </c>
      <c r="C21" s="159" t="s">
        <v>212</v>
      </c>
      <c r="D21" s="160">
        <v>180.0</v>
      </c>
      <c r="E21" s="17"/>
      <c r="F21" s="17"/>
      <c r="G21" s="91"/>
      <c r="H21" s="17"/>
      <c r="I21" s="17"/>
      <c r="J21" s="9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9" t="s">
        <v>206</v>
      </c>
      <c r="B22" s="159" t="s">
        <v>207</v>
      </c>
      <c r="C22" s="159" t="s">
        <v>213</v>
      </c>
      <c r="D22" s="160">
        <v>50.0</v>
      </c>
      <c r="E22" s="17"/>
      <c r="F22" s="17"/>
      <c r="G22" s="91"/>
      <c r="H22" s="17"/>
      <c r="I22" s="17"/>
      <c r="J22" s="9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59" t="s">
        <v>206</v>
      </c>
      <c r="B23" s="159" t="s">
        <v>207</v>
      </c>
      <c r="C23" s="159" t="s">
        <v>180</v>
      </c>
      <c r="D23" s="160">
        <v>85.0</v>
      </c>
      <c r="E23" s="17"/>
      <c r="F23" s="17"/>
      <c r="G23" s="91"/>
      <c r="H23" s="17"/>
      <c r="I23" s="17"/>
      <c r="J23" s="9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59" t="s">
        <v>206</v>
      </c>
      <c r="B24" s="159" t="s">
        <v>207</v>
      </c>
      <c r="C24" s="159" t="s">
        <v>214</v>
      </c>
      <c r="D24" s="160">
        <v>50.0</v>
      </c>
      <c r="E24" s="17"/>
      <c r="F24" s="17"/>
      <c r="G24" s="91"/>
      <c r="H24" s="17"/>
      <c r="I24" s="17"/>
      <c r="J24" s="9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9" t="s">
        <v>206</v>
      </c>
      <c r="B25" s="159" t="s">
        <v>207</v>
      </c>
      <c r="C25" s="159" t="s">
        <v>215</v>
      </c>
      <c r="D25" s="160">
        <v>330.0</v>
      </c>
      <c r="E25" s="17"/>
      <c r="F25" s="17"/>
      <c r="G25" s="91"/>
      <c r="H25" s="17"/>
      <c r="I25" s="17"/>
      <c r="J25" s="9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59" t="s">
        <v>206</v>
      </c>
      <c r="B26" s="159" t="s">
        <v>207</v>
      </c>
      <c r="C26" s="159" t="s">
        <v>216</v>
      </c>
      <c r="D26" s="160">
        <v>345.0</v>
      </c>
      <c r="E26" s="17"/>
      <c r="F26" s="17"/>
      <c r="G26" s="91"/>
      <c r="H26" s="17"/>
      <c r="I26" s="17"/>
      <c r="J26" s="9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9" t="s">
        <v>206</v>
      </c>
      <c r="B27" s="159" t="s">
        <v>207</v>
      </c>
      <c r="C27" s="159" t="s">
        <v>217</v>
      </c>
      <c r="D27" s="160">
        <v>50.0</v>
      </c>
      <c r="E27" s="17"/>
      <c r="F27" s="17"/>
      <c r="G27" s="91"/>
      <c r="H27" s="17"/>
      <c r="I27" s="17"/>
      <c r="J27" s="9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9" t="s">
        <v>218</v>
      </c>
      <c r="B28" s="159" t="s">
        <v>219</v>
      </c>
      <c r="C28" s="159" t="s">
        <v>180</v>
      </c>
      <c r="D28" s="160">
        <v>69.0</v>
      </c>
      <c r="E28" s="17"/>
      <c r="F28" s="17"/>
      <c r="G28" s="91"/>
      <c r="H28" s="17"/>
      <c r="I28" s="17"/>
      <c r="J28" s="9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9" t="s">
        <v>218</v>
      </c>
      <c r="B29" s="159" t="s">
        <v>219</v>
      </c>
      <c r="C29" s="159" t="s">
        <v>220</v>
      </c>
      <c r="D29" s="160">
        <v>160.0</v>
      </c>
      <c r="E29" s="17"/>
      <c r="F29" s="17"/>
      <c r="G29" s="91"/>
      <c r="H29" s="17"/>
      <c r="I29" s="17"/>
      <c r="J29" s="9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9" t="s">
        <v>221</v>
      </c>
      <c r="B30" s="159" t="s">
        <v>222</v>
      </c>
      <c r="C30" s="159" t="s">
        <v>223</v>
      </c>
      <c r="D30" s="160">
        <v>245.0</v>
      </c>
      <c r="E30" s="17"/>
      <c r="F30" s="17"/>
      <c r="G30" s="91"/>
      <c r="H30" s="17"/>
      <c r="I30" s="17"/>
      <c r="J30" s="9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9" t="s">
        <v>221</v>
      </c>
      <c r="B31" s="159" t="s">
        <v>222</v>
      </c>
      <c r="C31" s="159" t="s">
        <v>224</v>
      </c>
      <c r="D31" s="160">
        <v>160.0</v>
      </c>
      <c r="E31" s="17"/>
      <c r="F31" s="17"/>
      <c r="G31" s="91"/>
      <c r="H31" s="17"/>
      <c r="I31" s="17"/>
      <c r="J31" s="9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9" t="s">
        <v>221</v>
      </c>
      <c r="B32" s="159" t="s">
        <v>222</v>
      </c>
      <c r="C32" s="159" t="s">
        <v>225</v>
      </c>
      <c r="D32" s="160">
        <v>50.0</v>
      </c>
      <c r="E32" s="17"/>
      <c r="F32" s="17"/>
      <c r="G32" s="91"/>
      <c r="H32" s="17"/>
      <c r="I32" s="17"/>
      <c r="J32" s="9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9" t="s">
        <v>226</v>
      </c>
      <c r="B33" s="159" t="s">
        <v>227</v>
      </c>
      <c r="C33" s="159" t="s">
        <v>180</v>
      </c>
      <c r="D33" s="160">
        <v>69.0</v>
      </c>
      <c r="E33" s="17"/>
      <c r="F33" s="17"/>
      <c r="G33" s="91"/>
      <c r="H33" s="17"/>
      <c r="I33" s="17"/>
      <c r="J33" s="9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9" t="s">
        <v>226</v>
      </c>
      <c r="B34" s="159" t="s">
        <v>227</v>
      </c>
      <c r="C34" s="159" t="s">
        <v>225</v>
      </c>
      <c r="D34" s="160">
        <v>50.0</v>
      </c>
      <c r="E34" s="17"/>
      <c r="F34" s="17"/>
      <c r="G34" s="91"/>
      <c r="H34" s="17"/>
      <c r="I34" s="17"/>
      <c r="J34" s="9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9" t="s">
        <v>226</v>
      </c>
      <c r="B35" s="159" t="s">
        <v>227</v>
      </c>
      <c r="C35" s="159" t="s">
        <v>224</v>
      </c>
      <c r="D35" s="160">
        <v>160.0</v>
      </c>
      <c r="E35" s="17"/>
      <c r="F35" s="17"/>
      <c r="G35" s="91"/>
      <c r="H35" s="17"/>
      <c r="I35" s="17"/>
      <c r="J35" s="9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9" t="s">
        <v>226</v>
      </c>
      <c r="B36" s="159" t="s">
        <v>227</v>
      </c>
      <c r="C36" s="159" t="s">
        <v>185</v>
      </c>
      <c r="D36" s="160">
        <v>25.0</v>
      </c>
      <c r="E36" s="17"/>
      <c r="F36" s="17"/>
      <c r="G36" s="91"/>
      <c r="H36" s="17"/>
      <c r="I36" s="17"/>
      <c r="J36" s="9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9" t="s">
        <v>228</v>
      </c>
      <c r="B37" s="159" t="s">
        <v>229</v>
      </c>
      <c r="C37" s="159" t="s">
        <v>180</v>
      </c>
      <c r="D37" s="160">
        <v>69.0</v>
      </c>
      <c r="E37" s="17"/>
      <c r="F37" s="17"/>
      <c r="G37" s="91"/>
      <c r="H37" s="17"/>
      <c r="I37" s="17"/>
      <c r="J37" s="9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59" t="s">
        <v>228</v>
      </c>
      <c r="B38" s="159" t="s">
        <v>229</v>
      </c>
      <c r="C38" s="159" t="s">
        <v>187</v>
      </c>
      <c r="D38" s="160">
        <v>25.0</v>
      </c>
      <c r="E38" s="17"/>
      <c r="F38" s="17"/>
      <c r="G38" s="91"/>
      <c r="H38" s="17"/>
      <c r="I38" s="17"/>
      <c r="J38" s="9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59" t="s">
        <v>62</v>
      </c>
      <c r="B39" s="159" t="s">
        <v>230</v>
      </c>
      <c r="C39" s="159" t="s">
        <v>231</v>
      </c>
      <c r="D39" s="160">
        <v>47.0</v>
      </c>
      <c r="E39" s="17"/>
      <c r="F39" s="17"/>
      <c r="G39" s="91"/>
      <c r="H39" s="17"/>
      <c r="I39" s="17"/>
      <c r="J39" s="9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59" t="s">
        <v>62</v>
      </c>
      <c r="B40" s="159" t="s">
        <v>230</v>
      </c>
      <c r="C40" s="159" t="s">
        <v>232</v>
      </c>
      <c r="D40" s="160">
        <v>50.0</v>
      </c>
      <c r="E40" s="17"/>
      <c r="F40" s="17"/>
      <c r="G40" s="91"/>
      <c r="H40" s="17"/>
      <c r="I40" s="17"/>
      <c r="J40" s="9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59" t="s">
        <v>62</v>
      </c>
      <c r="B41" s="159" t="s">
        <v>230</v>
      </c>
      <c r="C41" s="159" t="s">
        <v>233</v>
      </c>
      <c r="D41" s="160">
        <v>67.0</v>
      </c>
      <c r="E41" s="17"/>
      <c r="F41" s="17"/>
      <c r="G41" s="91"/>
      <c r="H41" s="17"/>
      <c r="I41" s="17"/>
      <c r="J41" s="9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59" t="s">
        <v>62</v>
      </c>
      <c r="B42" s="159" t="s">
        <v>230</v>
      </c>
      <c r="C42" s="159" t="s">
        <v>234</v>
      </c>
      <c r="D42" s="160">
        <v>67.0</v>
      </c>
      <c r="E42" s="17"/>
      <c r="F42" s="17"/>
      <c r="G42" s="91"/>
      <c r="H42" s="17"/>
      <c r="I42" s="17"/>
      <c r="J42" s="9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59" t="s">
        <v>51</v>
      </c>
      <c r="B43" s="159" t="s">
        <v>235</v>
      </c>
      <c r="C43" s="159" t="s">
        <v>236</v>
      </c>
      <c r="D43" s="160">
        <v>75.0</v>
      </c>
      <c r="E43" s="17"/>
      <c r="F43" s="17"/>
      <c r="G43" s="91"/>
      <c r="H43" s="17"/>
      <c r="I43" s="17"/>
      <c r="J43" s="9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59" t="s">
        <v>51</v>
      </c>
      <c r="B44" s="159" t="s">
        <v>235</v>
      </c>
      <c r="C44" s="159" t="s">
        <v>237</v>
      </c>
      <c r="D44" s="160">
        <v>25.0</v>
      </c>
      <c r="E44" s="17"/>
      <c r="F44" s="17"/>
      <c r="G44" s="91"/>
      <c r="H44" s="17"/>
      <c r="I44" s="17"/>
      <c r="J44" s="9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59" t="s">
        <v>238</v>
      </c>
      <c r="B45" s="159" t="s">
        <v>239</v>
      </c>
      <c r="C45" s="159" t="s">
        <v>240</v>
      </c>
      <c r="D45" s="160">
        <v>70.0</v>
      </c>
      <c r="E45" s="17"/>
      <c r="F45" s="17"/>
      <c r="G45" s="91"/>
      <c r="H45" s="17"/>
      <c r="I45" s="17"/>
      <c r="J45" s="9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59" t="s">
        <v>238</v>
      </c>
      <c r="B46" s="159" t="s">
        <v>239</v>
      </c>
      <c r="C46" s="159" t="s">
        <v>241</v>
      </c>
      <c r="D46" s="160">
        <v>200.0</v>
      </c>
      <c r="E46" s="17"/>
      <c r="F46" s="17"/>
      <c r="G46" s="91"/>
      <c r="H46" s="17"/>
      <c r="I46" s="17"/>
      <c r="J46" s="9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59" t="s">
        <v>238</v>
      </c>
      <c r="B47" s="159" t="s">
        <v>239</v>
      </c>
      <c r="C47" s="159" t="s">
        <v>242</v>
      </c>
      <c r="D47" s="160">
        <v>15.0</v>
      </c>
      <c r="E47" s="17"/>
      <c r="F47" s="17"/>
      <c r="G47" s="91"/>
      <c r="H47" s="17"/>
      <c r="I47" s="17"/>
      <c r="J47" s="9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59" t="s">
        <v>238</v>
      </c>
      <c r="B48" s="159" t="s">
        <v>239</v>
      </c>
      <c r="C48" s="159" t="s">
        <v>243</v>
      </c>
      <c r="D48" s="160">
        <v>1.0</v>
      </c>
      <c r="E48" s="17"/>
      <c r="F48" s="17"/>
      <c r="G48" s="91"/>
      <c r="H48" s="17"/>
      <c r="I48" s="17"/>
      <c r="J48" s="9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59" t="s">
        <v>238</v>
      </c>
      <c r="B49" s="159" t="s">
        <v>239</v>
      </c>
      <c r="C49" s="159" t="s">
        <v>182</v>
      </c>
      <c r="D49" s="160">
        <v>200.0</v>
      </c>
      <c r="E49" s="17"/>
      <c r="F49" s="17"/>
      <c r="G49" s="91"/>
      <c r="H49" s="17"/>
      <c r="I49" s="17"/>
      <c r="J49" s="9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59" t="s">
        <v>244</v>
      </c>
      <c r="B50" s="159" t="s">
        <v>245</v>
      </c>
      <c r="C50" s="159" t="s">
        <v>204</v>
      </c>
      <c r="D50" s="160">
        <v>65.0</v>
      </c>
      <c r="E50" s="17"/>
      <c r="F50" s="17"/>
      <c r="G50" s="91"/>
      <c r="H50" s="17"/>
      <c r="I50" s="17"/>
      <c r="J50" s="9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59" t="s">
        <v>244</v>
      </c>
      <c r="B51" s="159" t="s">
        <v>245</v>
      </c>
      <c r="C51" s="159" t="s">
        <v>246</v>
      </c>
      <c r="D51" s="160">
        <v>60.0</v>
      </c>
      <c r="E51" s="17"/>
      <c r="F51" s="17"/>
      <c r="G51" s="91"/>
      <c r="H51" s="17"/>
      <c r="I51" s="17"/>
      <c r="J51" s="9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59" t="s">
        <v>244</v>
      </c>
      <c r="B52" s="159" t="s">
        <v>245</v>
      </c>
      <c r="C52" s="159" t="s">
        <v>187</v>
      </c>
      <c r="D52" s="160">
        <v>20.0</v>
      </c>
      <c r="E52" s="17"/>
      <c r="F52" s="17"/>
      <c r="G52" s="91"/>
      <c r="H52" s="17"/>
      <c r="I52" s="17"/>
      <c r="J52" s="9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59" t="s">
        <v>244</v>
      </c>
      <c r="B53" s="159" t="s">
        <v>245</v>
      </c>
      <c r="C53" s="159" t="s">
        <v>247</v>
      </c>
      <c r="D53" s="160">
        <v>75.0</v>
      </c>
      <c r="E53" s="17"/>
      <c r="F53" s="17"/>
      <c r="G53" s="91"/>
      <c r="H53" s="17"/>
      <c r="I53" s="17"/>
      <c r="J53" s="9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9" t="s">
        <v>244</v>
      </c>
      <c r="B54" s="159" t="s">
        <v>245</v>
      </c>
      <c r="C54" s="159" t="s">
        <v>248</v>
      </c>
      <c r="D54" s="160">
        <v>115.0</v>
      </c>
      <c r="E54" s="17"/>
      <c r="F54" s="17"/>
      <c r="G54" s="91"/>
      <c r="H54" s="17"/>
      <c r="I54" s="17"/>
      <c r="J54" s="9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59" t="s">
        <v>244</v>
      </c>
      <c r="B55" s="159" t="s">
        <v>245</v>
      </c>
      <c r="C55" s="159" t="s">
        <v>249</v>
      </c>
      <c r="D55" s="160">
        <v>130.0</v>
      </c>
      <c r="E55" s="17"/>
      <c r="F55" s="17"/>
      <c r="G55" s="91"/>
      <c r="H55" s="17"/>
      <c r="I55" s="17"/>
      <c r="J55" s="9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59" t="s">
        <v>244</v>
      </c>
      <c r="B56" s="159" t="s">
        <v>245</v>
      </c>
      <c r="C56" s="159" t="s">
        <v>250</v>
      </c>
      <c r="D56" s="160">
        <v>95.0</v>
      </c>
      <c r="E56" s="17"/>
      <c r="F56" s="17"/>
      <c r="G56" s="91"/>
      <c r="H56" s="17"/>
      <c r="I56" s="17"/>
      <c r="J56" s="9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59" t="s">
        <v>251</v>
      </c>
      <c r="B57" s="162" t="s">
        <v>252</v>
      </c>
      <c r="C57" s="159" t="s">
        <v>180</v>
      </c>
      <c r="D57" s="160">
        <v>75.0</v>
      </c>
      <c r="E57" s="17"/>
      <c r="F57" s="17"/>
      <c r="G57" s="91"/>
      <c r="H57" s="17"/>
      <c r="I57" s="17"/>
      <c r="J57" s="9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59" t="s">
        <v>251</v>
      </c>
      <c r="B58" s="159" t="s">
        <v>252</v>
      </c>
      <c r="C58" s="159" t="s">
        <v>220</v>
      </c>
      <c r="D58" s="160">
        <v>75.0</v>
      </c>
      <c r="E58" s="17"/>
      <c r="F58" s="17"/>
      <c r="G58" s="91"/>
      <c r="H58" s="17"/>
      <c r="I58" s="17"/>
      <c r="J58" s="9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59" t="s">
        <v>253</v>
      </c>
      <c r="B59" s="162" t="s">
        <v>254</v>
      </c>
      <c r="C59" s="159" t="s">
        <v>255</v>
      </c>
      <c r="D59" s="160">
        <v>70.0</v>
      </c>
      <c r="E59" s="17"/>
      <c r="F59" s="17"/>
      <c r="G59" s="91"/>
      <c r="H59" s="17"/>
      <c r="I59" s="17"/>
      <c r="J59" s="9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59" t="s">
        <v>253</v>
      </c>
      <c r="B60" s="162" t="s">
        <v>254</v>
      </c>
      <c r="C60" s="159" t="s">
        <v>256</v>
      </c>
      <c r="D60" s="160">
        <v>60.0</v>
      </c>
      <c r="E60" s="17"/>
      <c r="F60" s="17"/>
      <c r="G60" s="91"/>
      <c r="H60" s="17"/>
      <c r="I60" s="17"/>
      <c r="J60" s="9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59" t="s">
        <v>253</v>
      </c>
      <c r="B61" s="162" t="s">
        <v>254</v>
      </c>
      <c r="C61" s="159" t="s">
        <v>257</v>
      </c>
      <c r="D61" s="160">
        <v>75.0</v>
      </c>
      <c r="E61" s="17"/>
      <c r="F61" s="17"/>
      <c r="G61" s="91"/>
      <c r="H61" s="17"/>
      <c r="I61" s="17"/>
      <c r="J61" s="9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59" t="s">
        <v>253</v>
      </c>
      <c r="B62" s="162" t="s">
        <v>254</v>
      </c>
      <c r="C62" s="159" t="s">
        <v>258</v>
      </c>
      <c r="D62" s="160">
        <v>20.0</v>
      </c>
      <c r="E62" s="17"/>
      <c r="F62" s="17"/>
      <c r="G62" s="91"/>
      <c r="H62" s="17"/>
      <c r="I62" s="17"/>
      <c r="J62" s="9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59" t="s">
        <v>253</v>
      </c>
      <c r="B63" s="162" t="s">
        <v>254</v>
      </c>
      <c r="C63" s="159" t="s">
        <v>187</v>
      </c>
      <c r="D63" s="160">
        <v>30.0</v>
      </c>
      <c r="E63" s="17"/>
      <c r="F63" s="17"/>
      <c r="G63" s="91"/>
      <c r="H63" s="17"/>
      <c r="I63" s="17"/>
      <c r="J63" s="9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59" t="s">
        <v>253</v>
      </c>
      <c r="B64" s="162" t="s">
        <v>254</v>
      </c>
      <c r="C64" s="159" t="s">
        <v>259</v>
      </c>
      <c r="D64" s="160">
        <v>90.0</v>
      </c>
      <c r="E64" s="17"/>
      <c r="F64" s="17"/>
      <c r="G64" s="91"/>
      <c r="H64" s="17"/>
      <c r="I64" s="17"/>
      <c r="J64" s="9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59" t="s">
        <v>253</v>
      </c>
      <c r="B65" s="162" t="s">
        <v>254</v>
      </c>
      <c r="C65" s="159" t="s">
        <v>260</v>
      </c>
      <c r="D65" s="160">
        <v>50.0</v>
      </c>
      <c r="E65" s="17"/>
      <c r="F65" s="17"/>
      <c r="G65" s="91"/>
      <c r="H65" s="17"/>
      <c r="I65" s="17"/>
      <c r="J65" s="9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59" t="s">
        <v>253</v>
      </c>
      <c r="B66" s="162" t="s">
        <v>254</v>
      </c>
      <c r="C66" s="159" t="s">
        <v>261</v>
      </c>
      <c r="D66" s="160">
        <v>20.0</v>
      </c>
      <c r="E66" s="17"/>
      <c r="F66" s="17"/>
      <c r="G66" s="91"/>
      <c r="H66" s="17"/>
      <c r="I66" s="17"/>
      <c r="J66" s="9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59" t="s">
        <v>10</v>
      </c>
      <c r="B67" s="162" t="s">
        <v>262</v>
      </c>
      <c r="C67" s="159" t="s">
        <v>263</v>
      </c>
      <c r="D67" s="160">
        <v>65.0</v>
      </c>
      <c r="E67" s="17"/>
      <c r="F67" s="17"/>
      <c r="G67" s="91"/>
      <c r="H67" s="17"/>
      <c r="I67" s="17"/>
      <c r="J67" s="9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59" t="s">
        <v>10</v>
      </c>
      <c r="B68" s="162" t="s">
        <v>262</v>
      </c>
      <c r="C68" s="159" t="s">
        <v>264</v>
      </c>
      <c r="D68" s="160">
        <v>50.0</v>
      </c>
      <c r="E68" s="17"/>
      <c r="F68" s="17"/>
      <c r="G68" s="91"/>
      <c r="H68" s="17"/>
      <c r="I68" s="17"/>
      <c r="J68" s="9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59" t="s">
        <v>10</v>
      </c>
      <c r="B69" s="162" t="s">
        <v>262</v>
      </c>
      <c r="C69" s="159" t="s">
        <v>265</v>
      </c>
      <c r="D69" s="160">
        <v>80.0</v>
      </c>
      <c r="E69" s="17"/>
      <c r="F69" s="17"/>
      <c r="G69" s="91"/>
      <c r="H69" s="17"/>
      <c r="I69" s="17"/>
      <c r="J69" s="9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59" t="s">
        <v>10</v>
      </c>
      <c r="B70" s="162" t="s">
        <v>262</v>
      </c>
      <c r="C70" s="159" t="s">
        <v>266</v>
      </c>
      <c r="D70" s="160">
        <v>60.0</v>
      </c>
      <c r="E70" s="17"/>
      <c r="F70" s="17"/>
      <c r="G70" s="91"/>
      <c r="H70" s="17"/>
      <c r="I70" s="17"/>
      <c r="J70" s="9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9" t="s">
        <v>10</v>
      </c>
      <c r="B71" s="162" t="s">
        <v>262</v>
      </c>
      <c r="C71" s="159" t="s">
        <v>267</v>
      </c>
      <c r="D71" s="160">
        <v>15.0</v>
      </c>
      <c r="E71" s="17"/>
      <c r="F71" s="17"/>
      <c r="G71" s="91"/>
      <c r="H71" s="17"/>
      <c r="I71" s="17"/>
      <c r="J71" s="9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59" t="s">
        <v>10</v>
      </c>
      <c r="B72" s="162" t="s">
        <v>262</v>
      </c>
      <c r="C72" s="159" t="s">
        <v>268</v>
      </c>
      <c r="D72" s="160">
        <v>75.0</v>
      </c>
      <c r="E72" s="17"/>
      <c r="F72" s="17"/>
      <c r="G72" s="91"/>
      <c r="H72" s="17"/>
      <c r="I72" s="17"/>
      <c r="J72" s="9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59" t="s">
        <v>269</v>
      </c>
      <c r="B73" s="162" t="s">
        <v>270</v>
      </c>
      <c r="C73" s="159" t="s">
        <v>271</v>
      </c>
      <c r="D73" s="160">
        <v>45.0</v>
      </c>
      <c r="E73" s="17"/>
      <c r="F73" s="17"/>
      <c r="G73" s="91"/>
      <c r="H73" s="17"/>
      <c r="I73" s="17"/>
      <c r="J73" s="9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59" t="s">
        <v>269</v>
      </c>
      <c r="B74" s="162" t="s">
        <v>270</v>
      </c>
      <c r="C74" s="159" t="s">
        <v>272</v>
      </c>
      <c r="D74" s="160">
        <v>60.0</v>
      </c>
      <c r="E74" s="17"/>
      <c r="F74" s="17"/>
      <c r="G74" s="91"/>
      <c r="H74" s="17"/>
      <c r="I74" s="17"/>
      <c r="J74" s="9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59" t="s">
        <v>269</v>
      </c>
      <c r="B75" s="162" t="s">
        <v>270</v>
      </c>
      <c r="C75" s="159" t="s">
        <v>242</v>
      </c>
      <c r="D75" s="160">
        <v>15.0</v>
      </c>
      <c r="E75" s="17"/>
      <c r="F75" s="17"/>
      <c r="G75" s="91"/>
      <c r="H75" s="17"/>
      <c r="I75" s="17"/>
      <c r="J75" s="9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59" t="s">
        <v>273</v>
      </c>
      <c r="B76" s="162" t="s">
        <v>274</v>
      </c>
      <c r="C76" s="159" t="s">
        <v>180</v>
      </c>
      <c r="D76" s="160">
        <v>53.1</v>
      </c>
      <c r="E76" s="17"/>
      <c r="F76" s="17"/>
      <c r="G76" s="91"/>
      <c r="H76" s="17"/>
      <c r="I76" s="17"/>
      <c r="J76" s="9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59" t="s">
        <v>47</v>
      </c>
      <c r="B77" s="159" t="s">
        <v>275</v>
      </c>
      <c r="C77" s="159" t="s">
        <v>115</v>
      </c>
      <c r="D77" s="160">
        <v>70.0</v>
      </c>
      <c r="E77" s="17"/>
      <c r="F77" s="17"/>
      <c r="G77" s="91"/>
      <c r="H77" s="17"/>
      <c r="I77" s="17"/>
      <c r="J77" s="9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59" t="s">
        <v>47</v>
      </c>
      <c r="B78" s="159" t="s">
        <v>275</v>
      </c>
      <c r="C78" s="159" t="s">
        <v>205</v>
      </c>
      <c r="D78" s="160">
        <v>30.0</v>
      </c>
      <c r="E78" s="17"/>
      <c r="F78" s="17"/>
      <c r="G78" s="91"/>
      <c r="H78" s="17"/>
      <c r="I78" s="17"/>
      <c r="J78" s="9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9" t="s">
        <v>276</v>
      </c>
      <c r="B79" s="159" t="s">
        <v>277</v>
      </c>
      <c r="C79" s="159" t="s">
        <v>220</v>
      </c>
      <c r="D79" s="160">
        <v>395.0</v>
      </c>
      <c r="E79" s="17"/>
      <c r="F79" s="17"/>
      <c r="G79" s="91"/>
      <c r="H79" s="17"/>
      <c r="I79" s="17"/>
      <c r="J79" s="9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59" t="s">
        <v>276</v>
      </c>
      <c r="B80" s="159" t="s">
        <v>277</v>
      </c>
      <c r="C80" s="159" t="s">
        <v>278</v>
      </c>
      <c r="D80" s="160">
        <v>65.0</v>
      </c>
      <c r="E80" s="17"/>
      <c r="F80" s="17"/>
      <c r="G80" s="91"/>
      <c r="H80" s="17"/>
      <c r="I80" s="17"/>
      <c r="J80" s="9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59" t="s">
        <v>276</v>
      </c>
      <c r="B81" s="159" t="s">
        <v>277</v>
      </c>
      <c r="C81" s="159" t="s">
        <v>213</v>
      </c>
      <c r="D81" s="160">
        <v>65.0</v>
      </c>
      <c r="E81" s="17"/>
      <c r="F81" s="17"/>
      <c r="G81" s="91"/>
      <c r="H81" s="17"/>
      <c r="I81" s="17"/>
      <c r="J81" s="9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59" t="s">
        <v>279</v>
      </c>
      <c r="B82" s="159" t="s">
        <v>280</v>
      </c>
      <c r="C82" s="159" t="s">
        <v>180</v>
      </c>
      <c r="D82" s="160">
        <v>110.0</v>
      </c>
      <c r="E82" s="17"/>
      <c r="F82" s="17"/>
      <c r="G82" s="91"/>
      <c r="H82" s="17"/>
      <c r="I82" s="17"/>
      <c r="J82" s="9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59" t="s">
        <v>281</v>
      </c>
      <c r="B83" s="159" t="s">
        <v>282</v>
      </c>
      <c r="C83" s="159" t="s">
        <v>180</v>
      </c>
      <c r="D83" s="160">
        <v>65.0</v>
      </c>
      <c r="E83" s="17"/>
      <c r="F83" s="17"/>
      <c r="G83" s="91"/>
      <c r="H83" s="17"/>
      <c r="I83" s="17"/>
      <c r="J83" s="9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59" t="s">
        <v>283</v>
      </c>
      <c r="B84" s="159" t="s">
        <v>284</v>
      </c>
      <c r="C84" s="159" t="s">
        <v>180</v>
      </c>
      <c r="D84" s="160">
        <v>100.0</v>
      </c>
      <c r="E84" s="17"/>
      <c r="F84" s="17"/>
      <c r="G84" s="91"/>
      <c r="H84" s="17"/>
      <c r="I84" s="17"/>
      <c r="J84" s="9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59" t="s">
        <v>285</v>
      </c>
      <c r="B85" s="159" t="s">
        <v>286</v>
      </c>
      <c r="C85" s="159" t="s">
        <v>180</v>
      </c>
      <c r="D85" s="160">
        <v>70.0</v>
      </c>
      <c r="E85" s="17"/>
      <c r="F85" s="17"/>
      <c r="G85" s="91"/>
      <c r="H85" s="17"/>
      <c r="I85" s="17"/>
      <c r="J85" s="9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59" t="s">
        <v>285</v>
      </c>
      <c r="B86" s="159" t="s">
        <v>286</v>
      </c>
      <c r="C86" s="159" t="s">
        <v>287</v>
      </c>
      <c r="D86" s="160">
        <v>50.0</v>
      </c>
      <c r="E86" s="17"/>
      <c r="F86" s="17"/>
      <c r="G86" s="91"/>
      <c r="H86" s="17"/>
      <c r="I86" s="17"/>
      <c r="J86" s="9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59" t="s">
        <v>158</v>
      </c>
      <c r="B87" s="159" t="s">
        <v>288</v>
      </c>
      <c r="C87" s="159" t="s">
        <v>180</v>
      </c>
      <c r="D87" s="160">
        <v>75.0</v>
      </c>
      <c r="E87" s="17"/>
      <c r="F87" s="17"/>
      <c r="G87" s="91"/>
      <c r="H87" s="17"/>
      <c r="I87" s="17"/>
      <c r="J87" s="9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59" t="s">
        <v>158</v>
      </c>
      <c r="B88" s="159" t="s">
        <v>288</v>
      </c>
      <c r="C88" s="159" t="s">
        <v>205</v>
      </c>
      <c r="D88" s="160">
        <v>25.0</v>
      </c>
      <c r="E88" s="17"/>
      <c r="F88" s="17"/>
      <c r="G88" s="91"/>
      <c r="H88" s="17"/>
      <c r="I88" s="17"/>
      <c r="J88" s="9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59" t="s">
        <v>158</v>
      </c>
      <c r="B89" s="159" t="s">
        <v>288</v>
      </c>
      <c r="C89" s="159" t="s">
        <v>289</v>
      </c>
      <c r="D89" s="160">
        <v>25.0</v>
      </c>
      <c r="E89" s="17"/>
      <c r="F89" s="17"/>
      <c r="G89" s="91"/>
      <c r="H89" s="17"/>
      <c r="I89" s="17"/>
      <c r="J89" s="9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9" t="s">
        <v>172</v>
      </c>
      <c r="B90" s="159" t="s">
        <v>290</v>
      </c>
      <c r="C90" s="159" t="s">
        <v>180</v>
      </c>
      <c r="D90" s="160">
        <v>75.0</v>
      </c>
      <c r="E90" s="17"/>
      <c r="F90" s="17"/>
      <c r="G90" s="91"/>
      <c r="H90" s="17"/>
      <c r="I90" s="17"/>
      <c r="J90" s="9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59" t="s">
        <v>172</v>
      </c>
      <c r="B91" s="159" t="s">
        <v>290</v>
      </c>
      <c r="C91" s="159" t="s">
        <v>291</v>
      </c>
      <c r="D91" s="160">
        <v>35.0</v>
      </c>
      <c r="E91" s="17"/>
      <c r="F91" s="17"/>
      <c r="G91" s="91"/>
      <c r="H91" s="17"/>
      <c r="I91" s="17"/>
      <c r="J91" s="9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59" t="s">
        <v>172</v>
      </c>
      <c r="B92" s="159" t="s">
        <v>290</v>
      </c>
      <c r="C92" s="159" t="s">
        <v>292</v>
      </c>
      <c r="D92" s="160">
        <v>15.0</v>
      </c>
      <c r="E92" s="17"/>
      <c r="F92" s="17"/>
      <c r="G92" s="91"/>
      <c r="H92" s="17"/>
      <c r="I92" s="17"/>
      <c r="J92" s="9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59" t="s">
        <v>172</v>
      </c>
      <c r="B93" s="159" t="s">
        <v>290</v>
      </c>
      <c r="C93" s="159" t="s">
        <v>185</v>
      </c>
      <c r="D93" s="160">
        <v>25.0</v>
      </c>
      <c r="E93" s="17"/>
      <c r="F93" s="17"/>
      <c r="G93" s="91"/>
      <c r="H93" s="17"/>
      <c r="I93" s="17"/>
      <c r="J93" s="9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59" t="s">
        <v>172</v>
      </c>
      <c r="B94" s="159" t="s">
        <v>290</v>
      </c>
      <c r="C94" s="159" t="s">
        <v>293</v>
      </c>
      <c r="D94" s="160">
        <v>10.0</v>
      </c>
      <c r="E94" s="17"/>
      <c r="F94" s="17"/>
      <c r="G94" s="91"/>
      <c r="H94" s="17"/>
      <c r="I94" s="17"/>
      <c r="J94" s="9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59" t="s">
        <v>172</v>
      </c>
      <c r="B95" s="159" t="s">
        <v>290</v>
      </c>
      <c r="C95" s="159" t="s">
        <v>294</v>
      </c>
      <c r="D95" s="160">
        <v>15.0</v>
      </c>
      <c r="E95" s="17"/>
      <c r="F95" s="17"/>
      <c r="G95" s="91"/>
      <c r="H95" s="17"/>
      <c r="I95" s="17"/>
      <c r="J95" s="9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59" t="s">
        <v>295</v>
      </c>
      <c r="B96" s="159" t="s">
        <v>296</v>
      </c>
      <c r="C96" s="159" t="s">
        <v>180</v>
      </c>
      <c r="D96" s="160">
        <v>75.0</v>
      </c>
      <c r="E96" s="17"/>
      <c r="F96" s="17"/>
      <c r="G96" s="91"/>
      <c r="H96" s="17"/>
      <c r="I96" s="17"/>
      <c r="J96" s="9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59" t="s">
        <v>295</v>
      </c>
      <c r="B97" s="159" t="s">
        <v>296</v>
      </c>
      <c r="C97" s="159" t="s">
        <v>205</v>
      </c>
      <c r="D97" s="160">
        <v>15.0</v>
      </c>
      <c r="E97" s="17"/>
      <c r="F97" s="17"/>
      <c r="G97" s="91"/>
      <c r="H97" s="17"/>
      <c r="I97" s="17"/>
      <c r="J97" s="9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59" t="s">
        <v>295</v>
      </c>
      <c r="B98" s="159" t="s">
        <v>296</v>
      </c>
      <c r="C98" s="159" t="s">
        <v>297</v>
      </c>
      <c r="D98" s="160">
        <v>30.0</v>
      </c>
      <c r="E98" s="17"/>
      <c r="F98" s="17"/>
      <c r="G98" s="91"/>
      <c r="H98" s="17"/>
      <c r="I98" s="17"/>
      <c r="J98" s="9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59" t="s">
        <v>298</v>
      </c>
      <c r="B99" s="159" t="s">
        <v>299</v>
      </c>
      <c r="C99" s="159" t="s">
        <v>180</v>
      </c>
      <c r="D99" s="160">
        <v>70.0</v>
      </c>
      <c r="E99" s="17"/>
      <c r="F99" s="17"/>
      <c r="G99" s="91"/>
      <c r="H99" s="17"/>
      <c r="I99" s="17"/>
      <c r="J99" s="9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59" t="s">
        <v>298</v>
      </c>
      <c r="B100" s="159" t="s">
        <v>299</v>
      </c>
      <c r="C100" s="159" t="s">
        <v>220</v>
      </c>
      <c r="D100" s="160">
        <v>75.0</v>
      </c>
      <c r="E100" s="17"/>
      <c r="F100" s="17"/>
      <c r="G100" s="91"/>
      <c r="H100" s="17"/>
      <c r="I100" s="17"/>
      <c r="J100" s="9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63" t="s">
        <v>173</v>
      </c>
      <c r="B101" s="164" t="s">
        <v>300</v>
      </c>
      <c r="C101" s="164" t="s">
        <v>180</v>
      </c>
      <c r="D101" s="165">
        <v>69.0</v>
      </c>
      <c r="E101" s="17"/>
      <c r="F101" s="17"/>
      <c r="G101" s="91"/>
      <c r="H101" s="17"/>
      <c r="I101" s="17"/>
      <c r="J101" s="9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66" t="s">
        <v>173</v>
      </c>
      <c r="B102" s="167" t="s">
        <v>300</v>
      </c>
      <c r="C102" s="167" t="s">
        <v>241</v>
      </c>
      <c r="D102" s="168">
        <v>175.0</v>
      </c>
      <c r="E102" s="169"/>
      <c r="F102" s="169"/>
      <c r="G102" s="170"/>
      <c r="H102" s="169"/>
      <c r="I102" s="169"/>
      <c r="J102" s="170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</row>
    <row r="103">
      <c r="A103" s="166" t="s">
        <v>173</v>
      </c>
      <c r="B103" s="167" t="s">
        <v>300</v>
      </c>
      <c r="C103" s="167" t="s">
        <v>213</v>
      </c>
      <c r="D103" s="168">
        <v>50.0</v>
      </c>
      <c r="E103" s="17"/>
      <c r="F103" s="17"/>
      <c r="G103" s="91"/>
      <c r="H103" s="17"/>
      <c r="I103" s="17"/>
      <c r="J103" s="91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66" t="s">
        <v>173</v>
      </c>
      <c r="B104" s="167" t="s">
        <v>300</v>
      </c>
      <c r="C104" s="167" t="s">
        <v>301</v>
      </c>
      <c r="D104" s="168">
        <v>25.0</v>
      </c>
      <c r="E104" s="17"/>
      <c r="F104" s="17"/>
      <c r="G104" s="91"/>
      <c r="H104" s="17"/>
      <c r="I104" s="17"/>
      <c r="J104" s="91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66" t="s">
        <v>173</v>
      </c>
      <c r="B105" s="167" t="s">
        <v>300</v>
      </c>
      <c r="C105" s="167" t="s">
        <v>187</v>
      </c>
      <c r="D105" s="168">
        <v>25.0</v>
      </c>
      <c r="E105" s="17"/>
      <c r="F105" s="17"/>
      <c r="G105" s="91"/>
      <c r="H105" s="17"/>
      <c r="I105" s="17"/>
      <c r="J105" s="91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66" t="s">
        <v>173</v>
      </c>
      <c r="B106" s="167" t="s">
        <v>300</v>
      </c>
      <c r="C106" s="167" t="s">
        <v>205</v>
      </c>
      <c r="D106" s="168">
        <v>25.0</v>
      </c>
      <c r="E106" s="17"/>
      <c r="F106" s="17"/>
      <c r="G106" s="91"/>
      <c r="H106" s="17"/>
      <c r="I106" s="17"/>
      <c r="J106" s="91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66" t="s">
        <v>173</v>
      </c>
      <c r="B107" s="167" t="s">
        <v>300</v>
      </c>
      <c r="C107" s="167" t="s">
        <v>258</v>
      </c>
      <c r="D107" s="168">
        <v>75.0</v>
      </c>
      <c r="E107" s="17"/>
      <c r="F107" s="17"/>
      <c r="G107" s="91"/>
      <c r="H107" s="17"/>
      <c r="I107" s="17"/>
      <c r="J107" s="91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66" t="s">
        <v>173</v>
      </c>
      <c r="B108" s="167" t="s">
        <v>300</v>
      </c>
      <c r="C108" s="167" t="s">
        <v>302</v>
      </c>
      <c r="D108" s="168">
        <v>65.0</v>
      </c>
      <c r="E108" s="17"/>
      <c r="F108" s="17"/>
      <c r="G108" s="91"/>
      <c r="H108" s="17"/>
      <c r="I108" s="17"/>
      <c r="J108" s="91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66" t="s">
        <v>173</v>
      </c>
      <c r="B109" s="167" t="s">
        <v>300</v>
      </c>
      <c r="C109" s="171" t="s">
        <v>303</v>
      </c>
      <c r="D109" s="172">
        <v>225.0</v>
      </c>
      <c r="E109" s="17"/>
      <c r="F109" s="17"/>
      <c r="G109" s="91"/>
      <c r="H109" s="17"/>
      <c r="I109" s="17"/>
      <c r="J109" s="91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66" t="s">
        <v>173</v>
      </c>
      <c r="B110" s="167" t="s">
        <v>300</v>
      </c>
      <c r="C110" s="167" t="s">
        <v>304</v>
      </c>
      <c r="D110" s="168">
        <v>50.0</v>
      </c>
      <c r="E110" s="17"/>
      <c r="F110" s="17"/>
      <c r="G110" s="91"/>
      <c r="H110" s="17"/>
      <c r="I110" s="17"/>
      <c r="J110" s="91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66" t="s">
        <v>173</v>
      </c>
      <c r="B111" s="167" t="s">
        <v>300</v>
      </c>
      <c r="C111" s="167" t="s">
        <v>305</v>
      </c>
      <c r="D111" s="168">
        <v>25.0</v>
      </c>
      <c r="E111" s="17"/>
      <c r="F111" s="17"/>
      <c r="G111" s="91"/>
      <c r="H111" s="17"/>
      <c r="I111" s="17"/>
      <c r="J111" s="91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66" t="s">
        <v>173</v>
      </c>
      <c r="B112" s="167" t="s">
        <v>300</v>
      </c>
      <c r="C112" s="167" t="s">
        <v>306</v>
      </c>
      <c r="D112" s="168">
        <v>200.0</v>
      </c>
      <c r="E112" s="17"/>
      <c r="F112" s="17"/>
      <c r="G112" s="91"/>
      <c r="H112" s="17"/>
      <c r="I112" s="17"/>
      <c r="J112" s="91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66" t="s">
        <v>173</v>
      </c>
      <c r="B113" s="167" t="s">
        <v>300</v>
      </c>
      <c r="C113" s="167" t="s">
        <v>307</v>
      </c>
      <c r="D113" s="168">
        <v>445.0</v>
      </c>
      <c r="E113" s="17"/>
      <c r="F113" s="17"/>
      <c r="G113" s="91"/>
      <c r="H113" s="17"/>
      <c r="I113" s="17"/>
      <c r="J113" s="91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66" t="s">
        <v>173</v>
      </c>
      <c r="B114" s="167" t="s">
        <v>300</v>
      </c>
      <c r="C114" s="173" t="s">
        <v>308</v>
      </c>
      <c r="D114" s="168">
        <v>50.0</v>
      </c>
      <c r="E114" s="17"/>
      <c r="F114" s="17"/>
      <c r="G114" s="91"/>
      <c r="H114" s="17"/>
      <c r="I114" s="17"/>
      <c r="J114" s="91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66" t="s">
        <v>173</v>
      </c>
      <c r="B115" s="167" t="s">
        <v>300</v>
      </c>
      <c r="C115" s="174" t="s">
        <v>309</v>
      </c>
      <c r="D115" s="168">
        <v>25.0</v>
      </c>
      <c r="E115" s="17"/>
      <c r="F115" s="17"/>
      <c r="G115" s="91"/>
      <c r="H115" s="17"/>
      <c r="I115" s="17"/>
      <c r="J115" s="91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66" t="s">
        <v>173</v>
      </c>
      <c r="B116" s="167" t="s">
        <v>300</v>
      </c>
      <c r="C116" s="174" t="s">
        <v>310</v>
      </c>
      <c r="D116" s="168">
        <v>160.0</v>
      </c>
      <c r="E116" s="17"/>
      <c r="F116" s="17"/>
      <c r="G116" s="91"/>
      <c r="H116" s="17"/>
      <c r="I116" s="17"/>
      <c r="J116" s="91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66" t="s">
        <v>173</v>
      </c>
      <c r="B117" s="167" t="s">
        <v>300</v>
      </c>
      <c r="C117" s="175" t="s">
        <v>311</v>
      </c>
      <c r="D117" s="168">
        <v>160.0</v>
      </c>
      <c r="E117" s="17"/>
      <c r="F117" s="17"/>
      <c r="G117" s="91"/>
      <c r="H117" s="17"/>
      <c r="I117" s="17"/>
      <c r="J117" s="91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66" t="s">
        <v>173</v>
      </c>
      <c r="B118" s="167" t="s">
        <v>300</v>
      </c>
      <c r="C118" s="167" t="s">
        <v>312</v>
      </c>
      <c r="D118" s="168">
        <v>75.0</v>
      </c>
      <c r="E118" s="17"/>
      <c r="F118" s="17"/>
      <c r="G118" s="91"/>
      <c r="H118" s="17"/>
      <c r="I118" s="17"/>
      <c r="J118" s="91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66" t="s">
        <v>173</v>
      </c>
      <c r="B119" s="167" t="s">
        <v>300</v>
      </c>
      <c r="C119" s="171" t="s">
        <v>313</v>
      </c>
      <c r="D119" s="172">
        <v>120.0</v>
      </c>
      <c r="E119" s="17"/>
      <c r="F119" s="17"/>
      <c r="G119" s="91"/>
      <c r="H119" s="17"/>
      <c r="I119" s="17"/>
      <c r="J119" s="91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66" t="s">
        <v>173</v>
      </c>
      <c r="B120" s="167" t="s">
        <v>300</v>
      </c>
      <c r="C120" s="171" t="s">
        <v>314</v>
      </c>
      <c r="D120" s="172">
        <v>260.0</v>
      </c>
      <c r="E120" s="17"/>
      <c r="F120" s="17"/>
      <c r="G120" s="91"/>
      <c r="H120" s="17"/>
      <c r="I120" s="17"/>
      <c r="J120" s="91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91"/>
      <c r="E121" s="17"/>
      <c r="F121" s="17"/>
      <c r="G121" s="91"/>
      <c r="H121" s="17"/>
      <c r="I121" s="17"/>
      <c r="J121" s="91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91"/>
      <c r="E122" s="17"/>
      <c r="F122" s="17"/>
      <c r="G122" s="91"/>
      <c r="H122" s="17"/>
      <c r="I122" s="17"/>
      <c r="J122" s="91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91"/>
      <c r="E123" s="17"/>
      <c r="F123" s="17"/>
      <c r="G123" s="91"/>
      <c r="H123" s="17"/>
      <c r="I123" s="17"/>
      <c r="J123" s="91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91"/>
      <c r="E124" s="17"/>
      <c r="F124" s="17"/>
      <c r="G124" s="91"/>
      <c r="H124" s="17"/>
      <c r="I124" s="17"/>
      <c r="J124" s="91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91"/>
      <c r="E125" s="17"/>
      <c r="F125" s="17"/>
      <c r="G125" s="91"/>
      <c r="H125" s="17"/>
      <c r="I125" s="17"/>
      <c r="J125" s="91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91"/>
      <c r="E126" s="17"/>
      <c r="F126" s="17"/>
      <c r="G126" s="91"/>
      <c r="H126" s="17"/>
      <c r="I126" s="17"/>
      <c r="J126" s="91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91"/>
      <c r="E127" s="17"/>
      <c r="F127" s="17"/>
      <c r="G127" s="91"/>
      <c r="H127" s="17"/>
      <c r="I127" s="17"/>
      <c r="J127" s="91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91"/>
      <c r="E128" s="17"/>
      <c r="F128" s="17"/>
      <c r="G128" s="91"/>
      <c r="H128" s="17"/>
      <c r="I128" s="17"/>
      <c r="J128" s="91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91"/>
      <c r="E129" s="17"/>
      <c r="F129" s="17"/>
      <c r="G129" s="91"/>
      <c r="H129" s="17"/>
      <c r="I129" s="17"/>
      <c r="J129" s="91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91"/>
      <c r="E130" s="17"/>
      <c r="F130" s="17"/>
      <c r="G130" s="91"/>
      <c r="H130" s="17"/>
      <c r="I130" s="17"/>
      <c r="J130" s="91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91"/>
      <c r="E131" s="17"/>
      <c r="F131" s="17"/>
      <c r="G131" s="91"/>
      <c r="H131" s="17"/>
      <c r="I131" s="17"/>
      <c r="J131" s="91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91"/>
      <c r="E132" s="17"/>
      <c r="F132" s="17"/>
      <c r="G132" s="91"/>
      <c r="H132" s="17"/>
      <c r="I132" s="17"/>
      <c r="J132" s="91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91"/>
      <c r="E133" s="17"/>
      <c r="F133" s="17"/>
      <c r="G133" s="91"/>
      <c r="H133" s="17"/>
      <c r="I133" s="17"/>
      <c r="J133" s="91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91"/>
      <c r="E134" s="17"/>
      <c r="F134" s="17"/>
      <c r="G134" s="91"/>
      <c r="H134" s="17"/>
      <c r="I134" s="17"/>
      <c r="J134" s="91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91"/>
      <c r="E135" s="17"/>
      <c r="F135" s="17"/>
      <c r="G135" s="91"/>
      <c r="H135" s="17"/>
      <c r="I135" s="17"/>
      <c r="J135" s="91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91"/>
      <c r="E136" s="17"/>
      <c r="F136" s="17"/>
      <c r="G136" s="91"/>
      <c r="H136" s="17"/>
      <c r="I136" s="17"/>
      <c r="J136" s="91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91"/>
      <c r="E137" s="17"/>
      <c r="F137" s="17"/>
      <c r="G137" s="91"/>
      <c r="H137" s="17"/>
      <c r="I137" s="17"/>
      <c r="J137" s="91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91"/>
      <c r="E138" s="17"/>
      <c r="F138" s="17"/>
      <c r="G138" s="91"/>
      <c r="H138" s="17"/>
      <c r="I138" s="17"/>
      <c r="J138" s="91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91"/>
      <c r="E139" s="17"/>
      <c r="F139" s="17"/>
      <c r="G139" s="91"/>
      <c r="H139" s="17"/>
      <c r="I139" s="17"/>
      <c r="J139" s="91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91"/>
      <c r="E140" s="17"/>
      <c r="F140" s="17"/>
      <c r="G140" s="91"/>
      <c r="H140" s="17"/>
      <c r="I140" s="17"/>
      <c r="J140" s="91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91"/>
      <c r="E141" s="17"/>
      <c r="F141" s="17"/>
      <c r="G141" s="91"/>
      <c r="H141" s="17"/>
      <c r="I141" s="17"/>
      <c r="J141" s="91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91"/>
      <c r="E142" s="17"/>
      <c r="F142" s="17"/>
      <c r="G142" s="91"/>
      <c r="H142" s="17"/>
      <c r="I142" s="17"/>
      <c r="J142" s="91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91"/>
      <c r="E143" s="17"/>
      <c r="F143" s="17"/>
      <c r="G143" s="91"/>
      <c r="H143" s="17"/>
      <c r="I143" s="17"/>
      <c r="J143" s="91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91"/>
      <c r="E144" s="17"/>
      <c r="F144" s="17"/>
      <c r="G144" s="91"/>
      <c r="H144" s="17"/>
      <c r="I144" s="17"/>
      <c r="J144" s="91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91"/>
      <c r="E145" s="17"/>
      <c r="F145" s="17"/>
      <c r="G145" s="91"/>
      <c r="H145" s="17"/>
      <c r="I145" s="17"/>
      <c r="J145" s="91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91"/>
      <c r="E146" s="17"/>
      <c r="F146" s="17"/>
      <c r="G146" s="91"/>
      <c r="H146" s="17"/>
      <c r="I146" s="17"/>
      <c r="J146" s="91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91"/>
      <c r="E147" s="17"/>
      <c r="F147" s="17"/>
      <c r="G147" s="91"/>
      <c r="H147" s="17"/>
      <c r="I147" s="17"/>
      <c r="J147" s="91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91"/>
      <c r="E148" s="17"/>
      <c r="F148" s="17"/>
      <c r="G148" s="91"/>
      <c r="H148" s="17"/>
      <c r="I148" s="17"/>
      <c r="J148" s="91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91"/>
      <c r="E149" s="17"/>
      <c r="F149" s="17"/>
      <c r="G149" s="91"/>
      <c r="H149" s="17"/>
      <c r="I149" s="17"/>
      <c r="J149" s="91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91"/>
      <c r="E150" s="17"/>
      <c r="F150" s="17"/>
      <c r="G150" s="91"/>
      <c r="H150" s="17"/>
      <c r="I150" s="17"/>
      <c r="J150" s="91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91"/>
      <c r="E151" s="17"/>
      <c r="F151" s="17"/>
      <c r="G151" s="91"/>
      <c r="H151" s="17"/>
      <c r="I151" s="17"/>
      <c r="J151" s="91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91"/>
      <c r="E152" s="17"/>
      <c r="F152" s="17"/>
      <c r="G152" s="91"/>
      <c r="H152" s="17"/>
      <c r="I152" s="17"/>
      <c r="J152" s="91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91"/>
      <c r="E153" s="17"/>
      <c r="F153" s="17"/>
      <c r="G153" s="91"/>
      <c r="H153" s="17"/>
      <c r="I153" s="17"/>
      <c r="J153" s="91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91"/>
      <c r="E154" s="17"/>
      <c r="F154" s="17"/>
      <c r="G154" s="91"/>
      <c r="H154" s="17"/>
      <c r="I154" s="17"/>
      <c r="J154" s="91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91"/>
      <c r="E155" s="17"/>
      <c r="F155" s="17"/>
      <c r="G155" s="91"/>
      <c r="H155" s="17"/>
      <c r="I155" s="17"/>
      <c r="J155" s="91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91"/>
      <c r="E156" s="17"/>
      <c r="F156" s="17"/>
      <c r="G156" s="91"/>
      <c r="H156" s="17"/>
      <c r="I156" s="17"/>
      <c r="J156" s="91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91"/>
      <c r="E157" s="17"/>
      <c r="F157" s="17"/>
      <c r="G157" s="91"/>
      <c r="H157" s="17"/>
      <c r="I157" s="17"/>
      <c r="J157" s="91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91"/>
      <c r="E158" s="17"/>
      <c r="F158" s="17"/>
      <c r="G158" s="91"/>
      <c r="H158" s="17"/>
      <c r="I158" s="17"/>
      <c r="J158" s="91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91"/>
      <c r="E159" s="17"/>
      <c r="F159" s="17"/>
      <c r="G159" s="91"/>
      <c r="H159" s="17"/>
      <c r="I159" s="17"/>
      <c r="J159" s="91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91"/>
      <c r="E160" s="17"/>
      <c r="F160" s="17"/>
      <c r="G160" s="91"/>
      <c r="H160" s="17"/>
      <c r="I160" s="17"/>
      <c r="J160" s="91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91"/>
      <c r="E161" s="17"/>
      <c r="F161" s="17"/>
      <c r="G161" s="91"/>
      <c r="H161" s="17"/>
      <c r="I161" s="17"/>
      <c r="J161" s="91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91"/>
      <c r="E162" s="17"/>
      <c r="F162" s="17"/>
      <c r="G162" s="91"/>
      <c r="H162" s="17"/>
      <c r="I162" s="17"/>
      <c r="J162" s="91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91"/>
      <c r="E163" s="17"/>
      <c r="F163" s="17"/>
      <c r="G163" s="91"/>
      <c r="H163" s="17"/>
      <c r="I163" s="17"/>
      <c r="J163" s="91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91"/>
      <c r="E164" s="17"/>
      <c r="F164" s="17"/>
      <c r="G164" s="91"/>
      <c r="H164" s="17"/>
      <c r="I164" s="17"/>
      <c r="J164" s="91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91"/>
      <c r="E165" s="17"/>
      <c r="F165" s="17"/>
      <c r="G165" s="91"/>
      <c r="H165" s="17"/>
      <c r="I165" s="17"/>
      <c r="J165" s="91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91"/>
      <c r="E166" s="17"/>
      <c r="F166" s="17"/>
      <c r="G166" s="91"/>
      <c r="H166" s="17"/>
      <c r="I166" s="17"/>
      <c r="J166" s="91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91"/>
      <c r="E167" s="17"/>
      <c r="F167" s="17"/>
      <c r="G167" s="91"/>
      <c r="H167" s="17"/>
      <c r="I167" s="17"/>
      <c r="J167" s="91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91"/>
      <c r="E168" s="17"/>
      <c r="F168" s="17"/>
      <c r="G168" s="91"/>
      <c r="H168" s="17"/>
      <c r="I168" s="17"/>
      <c r="J168" s="91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91"/>
      <c r="E169" s="17"/>
      <c r="F169" s="17"/>
      <c r="G169" s="91"/>
      <c r="H169" s="17"/>
      <c r="I169" s="17"/>
      <c r="J169" s="91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91"/>
      <c r="E170" s="17"/>
      <c r="F170" s="17"/>
      <c r="G170" s="91"/>
      <c r="H170" s="17"/>
      <c r="I170" s="17"/>
      <c r="J170" s="91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91"/>
      <c r="E171" s="17"/>
      <c r="F171" s="17"/>
      <c r="G171" s="91"/>
      <c r="H171" s="17"/>
      <c r="I171" s="17"/>
      <c r="J171" s="91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91"/>
      <c r="E172" s="17"/>
      <c r="F172" s="17"/>
      <c r="G172" s="91"/>
      <c r="H172" s="17"/>
      <c r="I172" s="17"/>
      <c r="J172" s="91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91"/>
      <c r="E173" s="17"/>
      <c r="F173" s="17"/>
      <c r="G173" s="91"/>
      <c r="H173" s="17"/>
      <c r="I173" s="17"/>
      <c r="J173" s="91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91"/>
      <c r="E174" s="17"/>
      <c r="F174" s="17"/>
      <c r="G174" s="91"/>
      <c r="H174" s="17"/>
      <c r="I174" s="17"/>
      <c r="J174" s="91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91"/>
      <c r="E175" s="17"/>
      <c r="F175" s="17"/>
      <c r="G175" s="91"/>
      <c r="H175" s="17"/>
      <c r="I175" s="17"/>
      <c r="J175" s="91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91"/>
      <c r="E176" s="17"/>
      <c r="F176" s="17"/>
      <c r="G176" s="91"/>
      <c r="H176" s="17"/>
      <c r="I176" s="17"/>
      <c r="J176" s="91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91"/>
      <c r="E177" s="17"/>
      <c r="F177" s="17"/>
      <c r="G177" s="91"/>
      <c r="H177" s="17"/>
      <c r="I177" s="17"/>
      <c r="J177" s="91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91"/>
      <c r="E178" s="17"/>
      <c r="F178" s="17"/>
      <c r="G178" s="91"/>
      <c r="H178" s="17"/>
      <c r="I178" s="17"/>
      <c r="J178" s="91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91"/>
      <c r="E179" s="17"/>
      <c r="F179" s="17"/>
      <c r="G179" s="91"/>
      <c r="H179" s="17"/>
      <c r="I179" s="17"/>
      <c r="J179" s="91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91"/>
      <c r="E180" s="17"/>
      <c r="F180" s="17"/>
      <c r="G180" s="91"/>
      <c r="H180" s="17"/>
      <c r="I180" s="17"/>
      <c r="J180" s="91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91"/>
      <c r="E181" s="17"/>
      <c r="F181" s="17"/>
      <c r="G181" s="91"/>
      <c r="H181" s="17"/>
      <c r="I181" s="17"/>
      <c r="J181" s="91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91"/>
      <c r="E182" s="17"/>
      <c r="F182" s="17"/>
      <c r="G182" s="91"/>
      <c r="H182" s="17"/>
      <c r="I182" s="17"/>
      <c r="J182" s="91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91"/>
      <c r="E183" s="17"/>
      <c r="F183" s="17"/>
      <c r="G183" s="91"/>
      <c r="H183" s="17"/>
      <c r="I183" s="17"/>
      <c r="J183" s="91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91"/>
      <c r="E184" s="17"/>
      <c r="F184" s="17"/>
      <c r="G184" s="91"/>
      <c r="H184" s="17"/>
      <c r="I184" s="17"/>
      <c r="J184" s="91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91"/>
      <c r="E185" s="17"/>
      <c r="F185" s="17"/>
      <c r="G185" s="91"/>
      <c r="H185" s="17"/>
      <c r="I185" s="17"/>
      <c r="J185" s="91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91"/>
      <c r="E186" s="17"/>
      <c r="F186" s="17"/>
      <c r="G186" s="91"/>
      <c r="H186" s="17"/>
      <c r="I186" s="17"/>
      <c r="J186" s="91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91"/>
      <c r="E187" s="17"/>
      <c r="F187" s="17"/>
      <c r="G187" s="91"/>
      <c r="H187" s="17"/>
      <c r="I187" s="17"/>
      <c r="J187" s="91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91"/>
      <c r="E188" s="17"/>
      <c r="F188" s="17"/>
      <c r="G188" s="91"/>
      <c r="H188" s="17"/>
      <c r="I188" s="17"/>
      <c r="J188" s="91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91"/>
      <c r="E189" s="17"/>
      <c r="F189" s="17"/>
      <c r="G189" s="91"/>
      <c r="H189" s="17"/>
      <c r="I189" s="17"/>
      <c r="J189" s="91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91"/>
      <c r="E190" s="17"/>
      <c r="F190" s="17"/>
      <c r="G190" s="91"/>
      <c r="H190" s="17"/>
      <c r="I190" s="17"/>
      <c r="J190" s="91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91"/>
      <c r="E191" s="17"/>
      <c r="F191" s="17"/>
      <c r="G191" s="91"/>
      <c r="H191" s="17"/>
      <c r="I191" s="17"/>
      <c r="J191" s="91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91"/>
      <c r="E192" s="17"/>
      <c r="F192" s="17"/>
      <c r="G192" s="91"/>
      <c r="H192" s="17"/>
      <c r="I192" s="17"/>
      <c r="J192" s="91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91"/>
      <c r="E193" s="17"/>
      <c r="F193" s="17"/>
      <c r="G193" s="91"/>
      <c r="H193" s="17"/>
      <c r="I193" s="17"/>
      <c r="J193" s="91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91"/>
      <c r="E194" s="17"/>
      <c r="F194" s="17"/>
      <c r="G194" s="91"/>
      <c r="H194" s="17"/>
      <c r="I194" s="17"/>
      <c r="J194" s="91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91"/>
      <c r="E195" s="17"/>
      <c r="F195" s="17"/>
      <c r="G195" s="91"/>
      <c r="H195" s="17"/>
      <c r="I195" s="17"/>
      <c r="J195" s="91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91"/>
      <c r="E196" s="17"/>
      <c r="F196" s="17"/>
      <c r="G196" s="91"/>
      <c r="H196" s="17"/>
      <c r="I196" s="17"/>
      <c r="J196" s="91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91"/>
      <c r="E197" s="17"/>
      <c r="F197" s="17"/>
      <c r="G197" s="91"/>
      <c r="H197" s="17"/>
      <c r="I197" s="17"/>
      <c r="J197" s="91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91"/>
      <c r="E198" s="17"/>
      <c r="F198" s="17"/>
      <c r="G198" s="91"/>
      <c r="H198" s="17"/>
      <c r="I198" s="17"/>
      <c r="J198" s="91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91"/>
      <c r="E199" s="17"/>
      <c r="F199" s="17"/>
      <c r="G199" s="91"/>
      <c r="H199" s="17"/>
      <c r="I199" s="17"/>
      <c r="J199" s="91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91"/>
      <c r="E200" s="17"/>
      <c r="F200" s="17"/>
      <c r="G200" s="91"/>
      <c r="H200" s="17"/>
      <c r="I200" s="17"/>
      <c r="J200" s="91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91"/>
      <c r="E201" s="17"/>
      <c r="F201" s="17"/>
      <c r="G201" s="91"/>
      <c r="H201" s="17"/>
      <c r="I201" s="17"/>
      <c r="J201" s="91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91"/>
      <c r="E202" s="17"/>
      <c r="F202" s="17"/>
      <c r="G202" s="91"/>
      <c r="H202" s="17"/>
      <c r="I202" s="17"/>
      <c r="J202" s="91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91"/>
      <c r="E203" s="17"/>
      <c r="F203" s="17"/>
      <c r="G203" s="91"/>
      <c r="H203" s="17"/>
      <c r="I203" s="17"/>
      <c r="J203" s="91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91"/>
      <c r="E204" s="17"/>
      <c r="F204" s="17"/>
      <c r="G204" s="91"/>
      <c r="H204" s="17"/>
      <c r="I204" s="17"/>
      <c r="J204" s="91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91"/>
      <c r="E205" s="17"/>
      <c r="F205" s="17"/>
      <c r="G205" s="91"/>
      <c r="H205" s="17"/>
      <c r="I205" s="17"/>
      <c r="J205" s="91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91"/>
      <c r="E206" s="17"/>
      <c r="F206" s="17"/>
      <c r="G206" s="91"/>
      <c r="H206" s="17"/>
      <c r="I206" s="17"/>
      <c r="J206" s="91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91"/>
      <c r="E207" s="17"/>
      <c r="F207" s="17"/>
      <c r="G207" s="91"/>
      <c r="H207" s="17"/>
      <c r="I207" s="17"/>
      <c r="J207" s="91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91"/>
      <c r="E208" s="17"/>
      <c r="F208" s="17"/>
      <c r="G208" s="91"/>
      <c r="H208" s="17"/>
      <c r="I208" s="17"/>
      <c r="J208" s="91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91"/>
      <c r="E209" s="17"/>
      <c r="F209" s="17"/>
      <c r="G209" s="91"/>
      <c r="H209" s="17"/>
      <c r="I209" s="17"/>
      <c r="J209" s="91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91"/>
      <c r="E210" s="17"/>
      <c r="F210" s="17"/>
      <c r="G210" s="91"/>
      <c r="H210" s="17"/>
      <c r="I210" s="17"/>
      <c r="J210" s="91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91"/>
      <c r="E211" s="17"/>
      <c r="F211" s="17"/>
      <c r="G211" s="91"/>
      <c r="H211" s="17"/>
      <c r="I211" s="17"/>
      <c r="J211" s="91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91"/>
      <c r="E212" s="17"/>
      <c r="F212" s="17"/>
      <c r="G212" s="91"/>
      <c r="H212" s="17"/>
      <c r="I212" s="17"/>
      <c r="J212" s="91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91"/>
      <c r="E213" s="17"/>
      <c r="F213" s="17"/>
      <c r="G213" s="91"/>
      <c r="H213" s="17"/>
      <c r="I213" s="17"/>
      <c r="J213" s="91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91"/>
      <c r="E214" s="17"/>
      <c r="F214" s="17"/>
      <c r="G214" s="91"/>
      <c r="H214" s="17"/>
      <c r="I214" s="17"/>
      <c r="J214" s="91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91"/>
      <c r="E215" s="17"/>
      <c r="F215" s="17"/>
      <c r="G215" s="91"/>
      <c r="H215" s="17"/>
      <c r="I215" s="17"/>
      <c r="J215" s="91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91"/>
      <c r="E216" s="17"/>
      <c r="F216" s="17"/>
      <c r="G216" s="91"/>
      <c r="H216" s="17"/>
      <c r="I216" s="17"/>
      <c r="J216" s="91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91"/>
      <c r="E217" s="17"/>
      <c r="F217" s="17"/>
      <c r="G217" s="91"/>
      <c r="H217" s="17"/>
      <c r="I217" s="17"/>
      <c r="J217" s="91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91"/>
      <c r="E218" s="17"/>
      <c r="F218" s="17"/>
      <c r="G218" s="91"/>
      <c r="H218" s="17"/>
      <c r="I218" s="17"/>
      <c r="J218" s="91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91"/>
      <c r="E219" s="17"/>
      <c r="F219" s="17"/>
      <c r="G219" s="91"/>
      <c r="H219" s="17"/>
      <c r="I219" s="17"/>
      <c r="J219" s="91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91"/>
      <c r="E220" s="17"/>
      <c r="F220" s="17"/>
      <c r="G220" s="91"/>
      <c r="H220" s="17"/>
      <c r="I220" s="17"/>
      <c r="J220" s="91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91"/>
      <c r="E221" s="17"/>
      <c r="F221" s="17"/>
      <c r="G221" s="91"/>
      <c r="H221" s="17"/>
      <c r="I221" s="17"/>
      <c r="J221" s="91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91"/>
      <c r="E222" s="17"/>
      <c r="F222" s="17"/>
      <c r="G222" s="91"/>
      <c r="H222" s="17"/>
      <c r="I222" s="17"/>
      <c r="J222" s="91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91"/>
      <c r="E223" s="17"/>
      <c r="F223" s="17"/>
      <c r="G223" s="91"/>
      <c r="H223" s="17"/>
      <c r="I223" s="17"/>
      <c r="J223" s="91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91"/>
      <c r="E224" s="17"/>
      <c r="F224" s="17"/>
      <c r="G224" s="91"/>
      <c r="H224" s="17"/>
      <c r="I224" s="17"/>
      <c r="J224" s="91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91"/>
      <c r="E225" s="17"/>
      <c r="F225" s="17"/>
      <c r="G225" s="91"/>
      <c r="H225" s="17"/>
      <c r="I225" s="17"/>
      <c r="J225" s="91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91"/>
      <c r="E226" s="17"/>
      <c r="F226" s="17"/>
      <c r="G226" s="91"/>
      <c r="H226" s="17"/>
      <c r="I226" s="17"/>
      <c r="J226" s="91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91"/>
      <c r="E227" s="17"/>
      <c r="F227" s="17"/>
      <c r="G227" s="91"/>
      <c r="H227" s="17"/>
      <c r="I227" s="17"/>
      <c r="J227" s="91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91"/>
      <c r="E228" s="17"/>
      <c r="F228" s="17"/>
      <c r="G228" s="91"/>
      <c r="H228" s="17"/>
      <c r="I228" s="17"/>
      <c r="J228" s="91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91"/>
      <c r="E229" s="17"/>
      <c r="F229" s="17"/>
      <c r="G229" s="91"/>
      <c r="H229" s="17"/>
      <c r="I229" s="17"/>
      <c r="J229" s="91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91"/>
      <c r="E230" s="17"/>
      <c r="F230" s="17"/>
      <c r="G230" s="91"/>
      <c r="H230" s="17"/>
      <c r="I230" s="17"/>
      <c r="J230" s="91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91"/>
      <c r="E231" s="17"/>
      <c r="F231" s="17"/>
      <c r="G231" s="91"/>
      <c r="H231" s="17"/>
      <c r="I231" s="17"/>
      <c r="J231" s="91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91"/>
      <c r="E232" s="17"/>
      <c r="F232" s="17"/>
      <c r="G232" s="91"/>
      <c r="H232" s="17"/>
      <c r="I232" s="17"/>
      <c r="J232" s="91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91"/>
      <c r="E233" s="17"/>
      <c r="F233" s="17"/>
      <c r="G233" s="91"/>
      <c r="H233" s="17"/>
      <c r="I233" s="17"/>
      <c r="J233" s="91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91"/>
      <c r="E234" s="17"/>
      <c r="F234" s="17"/>
      <c r="G234" s="91"/>
      <c r="H234" s="17"/>
      <c r="I234" s="17"/>
      <c r="J234" s="91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91"/>
      <c r="E235" s="17"/>
      <c r="F235" s="17"/>
      <c r="G235" s="91"/>
      <c r="H235" s="17"/>
      <c r="I235" s="17"/>
      <c r="J235" s="91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91"/>
      <c r="E236" s="17"/>
      <c r="F236" s="17"/>
      <c r="G236" s="91"/>
      <c r="H236" s="17"/>
      <c r="I236" s="17"/>
      <c r="J236" s="91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91"/>
      <c r="E237" s="17"/>
      <c r="F237" s="17"/>
      <c r="G237" s="91"/>
      <c r="H237" s="17"/>
      <c r="I237" s="17"/>
      <c r="J237" s="91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91"/>
      <c r="E238" s="17"/>
      <c r="F238" s="17"/>
      <c r="G238" s="91"/>
      <c r="H238" s="17"/>
      <c r="I238" s="17"/>
      <c r="J238" s="91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91"/>
      <c r="E239" s="17"/>
      <c r="F239" s="17"/>
      <c r="G239" s="91"/>
      <c r="H239" s="17"/>
      <c r="I239" s="17"/>
      <c r="J239" s="91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91"/>
      <c r="E240" s="17"/>
      <c r="F240" s="17"/>
      <c r="G240" s="91"/>
      <c r="H240" s="17"/>
      <c r="I240" s="17"/>
      <c r="J240" s="91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91"/>
      <c r="E241" s="17"/>
      <c r="F241" s="17"/>
      <c r="G241" s="91"/>
      <c r="H241" s="17"/>
      <c r="I241" s="17"/>
      <c r="J241" s="91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91"/>
      <c r="E242" s="17"/>
      <c r="F242" s="17"/>
      <c r="G242" s="91"/>
      <c r="H242" s="17"/>
      <c r="I242" s="17"/>
      <c r="J242" s="91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91"/>
      <c r="E243" s="17"/>
      <c r="F243" s="17"/>
      <c r="G243" s="91"/>
      <c r="H243" s="17"/>
      <c r="I243" s="17"/>
      <c r="J243" s="91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91"/>
      <c r="E244" s="17"/>
      <c r="F244" s="17"/>
      <c r="G244" s="91"/>
      <c r="H244" s="17"/>
      <c r="I244" s="17"/>
      <c r="J244" s="91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91"/>
      <c r="E245" s="17"/>
      <c r="F245" s="17"/>
      <c r="G245" s="91"/>
      <c r="H245" s="17"/>
      <c r="I245" s="17"/>
      <c r="J245" s="91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91"/>
      <c r="E246" s="17"/>
      <c r="F246" s="17"/>
      <c r="G246" s="91"/>
      <c r="H246" s="17"/>
      <c r="I246" s="17"/>
      <c r="J246" s="91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91"/>
      <c r="E247" s="17"/>
      <c r="F247" s="17"/>
      <c r="G247" s="91"/>
      <c r="H247" s="17"/>
      <c r="I247" s="17"/>
      <c r="J247" s="91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91"/>
      <c r="E248" s="17"/>
      <c r="F248" s="17"/>
      <c r="G248" s="91"/>
      <c r="H248" s="17"/>
      <c r="I248" s="17"/>
      <c r="J248" s="91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91"/>
      <c r="E249" s="17"/>
      <c r="F249" s="17"/>
      <c r="G249" s="91"/>
      <c r="H249" s="17"/>
      <c r="I249" s="17"/>
      <c r="J249" s="91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91"/>
      <c r="E250" s="17"/>
      <c r="F250" s="17"/>
      <c r="G250" s="91"/>
      <c r="H250" s="17"/>
      <c r="I250" s="17"/>
      <c r="J250" s="91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91"/>
      <c r="E251" s="17"/>
      <c r="F251" s="17"/>
      <c r="G251" s="91"/>
      <c r="H251" s="17"/>
      <c r="I251" s="17"/>
      <c r="J251" s="91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91"/>
      <c r="E252" s="17"/>
      <c r="F252" s="17"/>
      <c r="G252" s="91"/>
      <c r="H252" s="17"/>
      <c r="I252" s="17"/>
      <c r="J252" s="91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91"/>
      <c r="E253" s="17"/>
      <c r="F253" s="17"/>
      <c r="G253" s="91"/>
      <c r="H253" s="17"/>
      <c r="I253" s="17"/>
      <c r="J253" s="91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91"/>
      <c r="E254" s="17"/>
      <c r="F254" s="17"/>
      <c r="G254" s="91"/>
      <c r="H254" s="17"/>
      <c r="I254" s="17"/>
      <c r="J254" s="91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91"/>
      <c r="E255" s="17"/>
      <c r="F255" s="17"/>
      <c r="G255" s="91"/>
      <c r="H255" s="17"/>
      <c r="I255" s="17"/>
      <c r="J255" s="91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91"/>
      <c r="E256" s="17"/>
      <c r="F256" s="17"/>
      <c r="G256" s="91"/>
      <c r="H256" s="17"/>
      <c r="I256" s="17"/>
      <c r="J256" s="91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91"/>
      <c r="E257" s="17"/>
      <c r="F257" s="17"/>
      <c r="G257" s="91"/>
      <c r="H257" s="17"/>
      <c r="I257" s="17"/>
      <c r="J257" s="91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91"/>
      <c r="E258" s="17"/>
      <c r="F258" s="17"/>
      <c r="G258" s="91"/>
      <c r="H258" s="17"/>
      <c r="I258" s="17"/>
      <c r="J258" s="91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91"/>
      <c r="E259" s="17"/>
      <c r="F259" s="17"/>
      <c r="G259" s="91"/>
      <c r="H259" s="17"/>
      <c r="I259" s="17"/>
      <c r="J259" s="91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91"/>
      <c r="E260" s="17"/>
      <c r="F260" s="17"/>
      <c r="G260" s="91"/>
      <c r="H260" s="17"/>
      <c r="I260" s="17"/>
      <c r="J260" s="91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91"/>
      <c r="E261" s="17"/>
      <c r="F261" s="17"/>
      <c r="G261" s="91"/>
      <c r="H261" s="17"/>
      <c r="I261" s="17"/>
      <c r="J261" s="91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91"/>
      <c r="E262" s="17"/>
      <c r="F262" s="17"/>
      <c r="G262" s="91"/>
      <c r="H262" s="17"/>
      <c r="I262" s="17"/>
      <c r="J262" s="91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91"/>
      <c r="E263" s="17"/>
      <c r="F263" s="17"/>
      <c r="G263" s="91"/>
      <c r="H263" s="17"/>
      <c r="I263" s="17"/>
      <c r="J263" s="91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91"/>
      <c r="E264" s="17"/>
      <c r="F264" s="17"/>
      <c r="G264" s="91"/>
      <c r="H264" s="17"/>
      <c r="I264" s="17"/>
      <c r="J264" s="91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91"/>
      <c r="E265" s="17"/>
      <c r="F265" s="17"/>
      <c r="G265" s="91"/>
      <c r="H265" s="17"/>
      <c r="I265" s="17"/>
      <c r="J265" s="91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91"/>
      <c r="E266" s="17"/>
      <c r="F266" s="17"/>
      <c r="G266" s="91"/>
      <c r="H266" s="17"/>
      <c r="I266" s="17"/>
      <c r="J266" s="91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91"/>
      <c r="E267" s="17"/>
      <c r="F267" s="17"/>
      <c r="G267" s="91"/>
      <c r="H267" s="17"/>
      <c r="I267" s="17"/>
      <c r="J267" s="91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91"/>
      <c r="E268" s="17"/>
      <c r="F268" s="17"/>
      <c r="G268" s="91"/>
      <c r="H268" s="17"/>
      <c r="I268" s="17"/>
      <c r="J268" s="91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91"/>
      <c r="E269" s="17"/>
      <c r="F269" s="17"/>
      <c r="G269" s="91"/>
      <c r="H269" s="17"/>
      <c r="I269" s="17"/>
      <c r="J269" s="91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91"/>
      <c r="E270" s="17"/>
      <c r="F270" s="17"/>
      <c r="G270" s="91"/>
      <c r="H270" s="17"/>
      <c r="I270" s="17"/>
      <c r="J270" s="91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91"/>
      <c r="E271" s="17"/>
      <c r="F271" s="17"/>
      <c r="G271" s="91"/>
      <c r="H271" s="17"/>
      <c r="I271" s="17"/>
      <c r="J271" s="91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91"/>
      <c r="E272" s="17"/>
      <c r="F272" s="17"/>
      <c r="G272" s="91"/>
      <c r="H272" s="17"/>
      <c r="I272" s="17"/>
      <c r="J272" s="91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91"/>
      <c r="E273" s="17"/>
      <c r="F273" s="17"/>
      <c r="G273" s="91"/>
      <c r="H273" s="17"/>
      <c r="I273" s="17"/>
      <c r="J273" s="91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91"/>
      <c r="E274" s="17"/>
      <c r="F274" s="17"/>
      <c r="G274" s="91"/>
      <c r="H274" s="17"/>
      <c r="I274" s="17"/>
      <c r="J274" s="91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91"/>
      <c r="E275" s="17"/>
      <c r="F275" s="17"/>
      <c r="G275" s="91"/>
      <c r="H275" s="17"/>
      <c r="I275" s="17"/>
      <c r="J275" s="91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91"/>
      <c r="E276" s="17"/>
      <c r="F276" s="17"/>
      <c r="G276" s="91"/>
      <c r="H276" s="17"/>
      <c r="I276" s="17"/>
      <c r="J276" s="91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91"/>
      <c r="E277" s="17"/>
      <c r="F277" s="17"/>
      <c r="G277" s="91"/>
      <c r="H277" s="17"/>
      <c r="I277" s="17"/>
      <c r="J277" s="91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91"/>
      <c r="E278" s="17"/>
      <c r="F278" s="17"/>
      <c r="G278" s="91"/>
      <c r="H278" s="17"/>
      <c r="I278" s="17"/>
      <c r="J278" s="91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91"/>
      <c r="E279" s="17"/>
      <c r="F279" s="17"/>
      <c r="G279" s="91"/>
      <c r="H279" s="17"/>
      <c r="I279" s="17"/>
      <c r="J279" s="91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91"/>
      <c r="E280" s="17"/>
      <c r="F280" s="17"/>
      <c r="G280" s="91"/>
      <c r="H280" s="17"/>
      <c r="I280" s="17"/>
      <c r="J280" s="91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91"/>
      <c r="E281" s="17"/>
      <c r="F281" s="17"/>
      <c r="G281" s="91"/>
      <c r="H281" s="17"/>
      <c r="I281" s="17"/>
      <c r="J281" s="91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91"/>
      <c r="E282" s="17"/>
      <c r="F282" s="17"/>
      <c r="G282" s="91"/>
      <c r="H282" s="17"/>
      <c r="I282" s="17"/>
      <c r="J282" s="91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91"/>
      <c r="E283" s="17"/>
      <c r="F283" s="17"/>
      <c r="G283" s="91"/>
      <c r="H283" s="17"/>
      <c r="I283" s="17"/>
      <c r="J283" s="91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91"/>
      <c r="E284" s="17"/>
      <c r="F284" s="17"/>
      <c r="G284" s="91"/>
      <c r="H284" s="17"/>
      <c r="I284" s="17"/>
      <c r="J284" s="91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91"/>
      <c r="E285" s="17"/>
      <c r="F285" s="17"/>
      <c r="G285" s="91"/>
      <c r="H285" s="17"/>
      <c r="I285" s="17"/>
      <c r="J285" s="91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91"/>
      <c r="E286" s="17"/>
      <c r="F286" s="17"/>
      <c r="G286" s="91"/>
      <c r="H286" s="17"/>
      <c r="I286" s="17"/>
      <c r="J286" s="91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91"/>
      <c r="E287" s="17"/>
      <c r="F287" s="17"/>
      <c r="G287" s="91"/>
      <c r="H287" s="17"/>
      <c r="I287" s="17"/>
      <c r="J287" s="91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91"/>
      <c r="E288" s="17"/>
      <c r="F288" s="17"/>
      <c r="G288" s="91"/>
      <c r="H288" s="17"/>
      <c r="I288" s="17"/>
      <c r="J288" s="91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91"/>
      <c r="E289" s="17"/>
      <c r="F289" s="17"/>
      <c r="G289" s="91"/>
      <c r="H289" s="17"/>
      <c r="I289" s="17"/>
      <c r="J289" s="91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91"/>
      <c r="E290" s="17"/>
      <c r="F290" s="17"/>
      <c r="G290" s="91"/>
      <c r="H290" s="17"/>
      <c r="I290" s="17"/>
      <c r="J290" s="91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91"/>
      <c r="E291" s="17"/>
      <c r="F291" s="17"/>
      <c r="G291" s="91"/>
      <c r="H291" s="17"/>
      <c r="I291" s="17"/>
      <c r="J291" s="91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91"/>
      <c r="E292" s="17"/>
      <c r="F292" s="17"/>
      <c r="G292" s="91"/>
      <c r="H292" s="17"/>
      <c r="I292" s="17"/>
      <c r="J292" s="91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91"/>
      <c r="E293" s="17"/>
      <c r="F293" s="17"/>
      <c r="G293" s="91"/>
      <c r="H293" s="17"/>
      <c r="I293" s="17"/>
      <c r="J293" s="91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91"/>
      <c r="E294" s="17"/>
      <c r="F294" s="17"/>
      <c r="G294" s="91"/>
      <c r="H294" s="17"/>
      <c r="I294" s="17"/>
      <c r="J294" s="91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91"/>
      <c r="E295" s="17"/>
      <c r="F295" s="17"/>
      <c r="G295" s="91"/>
      <c r="H295" s="17"/>
      <c r="I295" s="17"/>
      <c r="J295" s="91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91"/>
      <c r="E296" s="17"/>
      <c r="F296" s="17"/>
      <c r="G296" s="91"/>
      <c r="H296" s="17"/>
      <c r="I296" s="17"/>
      <c r="J296" s="91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91"/>
      <c r="E297" s="17"/>
      <c r="F297" s="17"/>
      <c r="G297" s="91"/>
      <c r="H297" s="17"/>
      <c r="I297" s="17"/>
      <c r="J297" s="91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91"/>
      <c r="E298" s="17"/>
      <c r="F298" s="17"/>
      <c r="G298" s="91"/>
      <c r="H298" s="17"/>
      <c r="I298" s="17"/>
      <c r="J298" s="91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91"/>
      <c r="E299" s="17"/>
      <c r="F299" s="17"/>
      <c r="G299" s="91"/>
      <c r="H299" s="17"/>
      <c r="I299" s="17"/>
      <c r="J299" s="91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91"/>
      <c r="E300" s="17"/>
      <c r="F300" s="17"/>
      <c r="G300" s="91"/>
      <c r="H300" s="17"/>
      <c r="I300" s="17"/>
      <c r="J300" s="91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91"/>
      <c r="E301" s="17"/>
      <c r="F301" s="17"/>
      <c r="G301" s="91"/>
      <c r="H301" s="17"/>
      <c r="I301" s="17"/>
      <c r="J301" s="91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91"/>
      <c r="E302" s="17"/>
      <c r="F302" s="17"/>
      <c r="G302" s="91"/>
      <c r="H302" s="17"/>
      <c r="I302" s="17"/>
      <c r="J302" s="91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91"/>
      <c r="E303" s="17"/>
      <c r="F303" s="17"/>
      <c r="G303" s="91"/>
      <c r="H303" s="17"/>
      <c r="I303" s="17"/>
      <c r="J303" s="91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91"/>
      <c r="E304" s="17"/>
      <c r="F304" s="17"/>
      <c r="G304" s="91"/>
      <c r="H304" s="17"/>
      <c r="I304" s="17"/>
      <c r="J304" s="91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91"/>
      <c r="E305" s="17"/>
      <c r="F305" s="17"/>
      <c r="G305" s="91"/>
      <c r="H305" s="17"/>
      <c r="I305" s="17"/>
      <c r="J305" s="91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91"/>
      <c r="E306" s="17"/>
      <c r="F306" s="17"/>
      <c r="G306" s="91"/>
      <c r="H306" s="17"/>
      <c r="I306" s="17"/>
      <c r="J306" s="91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91"/>
      <c r="E307" s="17"/>
      <c r="F307" s="17"/>
      <c r="G307" s="91"/>
      <c r="H307" s="17"/>
      <c r="I307" s="17"/>
      <c r="J307" s="91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91"/>
      <c r="E308" s="17"/>
      <c r="F308" s="17"/>
      <c r="G308" s="91"/>
      <c r="H308" s="17"/>
      <c r="I308" s="17"/>
      <c r="J308" s="91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91"/>
      <c r="E309" s="17"/>
      <c r="F309" s="17"/>
      <c r="G309" s="91"/>
      <c r="H309" s="17"/>
      <c r="I309" s="17"/>
      <c r="J309" s="91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91"/>
      <c r="E310" s="17"/>
      <c r="F310" s="17"/>
      <c r="G310" s="91"/>
      <c r="H310" s="17"/>
      <c r="I310" s="17"/>
      <c r="J310" s="91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91"/>
      <c r="E311" s="17"/>
      <c r="F311" s="17"/>
      <c r="G311" s="91"/>
      <c r="H311" s="17"/>
      <c r="I311" s="17"/>
      <c r="J311" s="91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91"/>
      <c r="E312" s="17"/>
      <c r="F312" s="17"/>
      <c r="G312" s="91"/>
      <c r="H312" s="17"/>
      <c r="I312" s="17"/>
      <c r="J312" s="91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91"/>
      <c r="E313" s="17"/>
      <c r="F313" s="17"/>
      <c r="G313" s="91"/>
      <c r="H313" s="17"/>
      <c r="I313" s="17"/>
      <c r="J313" s="91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91"/>
      <c r="E314" s="17"/>
      <c r="F314" s="17"/>
      <c r="G314" s="91"/>
      <c r="H314" s="17"/>
      <c r="I314" s="17"/>
      <c r="J314" s="91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91"/>
      <c r="E315" s="17"/>
      <c r="F315" s="17"/>
      <c r="G315" s="91"/>
      <c r="H315" s="17"/>
      <c r="I315" s="17"/>
      <c r="J315" s="91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91"/>
      <c r="E316" s="17"/>
      <c r="F316" s="17"/>
      <c r="G316" s="91"/>
      <c r="H316" s="17"/>
      <c r="I316" s="17"/>
      <c r="J316" s="91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91"/>
      <c r="E317" s="17"/>
      <c r="F317" s="17"/>
      <c r="G317" s="91"/>
      <c r="H317" s="17"/>
      <c r="I317" s="17"/>
      <c r="J317" s="91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91"/>
      <c r="E318" s="17"/>
      <c r="F318" s="17"/>
      <c r="G318" s="91"/>
      <c r="H318" s="17"/>
      <c r="I318" s="17"/>
      <c r="J318" s="91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91"/>
      <c r="E319" s="17"/>
      <c r="F319" s="17"/>
      <c r="G319" s="91"/>
      <c r="H319" s="17"/>
      <c r="I319" s="17"/>
      <c r="J319" s="91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91"/>
      <c r="E320" s="17"/>
      <c r="F320" s="17"/>
      <c r="G320" s="91"/>
      <c r="H320" s="17"/>
      <c r="I320" s="17"/>
      <c r="J320" s="91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91"/>
      <c r="E321" s="17"/>
      <c r="F321" s="17"/>
      <c r="G321" s="91"/>
      <c r="H321" s="17"/>
      <c r="I321" s="17"/>
      <c r="J321" s="91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91"/>
      <c r="E322" s="17"/>
      <c r="F322" s="17"/>
      <c r="G322" s="91"/>
      <c r="H322" s="17"/>
      <c r="I322" s="17"/>
      <c r="J322" s="91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91"/>
      <c r="E323" s="17"/>
      <c r="F323" s="17"/>
      <c r="G323" s="91"/>
      <c r="H323" s="17"/>
      <c r="I323" s="17"/>
      <c r="J323" s="91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91"/>
      <c r="E324" s="17"/>
      <c r="F324" s="17"/>
      <c r="G324" s="91"/>
      <c r="H324" s="17"/>
      <c r="I324" s="17"/>
      <c r="J324" s="91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91"/>
      <c r="E325" s="17"/>
      <c r="F325" s="17"/>
      <c r="G325" s="91"/>
      <c r="H325" s="17"/>
      <c r="I325" s="17"/>
      <c r="J325" s="91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91"/>
      <c r="E326" s="17"/>
      <c r="F326" s="17"/>
      <c r="G326" s="91"/>
      <c r="H326" s="17"/>
      <c r="I326" s="17"/>
      <c r="J326" s="91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91"/>
      <c r="E327" s="17"/>
      <c r="F327" s="17"/>
      <c r="G327" s="91"/>
      <c r="H327" s="17"/>
      <c r="I327" s="17"/>
      <c r="J327" s="91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91"/>
      <c r="E328" s="17"/>
      <c r="F328" s="17"/>
      <c r="G328" s="91"/>
      <c r="H328" s="17"/>
      <c r="I328" s="17"/>
      <c r="J328" s="91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91"/>
      <c r="E329" s="17"/>
      <c r="F329" s="17"/>
      <c r="G329" s="91"/>
      <c r="H329" s="17"/>
      <c r="I329" s="17"/>
      <c r="J329" s="91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91"/>
      <c r="E330" s="17"/>
      <c r="F330" s="17"/>
      <c r="G330" s="91"/>
      <c r="H330" s="17"/>
      <c r="I330" s="17"/>
      <c r="J330" s="91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91"/>
      <c r="E331" s="17"/>
      <c r="F331" s="17"/>
      <c r="G331" s="91"/>
      <c r="H331" s="17"/>
      <c r="I331" s="17"/>
      <c r="J331" s="91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91"/>
      <c r="E332" s="17"/>
      <c r="F332" s="17"/>
      <c r="G332" s="91"/>
      <c r="H332" s="17"/>
      <c r="I332" s="17"/>
      <c r="J332" s="91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91"/>
      <c r="E333" s="17"/>
      <c r="F333" s="17"/>
      <c r="G333" s="91"/>
      <c r="H333" s="17"/>
      <c r="I333" s="17"/>
      <c r="J333" s="91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91"/>
      <c r="E334" s="17"/>
      <c r="F334" s="17"/>
      <c r="G334" s="91"/>
      <c r="H334" s="17"/>
      <c r="I334" s="17"/>
      <c r="J334" s="91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91"/>
      <c r="E335" s="17"/>
      <c r="F335" s="17"/>
      <c r="G335" s="91"/>
      <c r="H335" s="17"/>
      <c r="I335" s="17"/>
      <c r="J335" s="91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91"/>
      <c r="E336" s="17"/>
      <c r="F336" s="17"/>
      <c r="G336" s="91"/>
      <c r="H336" s="17"/>
      <c r="I336" s="17"/>
      <c r="J336" s="91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91"/>
      <c r="E337" s="17"/>
      <c r="F337" s="17"/>
      <c r="G337" s="91"/>
      <c r="H337" s="17"/>
      <c r="I337" s="17"/>
      <c r="J337" s="91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91"/>
      <c r="E338" s="17"/>
      <c r="F338" s="17"/>
      <c r="G338" s="91"/>
      <c r="H338" s="17"/>
      <c r="I338" s="17"/>
      <c r="J338" s="91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91"/>
      <c r="E339" s="17"/>
      <c r="F339" s="17"/>
      <c r="G339" s="91"/>
      <c r="H339" s="17"/>
      <c r="I339" s="17"/>
      <c r="J339" s="91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91"/>
      <c r="E340" s="17"/>
      <c r="F340" s="17"/>
      <c r="G340" s="91"/>
      <c r="H340" s="17"/>
      <c r="I340" s="17"/>
      <c r="J340" s="91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91"/>
      <c r="E341" s="17"/>
      <c r="F341" s="17"/>
      <c r="G341" s="91"/>
      <c r="H341" s="17"/>
      <c r="I341" s="17"/>
      <c r="J341" s="91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91"/>
      <c r="E342" s="17"/>
      <c r="F342" s="17"/>
      <c r="G342" s="91"/>
      <c r="H342" s="17"/>
      <c r="I342" s="17"/>
      <c r="J342" s="91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91"/>
      <c r="E343" s="17"/>
      <c r="F343" s="17"/>
      <c r="G343" s="91"/>
      <c r="H343" s="17"/>
      <c r="I343" s="17"/>
      <c r="J343" s="91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91"/>
      <c r="E344" s="17"/>
      <c r="F344" s="17"/>
      <c r="G344" s="91"/>
      <c r="H344" s="17"/>
      <c r="I344" s="17"/>
      <c r="J344" s="91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91"/>
      <c r="E345" s="17"/>
      <c r="F345" s="17"/>
      <c r="G345" s="91"/>
      <c r="H345" s="17"/>
      <c r="I345" s="17"/>
      <c r="J345" s="91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91"/>
      <c r="E346" s="17"/>
      <c r="F346" s="17"/>
      <c r="G346" s="91"/>
      <c r="H346" s="17"/>
      <c r="I346" s="17"/>
      <c r="J346" s="91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91"/>
      <c r="E347" s="17"/>
      <c r="F347" s="17"/>
      <c r="G347" s="91"/>
      <c r="H347" s="17"/>
      <c r="I347" s="17"/>
      <c r="J347" s="91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91"/>
      <c r="E348" s="17"/>
      <c r="F348" s="17"/>
      <c r="G348" s="91"/>
      <c r="H348" s="17"/>
      <c r="I348" s="17"/>
      <c r="J348" s="91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91"/>
      <c r="E349" s="17"/>
      <c r="F349" s="17"/>
      <c r="G349" s="91"/>
      <c r="H349" s="17"/>
      <c r="I349" s="17"/>
      <c r="J349" s="91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91"/>
      <c r="E350" s="17"/>
      <c r="F350" s="17"/>
      <c r="G350" s="91"/>
      <c r="H350" s="17"/>
      <c r="I350" s="17"/>
      <c r="J350" s="91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91"/>
      <c r="E351" s="17"/>
      <c r="F351" s="17"/>
      <c r="G351" s="91"/>
      <c r="H351" s="17"/>
      <c r="I351" s="17"/>
      <c r="J351" s="91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91"/>
      <c r="E352" s="17"/>
      <c r="F352" s="17"/>
      <c r="G352" s="91"/>
      <c r="H352" s="17"/>
      <c r="I352" s="17"/>
      <c r="J352" s="91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91"/>
      <c r="E353" s="17"/>
      <c r="F353" s="17"/>
      <c r="G353" s="91"/>
      <c r="H353" s="17"/>
      <c r="I353" s="17"/>
      <c r="J353" s="91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91"/>
      <c r="E354" s="17"/>
      <c r="F354" s="17"/>
      <c r="G354" s="91"/>
      <c r="H354" s="17"/>
      <c r="I354" s="17"/>
      <c r="J354" s="91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91"/>
      <c r="E355" s="17"/>
      <c r="F355" s="17"/>
      <c r="G355" s="91"/>
      <c r="H355" s="17"/>
      <c r="I355" s="17"/>
      <c r="J355" s="91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91"/>
      <c r="E356" s="17"/>
      <c r="F356" s="17"/>
      <c r="G356" s="91"/>
      <c r="H356" s="17"/>
      <c r="I356" s="17"/>
      <c r="J356" s="91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91"/>
      <c r="E357" s="17"/>
      <c r="F357" s="17"/>
      <c r="G357" s="91"/>
      <c r="H357" s="17"/>
      <c r="I357" s="17"/>
      <c r="J357" s="91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91"/>
      <c r="E358" s="17"/>
      <c r="F358" s="17"/>
      <c r="G358" s="91"/>
      <c r="H358" s="17"/>
      <c r="I358" s="17"/>
      <c r="J358" s="91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91"/>
      <c r="E359" s="17"/>
      <c r="F359" s="17"/>
      <c r="G359" s="91"/>
      <c r="H359" s="17"/>
      <c r="I359" s="17"/>
      <c r="J359" s="91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91"/>
      <c r="E360" s="17"/>
      <c r="F360" s="17"/>
      <c r="G360" s="91"/>
      <c r="H360" s="17"/>
      <c r="I360" s="17"/>
      <c r="J360" s="91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91"/>
      <c r="E361" s="17"/>
      <c r="F361" s="17"/>
      <c r="G361" s="91"/>
      <c r="H361" s="17"/>
      <c r="I361" s="17"/>
      <c r="J361" s="91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91"/>
      <c r="E362" s="17"/>
      <c r="F362" s="17"/>
      <c r="G362" s="91"/>
      <c r="H362" s="17"/>
      <c r="I362" s="17"/>
      <c r="J362" s="91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91"/>
      <c r="E363" s="17"/>
      <c r="F363" s="17"/>
      <c r="G363" s="91"/>
      <c r="H363" s="17"/>
      <c r="I363" s="17"/>
      <c r="J363" s="91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91"/>
      <c r="E364" s="17"/>
      <c r="F364" s="17"/>
      <c r="G364" s="91"/>
      <c r="H364" s="17"/>
      <c r="I364" s="17"/>
      <c r="J364" s="91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91"/>
      <c r="E365" s="17"/>
      <c r="F365" s="17"/>
      <c r="G365" s="91"/>
      <c r="H365" s="17"/>
      <c r="I365" s="17"/>
      <c r="J365" s="91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91"/>
      <c r="E366" s="17"/>
      <c r="F366" s="17"/>
      <c r="G366" s="91"/>
      <c r="H366" s="17"/>
      <c r="I366" s="17"/>
      <c r="J366" s="91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91"/>
      <c r="E367" s="17"/>
      <c r="F367" s="17"/>
      <c r="G367" s="91"/>
      <c r="H367" s="17"/>
      <c r="I367" s="17"/>
      <c r="J367" s="91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91"/>
      <c r="E368" s="17"/>
      <c r="F368" s="17"/>
      <c r="G368" s="91"/>
      <c r="H368" s="17"/>
      <c r="I368" s="17"/>
      <c r="J368" s="91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91"/>
      <c r="E369" s="17"/>
      <c r="F369" s="17"/>
      <c r="G369" s="91"/>
      <c r="H369" s="17"/>
      <c r="I369" s="17"/>
      <c r="J369" s="91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91"/>
      <c r="E370" s="17"/>
      <c r="F370" s="17"/>
      <c r="G370" s="91"/>
      <c r="H370" s="17"/>
      <c r="I370" s="17"/>
      <c r="J370" s="91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91"/>
      <c r="E371" s="17"/>
      <c r="F371" s="17"/>
      <c r="G371" s="91"/>
      <c r="H371" s="17"/>
      <c r="I371" s="17"/>
      <c r="J371" s="91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91"/>
      <c r="E372" s="17"/>
      <c r="F372" s="17"/>
      <c r="G372" s="91"/>
      <c r="H372" s="17"/>
      <c r="I372" s="17"/>
      <c r="J372" s="91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91"/>
      <c r="E373" s="17"/>
      <c r="F373" s="17"/>
      <c r="G373" s="91"/>
      <c r="H373" s="17"/>
      <c r="I373" s="17"/>
      <c r="J373" s="91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91"/>
      <c r="E374" s="17"/>
      <c r="F374" s="17"/>
      <c r="G374" s="91"/>
      <c r="H374" s="17"/>
      <c r="I374" s="17"/>
      <c r="J374" s="91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91"/>
      <c r="E375" s="17"/>
      <c r="F375" s="17"/>
      <c r="G375" s="91"/>
      <c r="H375" s="17"/>
      <c r="I375" s="17"/>
      <c r="J375" s="91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91"/>
      <c r="E376" s="17"/>
      <c r="F376" s="17"/>
      <c r="G376" s="91"/>
      <c r="H376" s="17"/>
      <c r="I376" s="17"/>
      <c r="J376" s="91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91"/>
      <c r="E377" s="17"/>
      <c r="F377" s="17"/>
      <c r="G377" s="91"/>
      <c r="H377" s="17"/>
      <c r="I377" s="17"/>
      <c r="J377" s="91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91"/>
      <c r="E378" s="17"/>
      <c r="F378" s="17"/>
      <c r="G378" s="91"/>
      <c r="H378" s="17"/>
      <c r="I378" s="17"/>
      <c r="J378" s="91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91"/>
      <c r="E379" s="17"/>
      <c r="F379" s="17"/>
      <c r="G379" s="91"/>
      <c r="H379" s="17"/>
      <c r="I379" s="17"/>
      <c r="J379" s="91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91"/>
      <c r="E380" s="17"/>
      <c r="F380" s="17"/>
      <c r="G380" s="91"/>
      <c r="H380" s="17"/>
      <c r="I380" s="17"/>
      <c r="J380" s="91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91"/>
      <c r="E381" s="17"/>
      <c r="F381" s="17"/>
      <c r="G381" s="91"/>
      <c r="H381" s="17"/>
      <c r="I381" s="17"/>
      <c r="J381" s="91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91"/>
      <c r="E382" s="17"/>
      <c r="F382" s="17"/>
      <c r="G382" s="91"/>
      <c r="H382" s="17"/>
      <c r="I382" s="17"/>
      <c r="J382" s="91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91"/>
      <c r="E383" s="17"/>
      <c r="F383" s="17"/>
      <c r="G383" s="91"/>
      <c r="H383" s="17"/>
      <c r="I383" s="17"/>
      <c r="J383" s="91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91"/>
      <c r="E384" s="17"/>
      <c r="F384" s="17"/>
      <c r="G384" s="91"/>
      <c r="H384" s="17"/>
      <c r="I384" s="17"/>
      <c r="J384" s="91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91"/>
      <c r="E385" s="17"/>
      <c r="F385" s="17"/>
      <c r="G385" s="91"/>
      <c r="H385" s="17"/>
      <c r="I385" s="17"/>
      <c r="J385" s="91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91"/>
      <c r="E386" s="17"/>
      <c r="F386" s="17"/>
      <c r="G386" s="91"/>
      <c r="H386" s="17"/>
      <c r="I386" s="17"/>
      <c r="J386" s="91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91"/>
      <c r="E387" s="17"/>
      <c r="F387" s="17"/>
      <c r="G387" s="91"/>
      <c r="H387" s="17"/>
      <c r="I387" s="17"/>
      <c r="J387" s="91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91"/>
      <c r="E388" s="17"/>
      <c r="F388" s="17"/>
      <c r="G388" s="91"/>
      <c r="H388" s="17"/>
      <c r="I388" s="17"/>
      <c r="J388" s="91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91"/>
      <c r="E389" s="17"/>
      <c r="F389" s="17"/>
      <c r="G389" s="91"/>
      <c r="H389" s="17"/>
      <c r="I389" s="17"/>
      <c r="J389" s="91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91"/>
      <c r="E390" s="17"/>
      <c r="F390" s="17"/>
      <c r="G390" s="91"/>
      <c r="H390" s="17"/>
      <c r="I390" s="17"/>
      <c r="J390" s="91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91"/>
      <c r="E391" s="17"/>
      <c r="F391" s="17"/>
      <c r="G391" s="91"/>
      <c r="H391" s="17"/>
      <c r="I391" s="17"/>
      <c r="J391" s="91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91"/>
      <c r="E392" s="17"/>
      <c r="F392" s="17"/>
      <c r="G392" s="91"/>
      <c r="H392" s="17"/>
      <c r="I392" s="17"/>
      <c r="J392" s="91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91"/>
      <c r="E393" s="17"/>
      <c r="F393" s="17"/>
      <c r="G393" s="91"/>
      <c r="H393" s="17"/>
      <c r="I393" s="17"/>
      <c r="J393" s="91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91"/>
      <c r="E394" s="17"/>
      <c r="F394" s="17"/>
      <c r="G394" s="91"/>
      <c r="H394" s="17"/>
      <c r="I394" s="17"/>
      <c r="J394" s="91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91"/>
      <c r="E395" s="17"/>
      <c r="F395" s="17"/>
      <c r="G395" s="91"/>
      <c r="H395" s="17"/>
      <c r="I395" s="17"/>
      <c r="J395" s="91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91"/>
      <c r="E396" s="17"/>
      <c r="F396" s="17"/>
      <c r="G396" s="91"/>
      <c r="H396" s="17"/>
      <c r="I396" s="17"/>
      <c r="J396" s="91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91"/>
      <c r="E397" s="17"/>
      <c r="F397" s="17"/>
      <c r="G397" s="91"/>
      <c r="H397" s="17"/>
      <c r="I397" s="17"/>
      <c r="J397" s="91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91"/>
      <c r="E398" s="17"/>
      <c r="F398" s="17"/>
      <c r="G398" s="91"/>
      <c r="H398" s="17"/>
      <c r="I398" s="17"/>
      <c r="J398" s="91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91"/>
      <c r="E399" s="17"/>
      <c r="F399" s="17"/>
      <c r="G399" s="91"/>
      <c r="H399" s="17"/>
      <c r="I399" s="17"/>
      <c r="J399" s="91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91"/>
      <c r="E400" s="17"/>
      <c r="F400" s="17"/>
      <c r="G400" s="91"/>
      <c r="H400" s="17"/>
      <c r="I400" s="17"/>
      <c r="J400" s="91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91"/>
      <c r="E401" s="17"/>
      <c r="F401" s="17"/>
      <c r="G401" s="91"/>
      <c r="H401" s="17"/>
      <c r="I401" s="17"/>
      <c r="J401" s="91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91"/>
      <c r="E402" s="17"/>
      <c r="F402" s="17"/>
      <c r="G402" s="91"/>
      <c r="H402" s="17"/>
      <c r="I402" s="17"/>
      <c r="J402" s="91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91"/>
      <c r="E403" s="17"/>
      <c r="F403" s="17"/>
      <c r="G403" s="91"/>
      <c r="H403" s="17"/>
      <c r="I403" s="17"/>
      <c r="J403" s="91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91"/>
      <c r="E404" s="17"/>
      <c r="F404" s="17"/>
      <c r="G404" s="91"/>
      <c r="H404" s="17"/>
      <c r="I404" s="17"/>
      <c r="J404" s="91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91"/>
      <c r="E405" s="17"/>
      <c r="F405" s="17"/>
      <c r="G405" s="91"/>
      <c r="H405" s="17"/>
      <c r="I405" s="17"/>
      <c r="J405" s="91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91"/>
      <c r="E406" s="17"/>
      <c r="F406" s="17"/>
      <c r="G406" s="91"/>
      <c r="H406" s="17"/>
      <c r="I406" s="17"/>
      <c r="J406" s="91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91"/>
      <c r="E407" s="17"/>
      <c r="F407" s="17"/>
      <c r="G407" s="91"/>
      <c r="H407" s="17"/>
      <c r="I407" s="17"/>
      <c r="J407" s="91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91"/>
      <c r="E408" s="17"/>
      <c r="F408" s="17"/>
      <c r="G408" s="91"/>
      <c r="H408" s="17"/>
      <c r="I408" s="17"/>
      <c r="J408" s="91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91"/>
      <c r="E409" s="17"/>
      <c r="F409" s="17"/>
      <c r="G409" s="91"/>
      <c r="H409" s="17"/>
      <c r="I409" s="17"/>
      <c r="J409" s="91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91"/>
      <c r="E410" s="17"/>
      <c r="F410" s="17"/>
      <c r="G410" s="91"/>
      <c r="H410" s="17"/>
      <c r="I410" s="17"/>
      <c r="J410" s="91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91"/>
      <c r="E411" s="17"/>
      <c r="F411" s="17"/>
      <c r="G411" s="91"/>
      <c r="H411" s="17"/>
      <c r="I411" s="17"/>
      <c r="J411" s="91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91"/>
      <c r="E412" s="17"/>
      <c r="F412" s="17"/>
      <c r="G412" s="91"/>
      <c r="H412" s="17"/>
      <c r="I412" s="17"/>
      <c r="J412" s="91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91"/>
      <c r="E413" s="17"/>
      <c r="F413" s="17"/>
      <c r="G413" s="91"/>
      <c r="H413" s="17"/>
      <c r="I413" s="17"/>
      <c r="J413" s="91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91"/>
      <c r="E414" s="17"/>
      <c r="F414" s="17"/>
      <c r="G414" s="91"/>
      <c r="H414" s="17"/>
      <c r="I414" s="17"/>
      <c r="J414" s="91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91"/>
      <c r="E415" s="17"/>
      <c r="F415" s="17"/>
      <c r="G415" s="91"/>
      <c r="H415" s="17"/>
      <c r="I415" s="17"/>
      <c r="J415" s="91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91"/>
      <c r="E416" s="17"/>
      <c r="F416" s="17"/>
      <c r="G416" s="91"/>
      <c r="H416" s="17"/>
      <c r="I416" s="17"/>
      <c r="J416" s="91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91"/>
      <c r="E417" s="17"/>
      <c r="F417" s="17"/>
      <c r="G417" s="91"/>
      <c r="H417" s="17"/>
      <c r="I417" s="17"/>
      <c r="J417" s="91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91"/>
      <c r="E418" s="17"/>
      <c r="F418" s="17"/>
      <c r="G418" s="91"/>
      <c r="H418" s="17"/>
      <c r="I418" s="17"/>
      <c r="J418" s="91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91"/>
      <c r="E419" s="17"/>
      <c r="F419" s="17"/>
      <c r="G419" s="91"/>
      <c r="H419" s="17"/>
      <c r="I419" s="17"/>
      <c r="J419" s="91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91"/>
      <c r="E420" s="17"/>
      <c r="F420" s="17"/>
      <c r="G420" s="91"/>
      <c r="H420" s="17"/>
      <c r="I420" s="17"/>
      <c r="J420" s="91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91"/>
      <c r="E421" s="17"/>
      <c r="F421" s="17"/>
      <c r="G421" s="91"/>
      <c r="H421" s="17"/>
      <c r="I421" s="17"/>
      <c r="J421" s="91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91"/>
      <c r="E422" s="17"/>
      <c r="F422" s="17"/>
      <c r="G422" s="91"/>
      <c r="H422" s="17"/>
      <c r="I422" s="17"/>
      <c r="J422" s="91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91"/>
      <c r="E423" s="17"/>
      <c r="F423" s="17"/>
      <c r="G423" s="91"/>
      <c r="H423" s="17"/>
      <c r="I423" s="17"/>
      <c r="J423" s="91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91"/>
      <c r="E424" s="17"/>
      <c r="F424" s="17"/>
      <c r="G424" s="91"/>
      <c r="H424" s="17"/>
      <c r="I424" s="17"/>
      <c r="J424" s="91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91"/>
      <c r="E425" s="17"/>
      <c r="F425" s="17"/>
      <c r="G425" s="91"/>
      <c r="H425" s="17"/>
      <c r="I425" s="17"/>
      <c r="J425" s="91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91"/>
      <c r="E426" s="17"/>
      <c r="F426" s="17"/>
      <c r="G426" s="91"/>
      <c r="H426" s="17"/>
      <c r="I426" s="17"/>
      <c r="J426" s="91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91"/>
      <c r="E427" s="17"/>
      <c r="F427" s="17"/>
      <c r="G427" s="91"/>
      <c r="H427" s="17"/>
      <c r="I427" s="17"/>
      <c r="J427" s="91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91"/>
      <c r="E428" s="17"/>
      <c r="F428" s="17"/>
      <c r="G428" s="91"/>
      <c r="H428" s="17"/>
      <c r="I428" s="17"/>
      <c r="J428" s="91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91"/>
      <c r="E429" s="17"/>
      <c r="F429" s="17"/>
      <c r="G429" s="91"/>
      <c r="H429" s="17"/>
      <c r="I429" s="17"/>
      <c r="J429" s="91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91"/>
      <c r="E430" s="17"/>
      <c r="F430" s="17"/>
      <c r="G430" s="91"/>
      <c r="H430" s="17"/>
      <c r="I430" s="17"/>
      <c r="J430" s="91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91"/>
      <c r="E431" s="17"/>
      <c r="F431" s="17"/>
      <c r="G431" s="91"/>
      <c r="H431" s="17"/>
      <c r="I431" s="17"/>
      <c r="J431" s="91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91"/>
      <c r="E432" s="17"/>
      <c r="F432" s="17"/>
      <c r="G432" s="91"/>
      <c r="H432" s="17"/>
      <c r="I432" s="17"/>
      <c r="J432" s="91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91"/>
      <c r="E433" s="17"/>
      <c r="F433" s="17"/>
      <c r="G433" s="91"/>
      <c r="H433" s="17"/>
      <c r="I433" s="17"/>
      <c r="J433" s="91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91"/>
      <c r="E434" s="17"/>
      <c r="F434" s="17"/>
      <c r="G434" s="91"/>
      <c r="H434" s="17"/>
      <c r="I434" s="17"/>
      <c r="J434" s="91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91"/>
      <c r="E435" s="17"/>
      <c r="F435" s="17"/>
      <c r="G435" s="91"/>
      <c r="H435" s="17"/>
      <c r="I435" s="17"/>
      <c r="J435" s="91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91"/>
      <c r="E436" s="17"/>
      <c r="F436" s="17"/>
      <c r="G436" s="91"/>
      <c r="H436" s="17"/>
      <c r="I436" s="17"/>
      <c r="J436" s="91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91"/>
      <c r="E437" s="17"/>
      <c r="F437" s="17"/>
      <c r="G437" s="91"/>
      <c r="H437" s="17"/>
      <c r="I437" s="17"/>
      <c r="J437" s="91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91"/>
      <c r="E438" s="17"/>
      <c r="F438" s="17"/>
      <c r="G438" s="91"/>
      <c r="H438" s="17"/>
      <c r="I438" s="17"/>
      <c r="J438" s="91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91"/>
      <c r="E439" s="17"/>
      <c r="F439" s="17"/>
      <c r="G439" s="91"/>
      <c r="H439" s="17"/>
      <c r="I439" s="17"/>
      <c r="J439" s="91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91"/>
      <c r="E440" s="17"/>
      <c r="F440" s="17"/>
      <c r="G440" s="91"/>
      <c r="H440" s="17"/>
      <c r="I440" s="17"/>
      <c r="J440" s="91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91"/>
      <c r="E441" s="17"/>
      <c r="F441" s="17"/>
      <c r="G441" s="91"/>
      <c r="H441" s="17"/>
      <c r="I441" s="17"/>
      <c r="J441" s="91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91"/>
      <c r="E442" s="17"/>
      <c r="F442" s="17"/>
      <c r="G442" s="91"/>
      <c r="H442" s="17"/>
      <c r="I442" s="17"/>
      <c r="J442" s="91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91"/>
      <c r="E443" s="17"/>
      <c r="F443" s="17"/>
      <c r="G443" s="91"/>
      <c r="H443" s="17"/>
      <c r="I443" s="17"/>
      <c r="J443" s="91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91"/>
      <c r="E444" s="17"/>
      <c r="F444" s="17"/>
      <c r="G444" s="91"/>
      <c r="H444" s="17"/>
      <c r="I444" s="17"/>
      <c r="J444" s="91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91"/>
      <c r="E445" s="17"/>
      <c r="F445" s="17"/>
      <c r="G445" s="91"/>
      <c r="H445" s="17"/>
      <c r="I445" s="17"/>
      <c r="J445" s="91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91"/>
      <c r="E446" s="17"/>
      <c r="F446" s="17"/>
      <c r="G446" s="91"/>
      <c r="H446" s="17"/>
      <c r="I446" s="17"/>
      <c r="J446" s="91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91"/>
      <c r="E447" s="17"/>
      <c r="F447" s="17"/>
      <c r="G447" s="91"/>
      <c r="H447" s="17"/>
      <c r="I447" s="17"/>
      <c r="J447" s="91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91"/>
      <c r="E448" s="17"/>
      <c r="F448" s="17"/>
      <c r="G448" s="91"/>
      <c r="H448" s="17"/>
      <c r="I448" s="17"/>
      <c r="J448" s="91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91"/>
      <c r="E449" s="17"/>
      <c r="F449" s="17"/>
      <c r="G449" s="91"/>
      <c r="H449" s="17"/>
      <c r="I449" s="17"/>
      <c r="J449" s="91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91"/>
      <c r="E450" s="17"/>
      <c r="F450" s="17"/>
      <c r="G450" s="91"/>
      <c r="H450" s="17"/>
      <c r="I450" s="17"/>
      <c r="J450" s="91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91"/>
      <c r="E451" s="17"/>
      <c r="F451" s="17"/>
      <c r="G451" s="91"/>
      <c r="H451" s="17"/>
      <c r="I451" s="17"/>
      <c r="J451" s="91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91"/>
      <c r="E452" s="17"/>
      <c r="F452" s="17"/>
      <c r="G452" s="91"/>
      <c r="H452" s="17"/>
      <c r="I452" s="17"/>
      <c r="J452" s="91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91"/>
      <c r="E453" s="17"/>
      <c r="F453" s="17"/>
      <c r="G453" s="91"/>
      <c r="H453" s="17"/>
      <c r="I453" s="17"/>
      <c r="J453" s="91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91"/>
      <c r="E454" s="17"/>
      <c r="F454" s="17"/>
      <c r="G454" s="91"/>
      <c r="H454" s="17"/>
      <c r="I454" s="17"/>
      <c r="J454" s="91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91"/>
      <c r="E455" s="17"/>
      <c r="F455" s="17"/>
      <c r="G455" s="91"/>
      <c r="H455" s="17"/>
      <c r="I455" s="17"/>
      <c r="J455" s="91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91"/>
      <c r="E456" s="17"/>
      <c r="F456" s="17"/>
      <c r="G456" s="91"/>
      <c r="H456" s="17"/>
      <c r="I456" s="17"/>
      <c r="J456" s="91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91"/>
      <c r="E457" s="17"/>
      <c r="F457" s="17"/>
      <c r="G457" s="91"/>
      <c r="H457" s="17"/>
      <c r="I457" s="17"/>
      <c r="J457" s="91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91"/>
      <c r="E458" s="17"/>
      <c r="F458" s="17"/>
      <c r="G458" s="91"/>
      <c r="H458" s="17"/>
      <c r="I458" s="17"/>
      <c r="J458" s="91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91"/>
      <c r="E459" s="17"/>
      <c r="F459" s="17"/>
      <c r="G459" s="91"/>
      <c r="H459" s="17"/>
      <c r="I459" s="17"/>
      <c r="J459" s="91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91"/>
      <c r="E460" s="17"/>
      <c r="F460" s="17"/>
      <c r="G460" s="91"/>
      <c r="H460" s="17"/>
      <c r="I460" s="17"/>
      <c r="J460" s="91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91"/>
      <c r="E461" s="17"/>
      <c r="F461" s="17"/>
      <c r="G461" s="91"/>
      <c r="H461" s="17"/>
      <c r="I461" s="17"/>
      <c r="J461" s="91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91"/>
      <c r="E462" s="17"/>
      <c r="F462" s="17"/>
      <c r="G462" s="91"/>
      <c r="H462" s="17"/>
      <c r="I462" s="17"/>
      <c r="J462" s="91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91"/>
      <c r="E463" s="17"/>
      <c r="F463" s="17"/>
      <c r="G463" s="91"/>
      <c r="H463" s="17"/>
      <c r="I463" s="17"/>
      <c r="J463" s="91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91"/>
      <c r="E464" s="17"/>
      <c r="F464" s="17"/>
      <c r="G464" s="91"/>
      <c r="H464" s="17"/>
      <c r="I464" s="17"/>
      <c r="J464" s="91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91"/>
      <c r="E465" s="17"/>
      <c r="F465" s="17"/>
      <c r="G465" s="91"/>
      <c r="H465" s="17"/>
      <c r="I465" s="17"/>
      <c r="J465" s="91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91"/>
      <c r="E466" s="17"/>
      <c r="F466" s="17"/>
      <c r="G466" s="91"/>
      <c r="H466" s="17"/>
      <c r="I466" s="17"/>
      <c r="J466" s="91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91"/>
      <c r="E467" s="17"/>
      <c r="F467" s="17"/>
      <c r="G467" s="91"/>
      <c r="H467" s="17"/>
      <c r="I467" s="17"/>
      <c r="J467" s="91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91"/>
      <c r="E468" s="17"/>
      <c r="F468" s="17"/>
      <c r="G468" s="91"/>
      <c r="H468" s="17"/>
      <c r="I468" s="17"/>
      <c r="J468" s="91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91"/>
      <c r="E469" s="17"/>
      <c r="F469" s="17"/>
      <c r="G469" s="91"/>
      <c r="H469" s="17"/>
      <c r="I469" s="17"/>
      <c r="J469" s="91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91"/>
      <c r="E470" s="17"/>
      <c r="F470" s="17"/>
      <c r="G470" s="91"/>
      <c r="H470" s="17"/>
      <c r="I470" s="17"/>
      <c r="J470" s="91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91"/>
      <c r="E471" s="17"/>
      <c r="F471" s="17"/>
      <c r="G471" s="91"/>
      <c r="H471" s="17"/>
      <c r="I471" s="17"/>
      <c r="J471" s="91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91"/>
      <c r="E472" s="17"/>
      <c r="F472" s="17"/>
      <c r="G472" s="91"/>
      <c r="H472" s="17"/>
      <c r="I472" s="17"/>
      <c r="J472" s="91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91"/>
      <c r="E473" s="17"/>
      <c r="F473" s="17"/>
      <c r="G473" s="91"/>
      <c r="H473" s="17"/>
      <c r="I473" s="17"/>
      <c r="J473" s="91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91"/>
      <c r="E474" s="17"/>
      <c r="F474" s="17"/>
      <c r="G474" s="91"/>
      <c r="H474" s="17"/>
      <c r="I474" s="17"/>
      <c r="J474" s="91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91"/>
      <c r="E475" s="17"/>
      <c r="F475" s="17"/>
      <c r="G475" s="91"/>
      <c r="H475" s="17"/>
      <c r="I475" s="17"/>
      <c r="J475" s="91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91"/>
      <c r="E476" s="17"/>
      <c r="F476" s="17"/>
      <c r="G476" s="91"/>
      <c r="H476" s="17"/>
      <c r="I476" s="17"/>
      <c r="J476" s="91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91"/>
      <c r="E477" s="17"/>
      <c r="F477" s="17"/>
      <c r="G477" s="91"/>
      <c r="H477" s="17"/>
      <c r="I477" s="17"/>
      <c r="J477" s="91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91"/>
      <c r="E478" s="17"/>
      <c r="F478" s="17"/>
      <c r="G478" s="91"/>
      <c r="H478" s="17"/>
      <c r="I478" s="17"/>
      <c r="J478" s="91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91"/>
      <c r="E479" s="17"/>
      <c r="F479" s="17"/>
      <c r="G479" s="91"/>
      <c r="H479" s="17"/>
      <c r="I479" s="17"/>
      <c r="J479" s="91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91"/>
      <c r="E480" s="17"/>
      <c r="F480" s="17"/>
      <c r="G480" s="91"/>
      <c r="H480" s="17"/>
      <c r="I480" s="17"/>
      <c r="J480" s="91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91"/>
      <c r="E481" s="17"/>
      <c r="F481" s="17"/>
      <c r="G481" s="91"/>
      <c r="H481" s="17"/>
      <c r="I481" s="17"/>
      <c r="J481" s="91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91"/>
      <c r="E482" s="17"/>
      <c r="F482" s="17"/>
      <c r="G482" s="91"/>
      <c r="H482" s="17"/>
      <c r="I482" s="17"/>
      <c r="J482" s="91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91"/>
      <c r="E483" s="17"/>
      <c r="F483" s="17"/>
      <c r="G483" s="91"/>
      <c r="H483" s="17"/>
      <c r="I483" s="17"/>
      <c r="J483" s="91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91"/>
      <c r="E484" s="17"/>
      <c r="F484" s="17"/>
      <c r="G484" s="91"/>
      <c r="H484" s="17"/>
      <c r="I484" s="17"/>
      <c r="J484" s="91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91"/>
      <c r="E485" s="17"/>
      <c r="F485" s="17"/>
      <c r="G485" s="91"/>
      <c r="H485" s="17"/>
      <c r="I485" s="17"/>
      <c r="J485" s="91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91"/>
      <c r="E486" s="17"/>
      <c r="F486" s="17"/>
      <c r="G486" s="91"/>
      <c r="H486" s="17"/>
      <c r="I486" s="17"/>
      <c r="J486" s="91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91"/>
      <c r="E487" s="17"/>
      <c r="F487" s="17"/>
      <c r="G487" s="91"/>
      <c r="H487" s="17"/>
      <c r="I487" s="17"/>
      <c r="J487" s="91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91"/>
      <c r="E488" s="17"/>
      <c r="F488" s="17"/>
      <c r="G488" s="91"/>
      <c r="H488" s="17"/>
      <c r="I488" s="17"/>
      <c r="J488" s="91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91"/>
      <c r="E489" s="17"/>
      <c r="F489" s="17"/>
      <c r="G489" s="91"/>
      <c r="H489" s="17"/>
      <c r="I489" s="17"/>
      <c r="J489" s="91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91"/>
      <c r="E490" s="17"/>
      <c r="F490" s="17"/>
      <c r="G490" s="91"/>
      <c r="H490" s="17"/>
      <c r="I490" s="17"/>
      <c r="J490" s="91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91"/>
      <c r="E491" s="17"/>
      <c r="F491" s="17"/>
      <c r="G491" s="91"/>
      <c r="H491" s="17"/>
      <c r="I491" s="17"/>
      <c r="J491" s="91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91"/>
      <c r="E492" s="17"/>
      <c r="F492" s="17"/>
      <c r="G492" s="91"/>
      <c r="H492" s="17"/>
      <c r="I492" s="17"/>
      <c r="J492" s="91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91"/>
      <c r="E493" s="17"/>
      <c r="F493" s="17"/>
      <c r="G493" s="91"/>
      <c r="H493" s="17"/>
      <c r="I493" s="17"/>
      <c r="J493" s="91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91"/>
      <c r="E494" s="17"/>
      <c r="F494" s="17"/>
      <c r="G494" s="91"/>
      <c r="H494" s="17"/>
      <c r="I494" s="17"/>
      <c r="J494" s="91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91"/>
      <c r="E495" s="17"/>
      <c r="F495" s="17"/>
      <c r="G495" s="91"/>
      <c r="H495" s="17"/>
      <c r="I495" s="17"/>
      <c r="J495" s="91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91"/>
      <c r="E496" s="17"/>
      <c r="F496" s="17"/>
      <c r="G496" s="91"/>
      <c r="H496" s="17"/>
      <c r="I496" s="17"/>
      <c r="J496" s="91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91"/>
      <c r="E497" s="17"/>
      <c r="F497" s="17"/>
      <c r="G497" s="91"/>
      <c r="H497" s="17"/>
      <c r="I497" s="17"/>
      <c r="J497" s="91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91"/>
      <c r="E498" s="17"/>
      <c r="F498" s="17"/>
      <c r="G498" s="91"/>
      <c r="H498" s="17"/>
      <c r="I498" s="17"/>
      <c r="J498" s="91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91"/>
      <c r="E499" s="17"/>
      <c r="F499" s="17"/>
      <c r="G499" s="91"/>
      <c r="H499" s="17"/>
      <c r="I499" s="17"/>
      <c r="J499" s="91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91"/>
      <c r="E500" s="17"/>
      <c r="F500" s="17"/>
      <c r="G500" s="91"/>
      <c r="H500" s="17"/>
      <c r="I500" s="17"/>
      <c r="J500" s="91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91"/>
      <c r="E501" s="17"/>
      <c r="F501" s="17"/>
      <c r="G501" s="91"/>
      <c r="H501" s="17"/>
      <c r="I501" s="17"/>
      <c r="J501" s="91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91"/>
      <c r="E502" s="17"/>
      <c r="F502" s="17"/>
      <c r="G502" s="91"/>
      <c r="H502" s="17"/>
      <c r="I502" s="17"/>
      <c r="J502" s="91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91"/>
      <c r="E503" s="17"/>
      <c r="F503" s="17"/>
      <c r="G503" s="91"/>
      <c r="H503" s="17"/>
      <c r="I503" s="17"/>
      <c r="J503" s="91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91"/>
      <c r="E504" s="17"/>
      <c r="F504" s="17"/>
      <c r="G504" s="91"/>
      <c r="H504" s="17"/>
      <c r="I504" s="17"/>
      <c r="J504" s="91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91"/>
      <c r="E505" s="17"/>
      <c r="F505" s="17"/>
      <c r="G505" s="91"/>
      <c r="H505" s="17"/>
      <c r="I505" s="17"/>
      <c r="J505" s="91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91"/>
      <c r="E506" s="17"/>
      <c r="F506" s="17"/>
      <c r="G506" s="91"/>
      <c r="H506" s="17"/>
      <c r="I506" s="17"/>
      <c r="J506" s="91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91"/>
      <c r="E507" s="17"/>
      <c r="F507" s="17"/>
      <c r="G507" s="91"/>
      <c r="H507" s="17"/>
      <c r="I507" s="17"/>
      <c r="J507" s="91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91"/>
      <c r="E508" s="17"/>
      <c r="F508" s="17"/>
      <c r="G508" s="91"/>
      <c r="H508" s="17"/>
      <c r="I508" s="17"/>
      <c r="J508" s="91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91"/>
      <c r="E509" s="17"/>
      <c r="F509" s="17"/>
      <c r="G509" s="91"/>
      <c r="H509" s="17"/>
      <c r="I509" s="17"/>
      <c r="J509" s="91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91"/>
      <c r="E510" s="17"/>
      <c r="F510" s="17"/>
      <c r="G510" s="91"/>
      <c r="H510" s="17"/>
      <c r="I510" s="17"/>
      <c r="J510" s="91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91"/>
      <c r="E511" s="17"/>
      <c r="F511" s="17"/>
      <c r="G511" s="91"/>
      <c r="H511" s="17"/>
      <c r="I511" s="17"/>
      <c r="J511" s="91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91"/>
      <c r="E512" s="17"/>
      <c r="F512" s="17"/>
      <c r="G512" s="91"/>
      <c r="H512" s="17"/>
      <c r="I512" s="17"/>
      <c r="J512" s="91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91"/>
      <c r="E513" s="17"/>
      <c r="F513" s="17"/>
      <c r="G513" s="91"/>
      <c r="H513" s="17"/>
      <c r="I513" s="17"/>
      <c r="J513" s="91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91"/>
      <c r="E514" s="17"/>
      <c r="F514" s="17"/>
      <c r="G514" s="91"/>
      <c r="H514" s="17"/>
      <c r="I514" s="17"/>
      <c r="J514" s="91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91"/>
      <c r="E515" s="17"/>
      <c r="F515" s="17"/>
      <c r="G515" s="91"/>
      <c r="H515" s="17"/>
      <c r="I515" s="17"/>
      <c r="J515" s="91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91"/>
      <c r="E516" s="17"/>
      <c r="F516" s="17"/>
      <c r="G516" s="91"/>
      <c r="H516" s="17"/>
      <c r="I516" s="17"/>
      <c r="J516" s="91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91"/>
      <c r="E517" s="17"/>
      <c r="F517" s="17"/>
      <c r="G517" s="91"/>
      <c r="H517" s="17"/>
      <c r="I517" s="17"/>
      <c r="J517" s="91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91"/>
      <c r="E518" s="17"/>
      <c r="F518" s="17"/>
      <c r="G518" s="91"/>
      <c r="H518" s="17"/>
      <c r="I518" s="17"/>
      <c r="J518" s="91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91"/>
      <c r="E519" s="17"/>
      <c r="F519" s="17"/>
      <c r="G519" s="91"/>
      <c r="H519" s="17"/>
      <c r="I519" s="17"/>
      <c r="J519" s="91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91"/>
      <c r="E520" s="17"/>
      <c r="F520" s="17"/>
      <c r="G520" s="91"/>
      <c r="H520" s="17"/>
      <c r="I520" s="17"/>
      <c r="J520" s="91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91"/>
      <c r="E521" s="17"/>
      <c r="F521" s="17"/>
      <c r="G521" s="91"/>
      <c r="H521" s="17"/>
      <c r="I521" s="17"/>
      <c r="J521" s="91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91"/>
      <c r="E522" s="17"/>
      <c r="F522" s="17"/>
      <c r="G522" s="91"/>
      <c r="H522" s="17"/>
      <c r="I522" s="17"/>
      <c r="J522" s="91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91"/>
      <c r="E523" s="17"/>
      <c r="F523" s="17"/>
      <c r="G523" s="91"/>
      <c r="H523" s="17"/>
      <c r="I523" s="17"/>
      <c r="J523" s="91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91"/>
      <c r="E524" s="17"/>
      <c r="F524" s="17"/>
      <c r="G524" s="91"/>
      <c r="H524" s="17"/>
      <c r="I524" s="17"/>
      <c r="J524" s="91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91"/>
      <c r="E525" s="17"/>
      <c r="F525" s="17"/>
      <c r="G525" s="91"/>
      <c r="H525" s="17"/>
      <c r="I525" s="17"/>
      <c r="J525" s="91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91"/>
      <c r="E526" s="17"/>
      <c r="F526" s="17"/>
      <c r="G526" s="91"/>
      <c r="H526" s="17"/>
      <c r="I526" s="17"/>
      <c r="J526" s="91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91"/>
      <c r="E527" s="17"/>
      <c r="F527" s="17"/>
      <c r="G527" s="91"/>
      <c r="H527" s="17"/>
      <c r="I527" s="17"/>
      <c r="J527" s="91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91"/>
      <c r="E528" s="17"/>
      <c r="F528" s="17"/>
      <c r="G528" s="91"/>
      <c r="H528" s="17"/>
      <c r="I528" s="17"/>
      <c r="J528" s="91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91"/>
      <c r="E529" s="17"/>
      <c r="F529" s="17"/>
      <c r="G529" s="91"/>
      <c r="H529" s="17"/>
      <c r="I529" s="17"/>
      <c r="J529" s="91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91"/>
      <c r="E530" s="17"/>
      <c r="F530" s="17"/>
      <c r="G530" s="91"/>
      <c r="H530" s="17"/>
      <c r="I530" s="17"/>
      <c r="J530" s="91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91"/>
      <c r="E531" s="17"/>
      <c r="F531" s="17"/>
      <c r="G531" s="91"/>
      <c r="H531" s="17"/>
      <c r="I531" s="17"/>
      <c r="J531" s="91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91"/>
      <c r="E532" s="17"/>
      <c r="F532" s="17"/>
      <c r="G532" s="91"/>
      <c r="H532" s="17"/>
      <c r="I532" s="17"/>
      <c r="J532" s="91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91"/>
      <c r="E533" s="17"/>
      <c r="F533" s="17"/>
      <c r="G533" s="91"/>
      <c r="H533" s="17"/>
      <c r="I533" s="17"/>
      <c r="J533" s="91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91"/>
      <c r="E534" s="17"/>
      <c r="F534" s="17"/>
      <c r="G534" s="91"/>
      <c r="H534" s="17"/>
      <c r="I534" s="17"/>
      <c r="J534" s="91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91"/>
      <c r="E535" s="17"/>
      <c r="F535" s="17"/>
      <c r="G535" s="91"/>
      <c r="H535" s="17"/>
      <c r="I535" s="17"/>
      <c r="J535" s="91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91"/>
      <c r="E536" s="17"/>
      <c r="F536" s="17"/>
      <c r="G536" s="91"/>
      <c r="H536" s="17"/>
      <c r="I536" s="17"/>
      <c r="J536" s="91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91"/>
      <c r="E537" s="17"/>
      <c r="F537" s="17"/>
      <c r="G537" s="91"/>
      <c r="H537" s="17"/>
      <c r="I537" s="17"/>
      <c r="J537" s="91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91"/>
      <c r="E538" s="17"/>
      <c r="F538" s="17"/>
      <c r="G538" s="91"/>
      <c r="H538" s="17"/>
      <c r="I538" s="17"/>
      <c r="J538" s="91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91"/>
      <c r="E539" s="17"/>
      <c r="F539" s="17"/>
      <c r="G539" s="91"/>
      <c r="H539" s="17"/>
      <c r="I539" s="17"/>
      <c r="J539" s="91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91"/>
      <c r="E540" s="17"/>
      <c r="F540" s="17"/>
      <c r="G540" s="91"/>
      <c r="H540" s="17"/>
      <c r="I540" s="17"/>
      <c r="J540" s="91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91"/>
      <c r="E541" s="17"/>
      <c r="F541" s="17"/>
      <c r="G541" s="91"/>
      <c r="H541" s="17"/>
      <c r="I541" s="17"/>
      <c r="J541" s="91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91"/>
      <c r="E542" s="17"/>
      <c r="F542" s="17"/>
      <c r="G542" s="91"/>
      <c r="H542" s="17"/>
      <c r="I542" s="17"/>
      <c r="J542" s="91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91"/>
      <c r="E543" s="17"/>
      <c r="F543" s="17"/>
      <c r="G543" s="91"/>
      <c r="H543" s="17"/>
      <c r="I543" s="17"/>
      <c r="J543" s="91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91"/>
      <c r="E544" s="17"/>
      <c r="F544" s="17"/>
      <c r="G544" s="91"/>
      <c r="H544" s="17"/>
      <c r="I544" s="17"/>
      <c r="J544" s="91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91"/>
      <c r="E545" s="17"/>
      <c r="F545" s="17"/>
      <c r="G545" s="91"/>
      <c r="H545" s="17"/>
      <c r="I545" s="17"/>
      <c r="J545" s="91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91"/>
      <c r="E546" s="17"/>
      <c r="F546" s="17"/>
      <c r="G546" s="91"/>
      <c r="H546" s="17"/>
      <c r="I546" s="17"/>
      <c r="J546" s="91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91"/>
      <c r="E547" s="17"/>
      <c r="F547" s="17"/>
      <c r="G547" s="91"/>
      <c r="H547" s="17"/>
      <c r="I547" s="17"/>
      <c r="J547" s="91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91"/>
      <c r="E548" s="17"/>
      <c r="F548" s="17"/>
      <c r="G548" s="91"/>
      <c r="H548" s="17"/>
      <c r="I548" s="17"/>
      <c r="J548" s="91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91"/>
      <c r="E549" s="17"/>
      <c r="F549" s="17"/>
      <c r="G549" s="91"/>
      <c r="H549" s="17"/>
      <c r="I549" s="17"/>
      <c r="J549" s="91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91"/>
      <c r="E550" s="17"/>
      <c r="F550" s="17"/>
      <c r="G550" s="91"/>
      <c r="H550" s="17"/>
      <c r="I550" s="17"/>
      <c r="J550" s="91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91"/>
      <c r="E551" s="17"/>
      <c r="F551" s="17"/>
      <c r="G551" s="91"/>
      <c r="H551" s="17"/>
      <c r="I551" s="17"/>
      <c r="J551" s="91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91"/>
      <c r="E552" s="17"/>
      <c r="F552" s="17"/>
      <c r="G552" s="91"/>
      <c r="H552" s="17"/>
      <c r="I552" s="17"/>
      <c r="J552" s="91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91"/>
      <c r="E553" s="17"/>
      <c r="F553" s="17"/>
      <c r="G553" s="91"/>
      <c r="H553" s="17"/>
      <c r="I553" s="17"/>
      <c r="J553" s="91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91"/>
      <c r="E554" s="17"/>
      <c r="F554" s="17"/>
      <c r="G554" s="91"/>
      <c r="H554" s="17"/>
      <c r="I554" s="17"/>
      <c r="J554" s="91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91"/>
      <c r="E555" s="17"/>
      <c r="F555" s="17"/>
      <c r="G555" s="91"/>
      <c r="H555" s="17"/>
      <c r="I555" s="17"/>
      <c r="J555" s="91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91"/>
      <c r="E556" s="17"/>
      <c r="F556" s="17"/>
      <c r="G556" s="91"/>
      <c r="H556" s="17"/>
      <c r="I556" s="17"/>
      <c r="J556" s="91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91"/>
      <c r="E557" s="17"/>
      <c r="F557" s="17"/>
      <c r="G557" s="91"/>
      <c r="H557" s="17"/>
      <c r="I557" s="17"/>
      <c r="J557" s="91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91"/>
      <c r="E558" s="17"/>
      <c r="F558" s="17"/>
      <c r="G558" s="91"/>
      <c r="H558" s="17"/>
      <c r="I558" s="17"/>
      <c r="J558" s="91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91"/>
      <c r="E559" s="17"/>
      <c r="F559" s="17"/>
      <c r="G559" s="91"/>
      <c r="H559" s="17"/>
      <c r="I559" s="17"/>
      <c r="J559" s="91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91"/>
      <c r="E560" s="17"/>
      <c r="F560" s="17"/>
      <c r="G560" s="91"/>
      <c r="H560" s="17"/>
      <c r="I560" s="17"/>
      <c r="J560" s="91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91"/>
      <c r="E561" s="17"/>
      <c r="F561" s="17"/>
      <c r="G561" s="91"/>
      <c r="H561" s="17"/>
      <c r="I561" s="17"/>
      <c r="J561" s="91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91"/>
      <c r="E562" s="17"/>
      <c r="F562" s="17"/>
      <c r="G562" s="91"/>
      <c r="H562" s="17"/>
      <c r="I562" s="17"/>
      <c r="J562" s="91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91"/>
      <c r="E563" s="17"/>
      <c r="F563" s="17"/>
      <c r="G563" s="91"/>
      <c r="H563" s="17"/>
      <c r="I563" s="17"/>
      <c r="J563" s="91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91"/>
      <c r="E564" s="17"/>
      <c r="F564" s="17"/>
      <c r="G564" s="91"/>
      <c r="H564" s="17"/>
      <c r="I564" s="17"/>
      <c r="J564" s="91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91"/>
      <c r="E565" s="17"/>
      <c r="F565" s="17"/>
      <c r="G565" s="91"/>
      <c r="H565" s="17"/>
      <c r="I565" s="17"/>
      <c r="J565" s="91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91"/>
      <c r="E566" s="17"/>
      <c r="F566" s="17"/>
      <c r="G566" s="91"/>
      <c r="H566" s="17"/>
      <c r="I566" s="17"/>
      <c r="J566" s="91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91"/>
      <c r="E567" s="17"/>
      <c r="F567" s="17"/>
      <c r="G567" s="91"/>
      <c r="H567" s="17"/>
      <c r="I567" s="17"/>
      <c r="J567" s="91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91"/>
      <c r="E568" s="17"/>
      <c r="F568" s="17"/>
      <c r="G568" s="91"/>
      <c r="H568" s="17"/>
      <c r="I568" s="17"/>
      <c r="J568" s="91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91"/>
      <c r="E569" s="17"/>
      <c r="F569" s="17"/>
      <c r="G569" s="91"/>
      <c r="H569" s="17"/>
      <c r="I569" s="17"/>
      <c r="J569" s="91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91"/>
      <c r="E570" s="17"/>
      <c r="F570" s="17"/>
      <c r="G570" s="91"/>
      <c r="H570" s="17"/>
      <c r="I570" s="17"/>
      <c r="J570" s="91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91"/>
      <c r="E571" s="17"/>
      <c r="F571" s="17"/>
      <c r="G571" s="91"/>
      <c r="H571" s="17"/>
      <c r="I571" s="17"/>
      <c r="J571" s="91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91"/>
      <c r="E572" s="17"/>
      <c r="F572" s="17"/>
      <c r="G572" s="91"/>
      <c r="H572" s="17"/>
      <c r="I572" s="17"/>
      <c r="J572" s="91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91"/>
      <c r="E573" s="17"/>
      <c r="F573" s="17"/>
      <c r="G573" s="91"/>
      <c r="H573" s="17"/>
      <c r="I573" s="17"/>
      <c r="J573" s="91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91"/>
      <c r="E574" s="17"/>
      <c r="F574" s="17"/>
      <c r="G574" s="91"/>
      <c r="H574" s="17"/>
      <c r="I574" s="17"/>
      <c r="J574" s="91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91"/>
      <c r="E575" s="17"/>
      <c r="F575" s="17"/>
      <c r="G575" s="91"/>
      <c r="H575" s="17"/>
      <c r="I575" s="17"/>
      <c r="J575" s="91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91"/>
      <c r="E576" s="17"/>
      <c r="F576" s="17"/>
      <c r="G576" s="91"/>
      <c r="H576" s="17"/>
      <c r="I576" s="17"/>
      <c r="J576" s="91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91"/>
      <c r="E577" s="17"/>
      <c r="F577" s="17"/>
      <c r="G577" s="91"/>
      <c r="H577" s="17"/>
      <c r="I577" s="17"/>
      <c r="J577" s="91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91"/>
      <c r="E578" s="17"/>
      <c r="F578" s="17"/>
      <c r="G578" s="91"/>
      <c r="H578" s="17"/>
      <c r="I578" s="17"/>
      <c r="J578" s="91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91"/>
      <c r="E579" s="17"/>
      <c r="F579" s="17"/>
      <c r="G579" s="91"/>
      <c r="H579" s="17"/>
      <c r="I579" s="17"/>
      <c r="J579" s="91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91"/>
      <c r="E580" s="17"/>
      <c r="F580" s="17"/>
      <c r="G580" s="91"/>
      <c r="H580" s="17"/>
      <c r="I580" s="17"/>
      <c r="J580" s="91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91"/>
      <c r="E581" s="17"/>
      <c r="F581" s="17"/>
      <c r="G581" s="91"/>
      <c r="H581" s="17"/>
      <c r="I581" s="17"/>
      <c r="J581" s="91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91"/>
      <c r="E582" s="17"/>
      <c r="F582" s="17"/>
      <c r="G582" s="91"/>
      <c r="H582" s="17"/>
      <c r="I582" s="17"/>
      <c r="J582" s="91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91"/>
      <c r="E583" s="17"/>
      <c r="F583" s="17"/>
      <c r="G583" s="91"/>
      <c r="H583" s="17"/>
      <c r="I583" s="17"/>
      <c r="J583" s="91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91"/>
      <c r="E584" s="17"/>
      <c r="F584" s="17"/>
      <c r="G584" s="91"/>
      <c r="H584" s="17"/>
      <c r="I584" s="17"/>
      <c r="J584" s="91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91"/>
      <c r="E585" s="17"/>
      <c r="F585" s="17"/>
      <c r="G585" s="91"/>
      <c r="H585" s="17"/>
      <c r="I585" s="17"/>
      <c r="J585" s="91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91"/>
      <c r="E586" s="17"/>
      <c r="F586" s="17"/>
      <c r="G586" s="91"/>
      <c r="H586" s="17"/>
      <c r="I586" s="17"/>
      <c r="J586" s="91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91"/>
      <c r="E587" s="17"/>
      <c r="F587" s="17"/>
      <c r="G587" s="91"/>
      <c r="H587" s="17"/>
      <c r="I587" s="17"/>
      <c r="J587" s="91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91"/>
      <c r="E588" s="17"/>
      <c r="F588" s="17"/>
      <c r="G588" s="91"/>
      <c r="H588" s="17"/>
      <c r="I588" s="17"/>
      <c r="J588" s="91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91"/>
      <c r="E589" s="17"/>
      <c r="F589" s="17"/>
      <c r="G589" s="91"/>
      <c r="H589" s="17"/>
      <c r="I589" s="17"/>
      <c r="J589" s="91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91"/>
      <c r="E590" s="17"/>
      <c r="F590" s="17"/>
      <c r="G590" s="91"/>
      <c r="H590" s="17"/>
      <c r="I590" s="17"/>
      <c r="J590" s="91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91"/>
      <c r="E591" s="17"/>
      <c r="F591" s="17"/>
      <c r="G591" s="91"/>
      <c r="H591" s="17"/>
      <c r="I591" s="17"/>
      <c r="J591" s="91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91"/>
      <c r="E592" s="17"/>
      <c r="F592" s="17"/>
      <c r="G592" s="91"/>
      <c r="H592" s="17"/>
      <c r="I592" s="17"/>
      <c r="J592" s="91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91"/>
      <c r="E593" s="17"/>
      <c r="F593" s="17"/>
      <c r="G593" s="91"/>
      <c r="H593" s="17"/>
      <c r="I593" s="17"/>
      <c r="J593" s="91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91"/>
      <c r="E594" s="17"/>
      <c r="F594" s="17"/>
      <c r="G594" s="91"/>
      <c r="H594" s="17"/>
      <c r="I594" s="17"/>
      <c r="J594" s="91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91"/>
      <c r="E595" s="17"/>
      <c r="F595" s="17"/>
      <c r="G595" s="91"/>
      <c r="H595" s="17"/>
      <c r="I595" s="17"/>
      <c r="J595" s="91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91"/>
      <c r="E596" s="17"/>
      <c r="F596" s="17"/>
      <c r="G596" s="91"/>
      <c r="H596" s="17"/>
      <c r="I596" s="17"/>
      <c r="J596" s="91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91"/>
      <c r="E597" s="17"/>
      <c r="F597" s="17"/>
      <c r="G597" s="91"/>
      <c r="H597" s="17"/>
      <c r="I597" s="17"/>
      <c r="J597" s="91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91"/>
      <c r="E598" s="17"/>
      <c r="F598" s="17"/>
      <c r="G598" s="91"/>
      <c r="H598" s="17"/>
      <c r="I598" s="17"/>
      <c r="J598" s="91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91"/>
      <c r="E599" s="17"/>
      <c r="F599" s="17"/>
      <c r="G599" s="91"/>
      <c r="H599" s="17"/>
      <c r="I599" s="17"/>
      <c r="J599" s="91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91"/>
      <c r="E600" s="17"/>
      <c r="F600" s="17"/>
      <c r="G600" s="91"/>
      <c r="H600" s="17"/>
      <c r="I600" s="17"/>
      <c r="J600" s="91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91"/>
      <c r="E601" s="17"/>
      <c r="F601" s="17"/>
      <c r="G601" s="91"/>
      <c r="H601" s="17"/>
      <c r="I601" s="17"/>
      <c r="J601" s="91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91"/>
      <c r="E602" s="17"/>
      <c r="F602" s="17"/>
      <c r="G602" s="91"/>
      <c r="H602" s="17"/>
      <c r="I602" s="17"/>
      <c r="J602" s="91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91"/>
      <c r="E603" s="17"/>
      <c r="F603" s="17"/>
      <c r="G603" s="91"/>
      <c r="H603" s="17"/>
      <c r="I603" s="17"/>
      <c r="J603" s="91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91"/>
      <c r="E604" s="17"/>
      <c r="F604" s="17"/>
      <c r="G604" s="91"/>
      <c r="H604" s="17"/>
      <c r="I604" s="17"/>
      <c r="J604" s="91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91"/>
      <c r="E605" s="17"/>
      <c r="F605" s="17"/>
      <c r="G605" s="91"/>
      <c r="H605" s="17"/>
      <c r="I605" s="17"/>
      <c r="J605" s="91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91"/>
      <c r="E606" s="17"/>
      <c r="F606" s="17"/>
      <c r="G606" s="91"/>
      <c r="H606" s="17"/>
      <c r="I606" s="17"/>
      <c r="J606" s="91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91"/>
      <c r="E607" s="17"/>
      <c r="F607" s="17"/>
      <c r="G607" s="91"/>
      <c r="H607" s="17"/>
      <c r="I607" s="17"/>
      <c r="J607" s="91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91"/>
      <c r="E608" s="17"/>
      <c r="F608" s="17"/>
      <c r="G608" s="91"/>
      <c r="H608" s="17"/>
      <c r="I608" s="17"/>
      <c r="J608" s="91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91"/>
      <c r="E609" s="17"/>
      <c r="F609" s="17"/>
      <c r="G609" s="91"/>
      <c r="H609" s="17"/>
      <c r="I609" s="17"/>
      <c r="J609" s="91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91"/>
      <c r="E610" s="17"/>
      <c r="F610" s="17"/>
      <c r="G610" s="91"/>
      <c r="H610" s="17"/>
      <c r="I610" s="17"/>
      <c r="J610" s="91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91"/>
      <c r="E611" s="17"/>
      <c r="F611" s="17"/>
      <c r="G611" s="91"/>
      <c r="H611" s="17"/>
      <c r="I611" s="17"/>
      <c r="J611" s="91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91"/>
      <c r="E612" s="17"/>
      <c r="F612" s="17"/>
      <c r="G612" s="91"/>
      <c r="H612" s="17"/>
      <c r="I612" s="17"/>
      <c r="J612" s="91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91"/>
      <c r="E613" s="17"/>
      <c r="F613" s="17"/>
      <c r="G613" s="91"/>
      <c r="H613" s="17"/>
      <c r="I613" s="17"/>
      <c r="J613" s="91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91"/>
      <c r="E614" s="17"/>
      <c r="F614" s="17"/>
      <c r="G614" s="91"/>
      <c r="H614" s="17"/>
      <c r="I614" s="17"/>
      <c r="J614" s="91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91"/>
      <c r="E615" s="17"/>
      <c r="F615" s="17"/>
      <c r="G615" s="91"/>
      <c r="H615" s="17"/>
      <c r="I615" s="17"/>
      <c r="J615" s="91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91"/>
      <c r="E616" s="17"/>
      <c r="F616" s="17"/>
      <c r="G616" s="91"/>
      <c r="H616" s="17"/>
      <c r="I616" s="17"/>
      <c r="J616" s="91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91"/>
      <c r="E617" s="17"/>
      <c r="F617" s="17"/>
      <c r="G617" s="91"/>
      <c r="H617" s="17"/>
      <c r="I617" s="17"/>
      <c r="J617" s="91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91"/>
      <c r="E618" s="17"/>
      <c r="F618" s="17"/>
      <c r="G618" s="91"/>
      <c r="H618" s="17"/>
      <c r="I618" s="17"/>
      <c r="J618" s="91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91"/>
      <c r="E619" s="17"/>
      <c r="F619" s="17"/>
      <c r="G619" s="91"/>
      <c r="H619" s="17"/>
      <c r="I619" s="17"/>
      <c r="J619" s="91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91"/>
      <c r="E620" s="17"/>
      <c r="F620" s="17"/>
      <c r="G620" s="91"/>
      <c r="H620" s="17"/>
      <c r="I620" s="17"/>
      <c r="J620" s="91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91"/>
      <c r="E621" s="17"/>
      <c r="F621" s="17"/>
      <c r="G621" s="91"/>
      <c r="H621" s="17"/>
      <c r="I621" s="17"/>
      <c r="J621" s="91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91"/>
      <c r="E622" s="17"/>
      <c r="F622" s="17"/>
      <c r="G622" s="91"/>
      <c r="H622" s="17"/>
      <c r="I622" s="17"/>
      <c r="J622" s="91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91"/>
      <c r="E623" s="17"/>
      <c r="F623" s="17"/>
      <c r="G623" s="91"/>
      <c r="H623" s="17"/>
      <c r="I623" s="17"/>
      <c r="J623" s="91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91"/>
      <c r="E624" s="17"/>
      <c r="F624" s="17"/>
      <c r="G624" s="91"/>
      <c r="H624" s="17"/>
      <c r="I624" s="17"/>
      <c r="J624" s="91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91"/>
      <c r="E625" s="17"/>
      <c r="F625" s="17"/>
      <c r="G625" s="91"/>
      <c r="H625" s="17"/>
      <c r="I625" s="17"/>
      <c r="J625" s="91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91"/>
      <c r="E626" s="17"/>
      <c r="F626" s="17"/>
      <c r="G626" s="91"/>
      <c r="H626" s="17"/>
      <c r="I626" s="17"/>
      <c r="J626" s="91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91"/>
      <c r="E627" s="17"/>
      <c r="F627" s="17"/>
      <c r="G627" s="91"/>
      <c r="H627" s="17"/>
      <c r="I627" s="17"/>
      <c r="J627" s="91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91"/>
      <c r="E628" s="17"/>
      <c r="F628" s="17"/>
      <c r="G628" s="91"/>
      <c r="H628" s="17"/>
      <c r="I628" s="17"/>
      <c r="J628" s="91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91"/>
      <c r="E629" s="17"/>
      <c r="F629" s="17"/>
      <c r="G629" s="91"/>
      <c r="H629" s="17"/>
      <c r="I629" s="17"/>
      <c r="J629" s="91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91"/>
      <c r="E630" s="17"/>
      <c r="F630" s="17"/>
      <c r="G630" s="91"/>
      <c r="H630" s="17"/>
      <c r="I630" s="17"/>
      <c r="J630" s="91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91"/>
      <c r="E631" s="17"/>
      <c r="F631" s="17"/>
      <c r="G631" s="91"/>
      <c r="H631" s="17"/>
      <c r="I631" s="17"/>
      <c r="J631" s="91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91"/>
      <c r="E632" s="17"/>
      <c r="F632" s="17"/>
      <c r="G632" s="91"/>
      <c r="H632" s="17"/>
      <c r="I632" s="17"/>
      <c r="J632" s="91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91"/>
      <c r="E633" s="17"/>
      <c r="F633" s="17"/>
      <c r="G633" s="91"/>
      <c r="H633" s="17"/>
      <c r="I633" s="17"/>
      <c r="J633" s="91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91"/>
      <c r="E634" s="17"/>
      <c r="F634" s="17"/>
      <c r="G634" s="91"/>
      <c r="H634" s="17"/>
      <c r="I634" s="17"/>
      <c r="J634" s="91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91"/>
      <c r="E635" s="17"/>
      <c r="F635" s="17"/>
      <c r="G635" s="91"/>
      <c r="H635" s="17"/>
      <c r="I635" s="17"/>
      <c r="J635" s="91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91"/>
      <c r="E636" s="17"/>
      <c r="F636" s="17"/>
      <c r="G636" s="91"/>
      <c r="H636" s="17"/>
      <c r="I636" s="17"/>
      <c r="J636" s="91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91"/>
      <c r="E637" s="17"/>
      <c r="F637" s="17"/>
      <c r="G637" s="91"/>
      <c r="H637" s="17"/>
      <c r="I637" s="17"/>
      <c r="J637" s="91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91"/>
      <c r="E638" s="17"/>
      <c r="F638" s="17"/>
      <c r="G638" s="91"/>
      <c r="H638" s="17"/>
      <c r="I638" s="17"/>
      <c r="J638" s="91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91"/>
      <c r="E639" s="17"/>
      <c r="F639" s="17"/>
      <c r="G639" s="91"/>
      <c r="H639" s="17"/>
      <c r="I639" s="17"/>
      <c r="J639" s="91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91"/>
      <c r="E640" s="17"/>
      <c r="F640" s="17"/>
      <c r="G640" s="91"/>
      <c r="H640" s="17"/>
      <c r="I640" s="17"/>
      <c r="J640" s="91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91"/>
      <c r="E641" s="17"/>
      <c r="F641" s="17"/>
      <c r="G641" s="91"/>
      <c r="H641" s="17"/>
      <c r="I641" s="17"/>
      <c r="J641" s="91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91"/>
      <c r="E642" s="17"/>
      <c r="F642" s="17"/>
      <c r="G642" s="91"/>
      <c r="H642" s="17"/>
      <c r="I642" s="17"/>
      <c r="J642" s="91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91"/>
      <c r="E643" s="17"/>
      <c r="F643" s="17"/>
      <c r="G643" s="91"/>
      <c r="H643" s="17"/>
      <c r="I643" s="17"/>
      <c r="J643" s="91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91"/>
      <c r="E644" s="17"/>
      <c r="F644" s="17"/>
      <c r="G644" s="91"/>
      <c r="H644" s="17"/>
      <c r="I644" s="17"/>
      <c r="J644" s="91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91"/>
      <c r="E645" s="17"/>
      <c r="F645" s="17"/>
      <c r="G645" s="91"/>
      <c r="H645" s="17"/>
      <c r="I645" s="17"/>
      <c r="J645" s="91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91"/>
      <c r="E646" s="17"/>
      <c r="F646" s="17"/>
      <c r="G646" s="91"/>
      <c r="H646" s="17"/>
      <c r="I646" s="17"/>
      <c r="J646" s="91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91"/>
      <c r="E647" s="17"/>
      <c r="F647" s="17"/>
      <c r="G647" s="91"/>
      <c r="H647" s="17"/>
      <c r="I647" s="17"/>
      <c r="J647" s="91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91"/>
      <c r="E648" s="17"/>
      <c r="F648" s="17"/>
      <c r="G648" s="91"/>
      <c r="H648" s="17"/>
      <c r="I648" s="17"/>
      <c r="J648" s="91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91"/>
      <c r="E649" s="17"/>
      <c r="F649" s="17"/>
      <c r="G649" s="91"/>
      <c r="H649" s="17"/>
      <c r="I649" s="17"/>
      <c r="J649" s="91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91"/>
      <c r="E650" s="17"/>
      <c r="F650" s="17"/>
      <c r="G650" s="91"/>
      <c r="H650" s="17"/>
      <c r="I650" s="17"/>
      <c r="J650" s="91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91"/>
      <c r="E651" s="17"/>
      <c r="F651" s="17"/>
      <c r="G651" s="91"/>
      <c r="H651" s="17"/>
      <c r="I651" s="17"/>
      <c r="J651" s="91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91"/>
      <c r="E652" s="17"/>
      <c r="F652" s="17"/>
      <c r="G652" s="91"/>
      <c r="H652" s="17"/>
      <c r="I652" s="17"/>
      <c r="J652" s="91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91"/>
      <c r="E653" s="17"/>
      <c r="F653" s="17"/>
      <c r="G653" s="91"/>
      <c r="H653" s="17"/>
      <c r="I653" s="17"/>
      <c r="J653" s="91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91"/>
      <c r="E654" s="17"/>
      <c r="F654" s="17"/>
      <c r="G654" s="91"/>
      <c r="H654" s="17"/>
      <c r="I654" s="17"/>
      <c r="J654" s="91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91"/>
      <c r="E655" s="17"/>
      <c r="F655" s="17"/>
      <c r="G655" s="91"/>
      <c r="H655" s="17"/>
      <c r="I655" s="17"/>
      <c r="J655" s="91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91"/>
      <c r="E656" s="17"/>
      <c r="F656" s="17"/>
      <c r="G656" s="91"/>
      <c r="H656" s="17"/>
      <c r="I656" s="17"/>
      <c r="J656" s="91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91"/>
      <c r="E657" s="17"/>
      <c r="F657" s="17"/>
      <c r="G657" s="91"/>
      <c r="H657" s="17"/>
      <c r="I657" s="17"/>
      <c r="J657" s="91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91"/>
      <c r="E658" s="17"/>
      <c r="F658" s="17"/>
      <c r="G658" s="91"/>
      <c r="H658" s="17"/>
      <c r="I658" s="17"/>
      <c r="J658" s="91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91"/>
      <c r="E659" s="17"/>
      <c r="F659" s="17"/>
      <c r="G659" s="91"/>
      <c r="H659" s="17"/>
      <c r="I659" s="17"/>
      <c r="J659" s="91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91"/>
      <c r="E660" s="17"/>
      <c r="F660" s="17"/>
      <c r="G660" s="91"/>
      <c r="H660" s="17"/>
      <c r="I660" s="17"/>
      <c r="J660" s="91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91"/>
      <c r="E661" s="17"/>
      <c r="F661" s="17"/>
      <c r="G661" s="91"/>
      <c r="H661" s="17"/>
      <c r="I661" s="17"/>
      <c r="J661" s="91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91"/>
      <c r="E662" s="17"/>
      <c r="F662" s="17"/>
      <c r="G662" s="91"/>
      <c r="H662" s="17"/>
      <c r="I662" s="17"/>
      <c r="J662" s="91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91"/>
      <c r="E663" s="17"/>
      <c r="F663" s="17"/>
      <c r="G663" s="91"/>
      <c r="H663" s="17"/>
      <c r="I663" s="17"/>
      <c r="J663" s="91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91"/>
      <c r="E664" s="17"/>
      <c r="F664" s="17"/>
      <c r="G664" s="91"/>
      <c r="H664" s="17"/>
      <c r="I664" s="17"/>
      <c r="J664" s="91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91"/>
      <c r="E665" s="17"/>
      <c r="F665" s="17"/>
      <c r="G665" s="91"/>
      <c r="H665" s="17"/>
      <c r="I665" s="17"/>
      <c r="J665" s="91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91"/>
      <c r="E666" s="17"/>
      <c r="F666" s="17"/>
      <c r="G666" s="91"/>
      <c r="H666" s="17"/>
      <c r="I666" s="17"/>
      <c r="J666" s="91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91"/>
      <c r="E667" s="17"/>
      <c r="F667" s="17"/>
      <c r="G667" s="91"/>
      <c r="H667" s="17"/>
      <c r="I667" s="17"/>
      <c r="J667" s="91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91"/>
      <c r="E668" s="17"/>
      <c r="F668" s="17"/>
      <c r="G668" s="91"/>
      <c r="H668" s="17"/>
      <c r="I668" s="17"/>
      <c r="J668" s="91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91"/>
      <c r="E669" s="17"/>
      <c r="F669" s="17"/>
      <c r="G669" s="91"/>
      <c r="H669" s="17"/>
      <c r="I669" s="17"/>
      <c r="J669" s="91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91"/>
      <c r="E670" s="17"/>
      <c r="F670" s="17"/>
      <c r="G670" s="91"/>
      <c r="H670" s="17"/>
      <c r="I670" s="17"/>
      <c r="J670" s="91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91"/>
      <c r="E671" s="17"/>
      <c r="F671" s="17"/>
      <c r="G671" s="91"/>
      <c r="H671" s="17"/>
      <c r="I671" s="17"/>
      <c r="J671" s="91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91"/>
      <c r="E672" s="17"/>
      <c r="F672" s="17"/>
      <c r="G672" s="91"/>
      <c r="H672" s="17"/>
      <c r="I672" s="17"/>
      <c r="J672" s="91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91"/>
      <c r="E673" s="17"/>
      <c r="F673" s="17"/>
      <c r="G673" s="91"/>
      <c r="H673" s="17"/>
      <c r="I673" s="17"/>
      <c r="J673" s="91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91"/>
      <c r="E674" s="17"/>
      <c r="F674" s="17"/>
      <c r="G674" s="91"/>
      <c r="H674" s="17"/>
      <c r="I674" s="17"/>
      <c r="J674" s="91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91"/>
      <c r="E675" s="17"/>
      <c r="F675" s="17"/>
      <c r="G675" s="91"/>
      <c r="H675" s="17"/>
      <c r="I675" s="17"/>
      <c r="J675" s="91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91"/>
      <c r="E676" s="17"/>
      <c r="F676" s="17"/>
      <c r="G676" s="91"/>
      <c r="H676" s="17"/>
      <c r="I676" s="17"/>
      <c r="J676" s="91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91"/>
      <c r="E677" s="17"/>
      <c r="F677" s="17"/>
      <c r="G677" s="91"/>
      <c r="H677" s="17"/>
      <c r="I677" s="17"/>
      <c r="J677" s="91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91"/>
      <c r="E678" s="17"/>
      <c r="F678" s="17"/>
      <c r="G678" s="91"/>
      <c r="H678" s="17"/>
      <c r="I678" s="17"/>
      <c r="J678" s="91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91"/>
      <c r="E679" s="17"/>
      <c r="F679" s="17"/>
      <c r="G679" s="91"/>
      <c r="H679" s="17"/>
      <c r="I679" s="17"/>
      <c r="J679" s="91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91"/>
      <c r="E680" s="17"/>
      <c r="F680" s="17"/>
      <c r="G680" s="91"/>
      <c r="H680" s="17"/>
      <c r="I680" s="17"/>
      <c r="J680" s="91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91"/>
      <c r="E681" s="17"/>
      <c r="F681" s="17"/>
      <c r="G681" s="91"/>
      <c r="H681" s="17"/>
      <c r="I681" s="17"/>
      <c r="J681" s="91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91"/>
      <c r="E682" s="17"/>
      <c r="F682" s="17"/>
      <c r="G682" s="91"/>
      <c r="H682" s="17"/>
      <c r="I682" s="17"/>
      <c r="J682" s="91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91"/>
      <c r="E683" s="17"/>
      <c r="F683" s="17"/>
      <c r="G683" s="91"/>
      <c r="H683" s="17"/>
      <c r="I683" s="17"/>
      <c r="J683" s="91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91"/>
      <c r="E684" s="17"/>
      <c r="F684" s="17"/>
      <c r="G684" s="91"/>
      <c r="H684" s="17"/>
      <c r="I684" s="17"/>
      <c r="J684" s="91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91"/>
      <c r="E685" s="17"/>
      <c r="F685" s="17"/>
      <c r="G685" s="91"/>
      <c r="H685" s="17"/>
      <c r="I685" s="17"/>
      <c r="J685" s="91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91"/>
      <c r="E686" s="17"/>
      <c r="F686" s="17"/>
      <c r="G686" s="91"/>
      <c r="H686" s="17"/>
      <c r="I686" s="17"/>
      <c r="J686" s="91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91"/>
      <c r="E687" s="17"/>
      <c r="F687" s="17"/>
      <c r="G687" s="91"/>
      <c r="H687" s="17"/>
      <c r="I687" s="17"/>
      <c r="J687" s="91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91"/>
      <c r="E688" s="17"/>
      <c r="F688" s="17"/>
      <c r="G688" s="91"/>
      <c r="H688" s="17"/>
      <c r="I688" s="17"/>
      <c r="J688" s="91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91"/>
      <c r="E689" s="17"/>
      <c r="F689" s="17"/>
      <c r="G689" s="91"/>
      <c r="H689" s="17"/>
      <c r="I689" s="17"/>
      <c r="J689" s="91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91"/>
      <c r="E690" s="17"/>
      <c r="F690" s="17"/>
      <c r="G690" s="91"/>
      <c r="H690" s="17"/>
      <c r="I690" s="17"/>
      <c r="J690" s="91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91"/>
      <c r="E691" s="17"/>
      <c r="F691" s="17"/>
      <c r="G691" s="91"/>
      <c r="H691" s="17"/>
      <c r="I691" s="17"/>
      <c r="J691" s="91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91"/>
      <c r="E692" s="17"/>
      <c r="F692" s="17"/>
      <c r="G692" s="91"/>
      <c r="H692" s="17"/>
      <c r="I692" s="17"/>
      <c r="J692" s="91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91"/>
      <c r="E693" s="17"/>
      <c r="F693" s="17"/>
      <c r="G693" s="91"/>
      <c r="H693" s="17"/>
      <c r="I693" s="17"/>
      <c r="J693" s="91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91"/>
      <c r="E694" s="17"/>
      <c r="F694" s="17"/>
      <c r="G694" s="91"/>
      <c r="H694" s="17"/>
      <c r="I694" s="17"/>
      <c r="J694" s="91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91"/>
      <c r="E695" s="17"/>
      <c r="F695" s="17"/>
      <c r="G695" s="91"/>
      <c r="H695" s="17"/>
      <c r="I695" s="17"/>
      <c r="J695" s="91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91"/>
      <c r="E696" s="17"/>
      <c r="F696" s="17"/>
      <c r="G696" s="91"/>
      <c r="H696" s="17"/>
      <c r="I696" s="17"/>
      <c r="J696" s="91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91"/>
      <c r="E697" s="17"/>
      <c r="F697" s="17"/>
      <c r="G697" s="91"/>
      <c r="H697" s="17"/>
      <c r="I697" s="17"/>
      <c r="J697" s="91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91"/>
      <c r="E698" s="17"/>
      <c r="F698" s="17"/>
      <c r="G698" s="91"/>
      <c r="H698" s="17"/>
      <c r="I698" s="17"/>
      <c r="J698" s="91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91"/>
      <c r="E699" s="17"/>
      <c r="F699" s="17"/>
      <c r="G699" s="91"/>
      <c r="H699" s="17"/>
      <c r="I699" s="17"/>
      <c r="J699" s="91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91"/>
      <c r="E700" s="17"/>
      <c r="F700" s="17"/>
      <c r="G700" s="91"/>
      <c r="H700" s="17"/>
      <c r="I700" s="17"/>
      <c r="J700" s="91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91"/>
      <c r="E701" s="17"/>
      <c r="F701" s="17"/>
      <c r="G701" s="91"/>
      <c r="H701" s="17"/>
      <c r="I701" s="17"/>
      <c r="J701" s="91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91"/>
      <c r="E702" s="17"/>
      <c r="F702" s="17"/>
      <c r="G702" s="91"/>
      <c r="H702" s="17"/>
      <c r="I702" s="17"/>
      <c r="J702" s="91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91"/>
      <c r="E703" s="17"/>
      <c r="F703" s="17"/>
      <c r="G703" s="91"/>
      <c r="H703" s="17"/>
      <c r="I703" s="17"/>
      <c r="J703" s="91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91"/>
      <c r="E704" s="17"/>
      <c r="F704" s="17"/>
      <c r="G704" s="91"/>
      <c r="H704" s="17"/>
      <c r="I704" s="17"/>
      <c r="J704" s="91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91"/>
      <c r="E705" s="17"/>
      <c r="F705" s="17"/>
      <c r="G705" s="91"/>
      <c r="H705" s="17"/>
      <c r="I705" s="17"/>
      <c r="J705" s="91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91"/>
      <c r="E706" s="17"/>
      <c r="F706" s="17"/>
      <c r="G706" s="91"/>
      <c r="H706" s="17"/>
      <c r="I706" s="17"/>
      <c r="J706" s="91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91"/>
      <c r="E707" s="17"/>
      <c r="F707" s="17"/>
      <c r="G707" s="91"/>
      <c r="H707" s="17"/>
      <c r="I707" s="17"/>
      <c r="J707" s="91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91"/>
      <c r="E708" s="17"/>
      <c r="F708" s="17"/>
      <c r="G708" s="91"/>
      <c r="H708" s="17"/>
      <c r="I708" s="17"/>
      <c r="J708" s="91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91"/>
      <c r="E709" s="17"/>
      <c r="F709" s="17"/>
      <c r="G709" s="91"/>
      <c r="H709" s="17"/>
      <c r="I709" s="17"/>
      <c r="J709" s="91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91"/>
      <c r="E710" s="17"/>
      <c r="F710" s="17"/>
      <c r="G710" s="91"/>
      <c r="H710" s="17"/>
      <c r="I710" s="17"/>
      <c r="J710" s="91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91"/>
      <c r="E711" s="17"/>
      <c r="F711" s="17"/>
      <c r="G711" s="91"/>
      <c r="H711" s="17"/>
      <c r="I711" s="17"/>
      <c r="J711" s="91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91"/>
      <c r="E712" s="17"/>
      <c r="F712" s="17"/>
      <c r="G712" s="91"/>
      <c r="H712" s="17"/>
      <c r="I712" s="17"/>
      <c r="J712" s="91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91"/>
      <c r="E713" s="17"/>
      <c r="F713" s="17"/>
      <c r="G713" s="91"/>
      <c r="H713" s="17"/>
      <c r="I713" s="17"/>
      <c r="J713" s="91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91"/>
      <c r="E714" s="17"/>
      <c r="F714" s="17"/>
      <c r="G714" s="91"/>
      <c r="H714" s="17"/>
      <c r="I714" s="17"/>
      <c r="J714" s="91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91"/>
      <c r="E715" s="17"/>
      <c r="F715" s="17"/>
      <c r="G715" s="91"/>
      <c r="H715" s="17"/>
      <c r="I715" s="17"/>
      <c r="J715" s="91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91"/>
      <c r="E716" s="17"/>
      <c r="F716" s="17"/>
      <c r="G716" s="91"/>
      <c r="H716" s="17"/>
      <c r="I716" s="17"/>
      <c r="J716" s="91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91"/>
      <c r="E717" s="17"/>
      <c r="F717" s="17"/>
      <c r="G717" s="91"/>
      <c r="H717" s="17"/>
      <c r="I717" s="17"/>
      <c r="J717" s="91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91"/>
      <c r="E718" s="17"/>
      <c r="F718" s="17"/>
      <c r="G718" s="91"/>
      <c r="H718" s="17"/>
      <c r="I718" s="17"/>
      <c r="J718" s="91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91"/>
      <c r="E719" s="17"/>
      <c r="F719" s="17"/>
      <c r="G719" s="91"/>
      <c r="H719" s="17"/>
      <c r="I719" s="17"/>
      <c r="J719" s="91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91"/>
      <c r="E720" s="17"/>
      <c r="F720" s="17"/>
      <c r="G720" s="91"/>
      <c r="H720" s="17"/>
      <c r="I720" s="17"/>
      <c r="J720" s="91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91"/>
      <c r="E721" s="17"/>
      <c r="F721" s="17"/>
      <c r="G721" s="91"/>
      <c r="H721" s="17"/>
      <c r="I721" s="17"/>
      <c r="J721" s="91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91"/>
      <c r="E722" s="17"/>
      <c r="F722" s="17"/>
      <c r="G722" s="91"/>
      <c r="H722" s="17"/>
      <c r="I722" s="17"/>
      <c r="J722" s="91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91"/>
      <c r="E723" s="17"/>
      <c r="F723" s="17"/>
      <c r="G723" s="91"/>
      <c r="H723" s="17"/>
      <c r="I723" s="17"/>
      <c r="J723" s="91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91"/>
      <c r="E724" s="17"/>
      <c r="F724" s="17"/>
      <c r="G724" s="91"/>
      <c r="H724" s="17"/>
      <c r="I724" s="17"/>
      <c r="J724" s="91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91"/>
      <c r="E725" s="17"/>
      <c r="F725" s="17"/>
      <c r="G725" s="91"/>
      <c r="H725" s="17"/>
      <c r="I725" s="17"/>
      <c r="J725" s="91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91"/>
      <c r="E726" s="17"/>
      <c r="F726" s="17"/>
      <c r="G726" s="91"/>
      <c r="H726" s="17"/>
      <c r="I726" s="17"/>
      <c r="J726" s="91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91"/>
      <c r="E727" s="17"/>
      <c r="F727" s="17"/>
      <c r="G727" s="91"/>
      <c r="H727" s="17"/>
      <c r="I727" s="17"/>
      <c r="J727" s="91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91"/>
      <c r="E728" s="17"/>
      <c r="F728" s="17"/>
      <c r="G728" s="91"/>
      <c r="H728" s="17"/>
      <c r="I728" s="17"/>
      <c r="J728" s="91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91"/>
      <c r="E729" s="17"/>
      <c r="F729" s="17"/>
      <c r="G729" s="91"/>
      <c r="H729" s="17"/>
      <c r="I729" s="17"/>
      <c r="J729" s="91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91"/>
      <c r="E730" s="17"/>
      <c r="F730" s="17"/>
      <c r="G730" s="91"/>
      <c r="H730" s="17"/>
      <c r="I730" s="17"/>
      <c r="J730" s="91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91"/>
      <c r="E731" s="17"/>
      <c r="F731" s="17"/>
      <c r="G731" s="91"/>
      <c r="H731" s="17"/>
      <c r="I731" s="17"/>
      <c r="J731" s="91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91"/>
      <c r="E732" s="17"/>
      <c r="F732" s="17"/>
      <c r="G732" s="91"/>
      <c r="H732" s="17"/>
      <c r="I732" s="17"/>
      <c r="J732" s="91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91"/>
      <c r="E733" s="17"/>
      <c r="F733" s="17"/>
      <c r="G733" s="91"/>
      <c r="H733" s="17"/>
      <c r="I733" s="17"/>
      <c r="J733" s="91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91"/>
      <c r="E734" s="17"/>
      <c r="F734" s="17"/>
      <c r="G734" s="91"/>
      <c r="H734" s="17"/>
      <c r="I734" s="17"/>
      <c r="J734" s="91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91"/>
      <c r="E735" s="17"/>
      <c r="F735" s="17"/>
      <c r="G735" s="91"/>
      <c r="H735" s="17"/>
      <c r="I735" s="17"/>
      <c r="J735" s="91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91"/>
      <c r="E736" s="17"/>
      <c r="F736" s="17"/>
      <c r="G736" s="91"/>
      <c r="H736" s="17"/>
      <c r="I736" s="17"/>
      <c r="J736" s="91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91"/>
      <c r="E737" s="17"/>
      <c r="F737" s="17"/>
      <c r="G737" s="91"/>
      <c r="H737" s="17"/>
      <c r="I737" s="17"/>
      <c r="J737" s="91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91"/>
      <c r="E738" s="17"/>
      <c r="F738" s="17"/>
      <c r="G738" s="91"/>
      <c r="H738" s="17"/>
      <c r="I738" s="17"/>
      <c r="J738" s="91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91"/>
      <c r="E739" s="17"/>
      <c r="F739" s="17"/>
      <c r="G739" s="91"/>
      <c r="H739" s="17"/>
      <c r="I739" s="17"/>
      <c r="J739" s="91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91"/>
      <c r="E740" s="17"/>
      <c r="F740" s="17"/>
      <c r="G740" s="91"/>
      <c r="H740" s="17"/>
      <c r="I740" s="17"/>
      <c r="J740" s="91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91"/>
      <c r="E741" s="17"/>
      <c r="F741" s="17"/>
      <c r="G741" s="91"/>
      <c r="H741" s="17"/>
      <c r="I741" s="17"/>
      <c r="J741" s="91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91"/>
      <c r="E742" s="17"/>
      <c r="F742" s="17"/>
      <c r="G742" s="91"/>
      <c r="H742" s="17"/>
      <c r="I742" s="17"/>
      <c r="J742" s="91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91"/>
      <c r="E743" s="17"/>
      <c r="F743" s="17"/>
      <c r="G743" s="91"/>
      <c r="H743" s="17"/>
      <c r="I743" s="17"/>
      <c r="J743" s="91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91"/>
      <c r="E744" s="17"/>
      <c r="F744" s="17"/>
      <c r="G744" s="91"/>
      <c r="H744" s="17"/>
      <c r="I744" s="17"/>
      <c r="J744" s="91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91"/>
      <c r="E745" s="17"/>
      <c r="F745" s="17"/>
      <c r="G745" s="91"/>
      <c r="H745" s="17"/>
      <c r="I745" s="17"/>
      <c r="J745" s="91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91"/>
      <c r="E746" s="17"/>
      <c r="F746" s="17"/>
      <c r="G746" s="91"/>
      <c r="H746" s="17"/>
      <c r="I746" s="17"/>
      <c r="J746" s="91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91"/>
      <c r="E747" s="17"/>
      <c r="F747" s="17"/>
      <c r="G747" s="91"/>
      <c r="H747" s="17"/>
      <c r="I747" s="17"/>
      <c r="J747" s="91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91"/>
      <c r="E748" s="17"/>
      <c r="F748" s="17"/>
      <c r="G748" s="91"/>
      <c r="H748" s="17"/>
      <c r="I748" s="17"/>
      <c r="J748" s="91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91"/>
      <c r="E749" s="17"/>
      <c r="F749" s="17"/>
      <c r="G749" s="91"/>
      <c r="H749" s="17"/>
      <c r="I749" s="17"/>
      <c r="J749" s="91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91"/>
      <c r="E750" s="17"/>
      <c r="F750" s="17"/>
      <c r="G750" s="91"/>
      <c r="H750" s="17"/>
      <c r="I750" s="17"/>
      <c r="J750" s="91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91"/>
      <c r="E751" s="17"/>
      <c r="F751" s="17"/>
      <c r="G751" s="91"/>
      <c r="H751" s="17"/>
      <c r="I751" s="17"/>
      <c r="J751" s="91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91"/>
      <c r="E752" s="17"/>
      <c r="F752" s="17"/>
      <c r="G752" s="91"/>
      <c r="H752" s="17"/>
      <c r="I752" s="17"/>
      <c r="J752" s="91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91"/>
      <c r="E753" s="17"/>
      <c r="F753" s="17"/>
      <c r="G753" s="91"/>
      <c r="H753" s="17"/>
      <c r="I753" s="17"/>
      <c r="J753" s="91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91"/>
      <c r="E754" s="17"/>
      <c r="F754" s="17"/>
      <c r="G754" s="91"/>
      <c r="H754" s="17"/>
      <c r="I754" s="17"/>
      <c r="J754" s="91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91"/>
      <c r="E755" s="17"/>
      <c r="F755" s="17"/>
      <c r="G755" s="91"/>
      <c r="H755" s="17"/>
      <c r="I755" s="17"/>
      <c r="J755" s="91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91"/>
      <c r="E756" s="17"/>
      <c r="F756" s="17"/>
      <c r="G756" s="91"/>
      <c r="H756" s="17"/>
      <c r="I756" s="17"/>
      <c r="J756" s="91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91"/>
      <c r="E757" s="17"/>
      <c r="F757" s="17"/>
      <c r="G757" s="91"/>
      <c r="H757" s="17"/>
      <c r="I757" s="17"/>
      <c r="J757" s="91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91"/>
      <c r="E758" s="17"/>
      <c r="F758" s="17"/>
      <c r="G758" s="91"/>
      <c r="H758" s="17"/>
      <c r="I758" s="17"/>
      <c r="J758" s="91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91"/>
      <c r="E759" s="17"/>
      <c r="F759" s="17"/>
      <c r="G759" s="91"/>
      <c r="H759" s="17"/>
      <c r="I759" s="17"/>
      <c r="J759" s="91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91"/>
      <c r="E760" s="17"/>
      <c r="F760" s="17"/>
      <c r="G760" s="91"/>
      <c r="H760" s="17"/>
      <c r="I760" s="17"/>
      <c r="J760" s="91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91"/>
      <c r="E761" s="17"/>
      <c r="F761" s="17"/>
      <c r="G761" s="91"/>
      <c r="H761" s="17"/>
      <c r="I761" s="17"/>
      <c r="J761" s="91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91"/>
      <c r="E762" s="17"/>
      <c r="F762" s="17"/>
      <c r="G762" s="91"/>
      <c r="H762" s="17"/>
      <c r="I762" s="17"/>
      <c r="J762" s="91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91"/>
      <c r="E763" s="17"/>
      <c r="F763" s="17"/>
      <c r="G763" s="91"/>
      <c r="H763" s="17"/>
      <c r="I763" s="17"/>
      <c r="J763" s="91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91"/>
      <c r="E764" s="17"/>
      <c r="F764" s="17"/>
      <c r="G764" s="91"/>
      <c r="H764" s="17"/>
      <c r="I764" s="17"/>
      <c r="J764" s="91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91"/>
      <c r="E765" s="17"/>
      <c r="F765" s="17"/>
      <c r="G765" s="91"/>
      <c r="H765" s="17"/>
      <c r="I765" s="17"/>
      <c r="J765" s="91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91"/>
      <c r="E766" s="17"/>
      <c r="F766" s="17"/>
      <c r="G766" s="91"/>
      <c r="H766" s="17"/>
      <c r="I766" s="17"/>
      <c r="J766" s="91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91"/>
      <c r="E767" s="17"/>
      <c r="F767" s="17"/>
      <c r="G767" s="91"/>
      <c r="H767" s="17"/>
      <c r="I767" s="17"/>
      <c r="J767" s="91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91"/>
      <c r="E768" s="17"/>
      <c r="F768" s="17"/>
      <c r="G768" s="91"/>
      <c r="H768" s="17"/>
      <c r="I768" s="17"/>
      <c r="J768" s="91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91"/>
      <c r="E769" s="17"/>
      <c r="F769" s="17"/>
      <c r="G769" s="91"/>
      <c r="H769" s="17"/>
      <c r="I769" s="17"/>
      <c r="J769" s="91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91"/>
      <c r="E770" s="17"/>
      <c r="F770" s="17"/>
      <c r="G770" s="91"/>
      <c r="H770" s="17"/>
      <c r="I770" s="17"/>
      <c r="J770" s="91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91"/>
      <c r="E771" s="17"/>
      <c r="F771" s="17"/>
      <c r="G771" s="91"/>
      <c r="H771" s="17"/>
      <c r="I771" s="17"/>
      <c r="J771" s="91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91"/>
      <c r="E772" s="17"/>
      <c r="F772" s="17"/>
      <c r="G772" s="91"/>
      <c r="H772" s="17"/>
      <c r="I772" s="17"/>
      <c r="J772" s="91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91"/>
      <c r="E773" s="17"/>
      <c r="F773" s="17"/>
      <c r="G773" s="91"/>
      <c r="H773" s="17"/>
      <c r="I773" s="17"/>
      <c r="J773" s="91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91"/>
      <c r="E774" s="17"/>
      <c r="F774" s="17"/>
      <c r="G774" s="91"/>
      <c r="H774" s="17"/>
      <c r="I774" s="17"/>
      <c r="J774" s="91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91"/>
      <c r="E775" s="17"/>
      <c r="F775" s="17"/>
      <c r="G775" s="91"/>
      <c r="H775" s="17"/>
      <c r="I775" s="17"/>
      <c r="J775" s="91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91"/>
      <c r="E776" s="17"/>
      <c r="F776" s="17"/>
      <c r="G776" s="91"/>
      <c r="H776" s="17"/>
      <c r="I776" s="17"/>
      <c r="J776" s="91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91"/>
      <c r="E777" s="17"/>
      <c r="F777" s="17"/>
      <c r="G777" s="91"/>
      <c r="H777" s="17"/>
      <c r="I777" s="17"/>
      <c r="J777" s="91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91"/>
      <c r="E778" s="17"/>
      <c r="F778" s="17"/>
      <c r="G778" s="91"/>
      <c r="H778" s="17"/>
      <c r="I778" s="17"/>
      <c r="J778" s="91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91"/>
      <c r="E779" s="17"/>
      <c r="F779" s="17"/>
      <c r="G779" s="91"/>
      <c r="H779" s="17"/>
      <c r="I779" s="17"/>
      <c r="J779" s="91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91"/>
      <c r="E780" s="17"/>
      <c r="F780" s="17"/>
      <c r="G780" s="91"/>
      <c r="H780" s="17"/>
      <c r="I780" s="17"/>
      <c r="J780" s="91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91"/>
      <c r="E781" s="17"/>
      <c r="F781" s="17"/>
      <c r="G781" s="91"/>
      <c r="H781" s="17"/>
      <c r="I781" s="17"/>
      <c r="J781" s="91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91"/>
      <c r="E782" s="17"/>
      <c r="F782" s="17"/>
      <c r="G782" s="91"/>
      <c r="H782" s="17"/>
      <c r="I782" s="17"/>
      <c r="J782" s="91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91"/>
      <c r="E783" s="17"/>
      <c r="F783" s="17"/>
      <c r="G783" s="91"/>
      <c r="H783" s="17"/>
      <c r="I783" s="17"/>
      <c r="J783" s="91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91"/>
      <c r="E784" s="17"/>
      <c r="F784" s="17"/>
      <c r="G784" s="91"/>
      <c r="H784" s="17"/>
      <c r="I784" s="17"/>
      <c r="J784" s="91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91"/>
      <c r="E785" s="17"/>
      <c r="F785" s="17"/>
      <c r="G785" s="91"/>
      <c r="H785" s="17"/>
      <c r="I785" s="17"/>
      <c r="J785" s="91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91"/>
      <c r="E786" s="17"/>
      <c r="F786" s="17"/>
      <c r="G786" s="91"/>
      <c r="H786" s="17"/>
      <c r="I786" s="17"/>
      <c r="J786" s="91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91"/>
      <c r="E787" s="17"/>
      <c r="F787" s="17"/>
      <c r="G787" s="91"/>
      <c r="H787" s="17"/>
      <c r="I787" s="17"/>
      <c r="J787" s="91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91"/>
      <c r="E788" s="17"/>
      <c r="F788" s="17"/>
      <c r="G788" s="91"/>
      <c r="H788" s="17"/>
      <c r="I788" s="17"/>
      <c r="J788" s="91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91"/>
      <c r="E789" s="17"/>
      <c r="F789" s="17"/>
      <c r="G789" s="91"/>
      <c r="H789" s="17"/>
      <c r="I789" s="17"/>
      <c r="J789" s="91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91"/>
      <c r="E790" s="17"/>
      <c r="F790" s="17"/>
      <c r="G790" s="91"/>
      <c r="H790" s="17"/>
      <c r="I790" s="17"/>
      <c r="J790" s="91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91"/>
      <c r="E791" s="17"/>
      <c r="F791" s="17"/>
      <c r="G791" s="91"/>
      <c r="H791" s="17"/>
      <c r="I791" s="17"/>
      <c r="J791" s="91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91"/>
      <c r="E792" s="17"/>
      <c r="F792" s="17"/>
      <c r="G792" s="91"/>
      <c r="H792" s="17"/>
      <c r="I792" s="17"/>
      <c r="J792" s="91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91"/>
      <c r="E793" s="17"/>
      <c r="F793" s="17"/>
      <c r="G793" s="91"/>
      <c r="H793" s="17"/>
      <c r="I793" s="17"/>
      <c r="J793" s="91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91"/>
      <c r="E794" s="17"/>
      <c r="F794" s="17"/>
      <c r="G794" s="91"/>
      <c r="H794" s="17"/>
      <c r="I794" s="17"/>
      <c r="J794" s="91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91"/>
      <c r="E795" s="17"/>
      <c r="F795" s="17"/>
      <c r="G795" s="91"/>
      <c r="H795" s="17"/>
      <c r="I795" s="17"/>
      <c r="J795" s="91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91"/>
      <c r="E796" s="17"/>
      <c r="F796" s="17"/>
      <c r="G796" s="91"/>
      <c r="H796" s="17"/>
      <c r="I796" s="17"/>
      <c r="J796" s="91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91"/>
      <c r="E797" s="17"/>
      <c r="F797" s="17"/>
      <c r="G797" s="91"/>
      <c r="H797" s="17"/>
      <c r="I797" s="17"/>
      <c r="J797" s="91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91"/>
      <c r="E798" s="17"/>
      <c r="F798" s="17"/>
      <c r="G798" s="91"/>
      <c r="H798" s="17"/>
      <c r="I798" s="17"/>
      <c r="J798" s="91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91"/>
      <c r="E799" s="17"/>
      <c r="F799" s="17"/>
      <c r="G799" s="91"/>
      <c r="H799" s="17"/>
      <c r="I799" s="17"/>
      <c r="J799" s="91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91"/>
      <c r="E800" s="17"/>
      <c r="F800" s="17"/>
      <c r="G800" s="91"/>
      <c r="H800" s="17"/>
      <c r="I800" s="17"/>
      <c r="J800" s="91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91"/>
      <c r="E801" s="17"/>
      <c r="F801" s="17"/>
      <c r="G801" s="91"/>
      <c r="H801" s="17"/>
      <c r="I801" s="17"/>
      <c r="J801" s="91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91"/>
      <c r="E802" s="17"/>
      <c r="F802" s="17"/>
      <c r="G802" s="91"/>
      <c r="H802" s="17"/>
      <c r="I802" s="17"/>
      <c r="J802" s="91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91"/>
      <c r="E803" s="17"/>
      <c r="F803" s="17"/>
      <c r="G803" s="91"/>
      <c r="H803" s="17"/>
      <c r="I803" s="17"/>
      <c r="J803" s="91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91"/>
      <c r="E804" s="17"/>
      <c r="F804" s="17"/>
      <c r="G804" s="91"/>
      <c r="H804" s="17"/>
      <c r="I804" s="17"/>
      <c r="J804" s="91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91"/>
      <c r="E805" s="17"/>
      <c r="F805" s="17"/>
      <c r="G805" s="91"/>
      <c r="H805" s="17"/>
      <c r="I805" s="17"/>
      <c r="J805" s="91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91"/>
      <c r="E806" s="17"/>
      <c r="F806" s="17"/>
      <c r="G806" s="91"/>
      <c r="H806" s="17"/>
      <c r="I806" s="17"/>
      <c r="J806" s="91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91"/>
      <c r="E807" s="17"/>
      <c r="F807" s="17"/>
      <c r="G807" s="91"/>
      <c r="H807" s="17"/>
      <c r="I807" s="17"/>
      <c r="J807" s="91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91"/>
      <c r="E808" s="17"/>
      <c r="F808" s="17"/>
      <c r="G808" s="91"/>
      <c r="H808" s="17"/>
      <c r="I808" s="17"/>
      <c r="J808" s="91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91"/>
      <c r="E809" s="17"/>
      <c r="F809" s="17"/>
      <c r="G809" s="91"/>
      <c r="H809" s="17"/>
      <c r="I809" s="17"/>
      <c r="J809" s="91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91"/>
      <c r="E810" s="17"/>
      <c r="F810" s="17"/>
      <c r="G810" s="91"/>
      <c r="H810" s="17"/>
      <c r="I810" s="17"/>
      <c r="J810" s="91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91"/>
      <c r="E811" s="17"/>
      <c r="F811" s="17"/>
      <c r="G811" s="91"/>
      <c r="H811" s="17"/>
      <c r="I811" s="17"/>
      <c r="J811" s="91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91"/>
      <c r="E812" s="17"/>
      <c r="F812" s="17"/>
      <c r="G812" s="91"/>
      <c r="H812" s="17"/>
      <c r="I812" s="17"/>
      <c r="J812" s="91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91"/>
      <c r="E813" s="17"/>
      <c r="F813" s="17"/>
      <c r="G813" s="91"/>
      <c r="H813" s="17"/>
      <c r="I813" s="17"/>
      <c r="J813" s="91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91"/>
      <c r="E814" s="17"/>
      <c r="F814" s="17"/>
      <c r="G814" s="91"/>
      <c r="H814" s="17"/>
      <c r="I814" s="17"/>
      <c r="J814" s="91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91"/>
      <c r="E815" s="17"/>
      <c r="F815" s="17"/>
      <c r="G815" s="91"/>
      <c r="H815" s="17"/>
      <c r="I815" s="17"/>
      <c r="J815" s="91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91"/>
      <c r="E816" s="17"/>
      <c r="F816" s="17"/>
      <c r="G816" s="91"/>
      <c r="H816" s="17"/>
      <c r="I816" s="17"/>
      <c r="J816" s="91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91"/>
      <c r="E817" s="17"/>
      <c r="F817" s="17"/>
      <c r="G817" s="91"/>
      <c r="H817" s="17"/>
      <c r="I817" s="17"/>
      <c r="J817" s="91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91"/>
      <c r="E818" s="17"/>
      <c r="F818" s="17"/>
      <c r="G818" s="91"/>
      <c r="H818" s="17"/>
      <c r="I818" s="17"/>
      <c r="J818" s="91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91"/>
      <c r="E819" s="17"/>
      <c r="F819" s="17"/>
      <c r="G819" s="91"/>
      <c r="H819" s="17"/>
      <c r="I819" s="17"/>
      <c r="J819" s="91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91"/>
      <c r="E820" s="17"/>
      <c r="F820" s="17"/>
      <c r="G820" s="91"/>
      <c r="H820" s="17"/>
      <c r="I820" s="17"/>
      <c r="J820" s="91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91"/>
      <c r="E821" s="17"/>
      <c r="F821" s="17"/>
      <c r="G821" s="91"/>
      <c r="H821" s="17"/>
      <c r="I821" s="17"/>
      <c r="J821" s="91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91"/>
      <c r="E822" s="17"/>
      <c r="F822" s="17"/>
      <c r="G822" s="91"/>
      <c r="H822" s="17"/>
      <c r="I822" s="17"/>
      <c r="J822" s="91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91"/>
      <c r="E823" s="17"/>
      <c r="F823" s="17"/>
      <c r="G823" s="91"/>
      <c r="H823" s="17"/>
      <c r="I823" s="17"/>
      <c r="J823" s="91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91"/>
      <c r="E824" s="17"/>
      <c r="F824" s="17"/>
      <c r="G824" s="91"/>
      <c r="H824" s="17"/>
      <c r="I824" s="17"/>
      <c r="J824" s="91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91"/>
      <c r="E825" s="17"/>
      <c r="F825" s="17"/>
      <c r="G825" s="91"/>
      <c r="H825" s="17"/>
      <c r="I825" s="17"/>
      <c r="J825" s="91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91"/>
      <c r="E826" s="17"/>
      <c r="F826" s="17"/>
      <c r="G826" s="91"/>
      <c r="H826" s="17"/>
      <c r="I826" s="17"/>
      <c r="J826" s="91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91"/>
      <c r="E827" s="17"/>
      <c r="F827" s="17"/>
      <c r="G827" s="91"/>
      <c r="H827" s="17"/>
      <c r="I827" s="17"/>
      <c r="J827" s="91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91"/>
      <c r="E828" s="17"/>
      <c r="F828" s="17"/>
      <c r="G828" s="91"/>
      <c r="H828" s="17"/>
      <c r="I828" s="17"/>
      <c r="J828" s="91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91"/>
      <c r="E829" s="17"/>
      <c r="F829" s="17"/>
      <c r="G829" s="91"/>
      <c r="H829" s="17"/>
      <c r="I829" s="17"/>
      <c r="J829" s="91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91"/>
      <c r="E830" s="17"/>
      <c r="F830" s="17"/>
      <c r="G830" s="91"/>
      <c r="H830" s="17"/>
      <c r="I830" s="17"/>
      <c r="J830" s="91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91"/>
      <c r="E831" s="17"/>
      <c r="F831" s="17"/>
      <c r="G831" s="91"/>
      <c r="H831" s="17"/>
      <c r="I831" s="17"/>
      <c r="J831" s="91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91"/>
      <c r="E832" s="17"/>
      <c r="F832" s="17"/>
      <c r="G832" s="91"/>
      <c r="H832" s="17"/>
      <c r="I832" s="17"/>
      <c r="J832" s="91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91"/>
      <c r="E833" s="17"/>
      <c r="F833" s="17"/>
      <c r="G833" s="91"/>
      <c r="H833" s="17"/>
      <c r="I833" s="17"/>
      <c r="J833" s="91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91"/>
      <c r="E834" s="17"/>
      <c r="F834" s="17"/>
      <c r="G834" s="91"/>
      <c r="H834" s="17"/>
      <c r="I834" s="17"/>
      <c r="J834" s="91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91"/>
      <c r="E835" s="17"/>
      <c r="F835" s="17"/>
      <c r="G835" s="91"/>
      <c r="H835" s="17"/>
      <c r="I835" s="17"/>
      <c r="J835" s="91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91"/>
      <c r="E836" s="17"/>
      <c r="F836" s="17"/>
      <c r="G836" s="91"/>
      <c r="H836" s="17"/>
      <c r="I836" s="17"/>
      <c r="J836" s="91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91"/>
      <c r="E837" s="17"/>
      <c r="F837" s="17"/>
      <c r="G837" s="91"/>
      <c r="H837" s="17"/>
      <c r="I837" s="17"/>
      <c r="J837" s="91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91"/>
      <c r="E838" s="17"/>
      <c r="F838" s="17"/>
      <c r="G838" s="91"/>
      <c r="H838" s="17"/>
      <c r="I838" s="17"/>
      <c r="J838" s="91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91"/>
      <c r="E839" s="17"/>
      <c r="F839" s="17"/>
      <c r="G839" s="91"/>
      <c r="H839" s="17"/>
      <c r="I839" s="17"/>
      <c r="J839" s="91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91"/>
      <c r="E840" s="17"/>
      <c r="F840" s="17"/>
      <c r="G840" s="91"/>
      <c r="H840" s="17"/>
      <c r="I840" s="17"/>
      <c r="J840" s="91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91"/>
      <c r="E841" s="17"/>
      <c r="F841" s="17"/>
      <c r="G841" s="91"/>
      <c r="H841" s="17"/>
      <c r="I841" s="17"/>
      <c r="J841" s="91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91"/>
      <c r="E842" s="17"/>
      <c r="F842" s="17"/>
      <c r="G842" s="91"/>
      <c r="H842" s="17"/>
      <c r="I842" s="17"/>
      <c r="J842" s="91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91"/>
      <c r="E843" s="17"/>
      <c r="F843" s="17"/>
      <c r="G843" s="91"/>
      <c r="H843" s="17"/>
      <c r="I843" s="17"/>
      <c r="J843" s="91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91"/>
      <c r="E844" s="17"/>
      <c r="F844" s="17"/>
      <c r="G844" s="91"/>
      <c r="H844" s="17"/>
      <c r="I844" s="17"/>
      <c r="J844" s="91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91"/>
      <c r="E845" s="17"/>
      <c r="F845" s="17"/>
      <c r="G845" s="91"/>
      <c r="H845" s="17"/>
      <c r="I845" s="17"/>
      <c r="J845" s="91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91"/>
      <c r="E846" s="17"/>
      <c r="F846" s="17"/>
      <c r="G846" s="91"/>
      <c r="H846" s="17"/>
      <c r="I846" s="17"/>
      <c r="J846" s="91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91"/>
      <c r="E847" s="17"/>
      <c r="F847" s="17"/>
      <c r="G847" s="91"/>
      <c r="H847" s="17"/>
      <c r="I847" s="17"/>
      <c r="J847" s="91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91"/>
      <c r="E848" s="17"/>
      <c r="F848" s="17"/>
      <c r="G848" s="91"/>
      <c r="H848" s="17"/>
      <c r="I848" s="17"/>
      <c r="J848" s="91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91"/>
      <c r="E849" s="17"/>
      <c r="F849" s="17"/>
      <c r="G849" s="91"/>
      <c r="H849" s="17"/>
      <c r="I849" s="17"/>
      <c r="J849" s="91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91"/>
      <c r="E850" s="17"/>
      <c r="F850" s="17"/>
      <c r="G850" s="91"/>
      <c r="H850" s="17"/>
      <c r="I850" s="17"/>
      <c r="J850" s="91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91"/>
      <c r="E851" s="17"/>
      <c r="F851" s="17"/>
      <c r="G851" s="91"/>
      <c r="H851" s="17"/>
      <c r="I851" s="17"/>
      <c r="J851" s="91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91"/>
      <c r="E852" s="17"/>
      <c r="F852" s="17"/>
      <c r="G852" s="91"/>
      <c r="H852" s="17"/>
      <c r="I852" s="17"/>
      <c r="J852" s="91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91"/>
      <c r="E853" s="17"/>
      <c r="F853" s="17"/>
      <c r="G853" s="91"/>
      <c r="H853" s="17"/>
      <c r="I853" s="17"/>
      <c r="J853" s="91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91"/>
      <c r="E854" s="17"/>
      <c r="F854" s="17"/>
      <c r="G854" s="91"/>
      <c r="H854" s="17"/>
      <c r="I854" s="17"/>
      <c r="J854" s="91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91"/>
      <c r="E855" s="17"/>
      <c r="F855" s="17"/>
      <c r="G855" s="91"/>
      <c r="H855" s="17"/>
      <c r="I855" s="17"/>
      <c r="J855" s="91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91"/>
      <c r="E856" s="17"/>
      <c r="F856" s="17"/>
      <c r="G856" s="91"/>
      <c r="H856" s="17"/>
      <c r="I856" s="17"/>
      <c r="J856" s="91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91"/>
      <c r="E857" s="17"/>
      <c r="F857" s="17"/>
      <c r="G857" s="91"/>
      <c r="H857" s="17"/>
      <c r="I857" s="17"/>
      <c r="J857" s="91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91"/>
      <c r="E858" s="17"/>
      <c r="F858" s="17"/>
      <c r="G858" s="91"/>
      <c r="H858" s="17"/>
      <c r="I858" s="17"/>
      <c r="J858" s="91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91"/>
      <c r="E859" s="17"/>
      <c r="F859" s="17"/>
      <c r="G859" s="91"/>
      <c r="H859" s="17"/>
      <c r="I859" s="17"/>
      <c r="J859" s="91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91"/>
      <c r="E860" s="17"/>
      <c r="F860" s="17"/>
      <c r="G860" s="91"/>
      <c r="H860" s="17"/>
      <c r="I860" s="17"/>
      <c r="J860" s="91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91"/>
      <c r="E861" s="17"/>
      <c r="F861" s="17"/>
      <c r="G861" s="91"/>
      <c r="H861" s="17"/>
      <c r="I861" s="17"/>
      <c r="J861" s="91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91"/>
      <c r="E862" s="17"/>
      <c r="F862" s="17"/>
      <c r="G862" s="91"/>
      <c r="H862" s="17"/>
      <c r="I862" s="17"/>
      <c r="J862" s="91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91"/>
      <c r="E863" s="17"/>
      <c r="F863" s="17"/>
      <c r="G863" s="91"/>
      <c r="H863" s="17"/>
      <c r="I863" s="17"/>
      <c r="J863" s="91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91"/>
      <c r="E864" s="17"/>
      <c r="F864" s="17"/>
      <c r="G864" s="91"/>
      <c r="H864" s="17"/>
      <c r="I864" s="17"/>
      <c r="J864" s="91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91"/>
      <c r="E865" s="17"/>
      <c r="F865" s="17"/>
      <c r="G865" s="91"/>
      <c r="H865" s="17"/>
      <c r="I865" s="17"/>
      <c r="J865" s="91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91"/>
      <c r="E866" s="17"/>
      <c r="F866" s="17"/>
      <c r="G866" s="91"/>
      <c r="H866" s="17"/>
      <c r="I866" s="17"/>
      <c r="J866" s="91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91"/>
      <c r="E867" s="17"/>
      <c r="F867" s="17"/>
      <c r="G867" s="91"/>
      <c r="H867" s="17"/>
      <c r="I867" s="17"/>
      <c r="J867" s="91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91"/>
      <c r="E868" s="17"/>
      <c r="F868" s="17"/>
      <c r="G868" s="91"/>
      <c r="H868" s="17"/>
      <c r="I868" s="17"/>
      <c r="J868" s="91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91"/>
      <c r="E869" s="17"/>
      <c r="F869" s="17"/>
      <c r="G869" s="91"/>
      <c r="H869" s="17"/>
      <c r="I869" s="17"/>
      <c r="J869" s="91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91"/>
      <c r="E870" s="17"/>
      <c r="F870" s="17"/>
      <c r="G870" s="91"/>
      <c r="H870" s="17"/>
      <c r="I870" s="17"/>
      <c r="J870" s="91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91"/>
      <c r="E871" s="17"/>
      <c r="F871" s="17"/>
      <c r="G871" s="91"/>
      <c r="H871" s="17"/>
      <c r="I871" s="17"/>
      <c r="J871" s="91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91"/>
      <c r="E872" s="17"/>
      <c r="F872" s="17"/>
      <c r="G872" s="91"/>
      <c r="H872" s="17"/>
      <c r="I872" s="17"/>
      <c r="J872" s="91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91"/>
      <c r="E873" s="17"/>
      <c r="F873" s="17"/>
      <c r="G873" s="91"/>
      <c r="H873" s="17"/>
      <c r="I873" s="17"/>
      <c r="J873" s="91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91"/>
      <c r="E874" s="17"/>
      <c r="F874" s="17"/>
      <c r="G874" s="91"/>
      <c r="H874" s="17"/>
      <c r="I874" s="17"/>
      <c r="J874" s="91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91"/>
      <c r="E875" s="17"/>
      <c r="F875" s="17"/>
      <c r="G875" s="91"/>
      <c r="H875" s="17"/>
      <c r="I875" s="17"/>
      <c r="J875" s="91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91"/>
      <c r="E876" s="17"/>
      <c r="F876" s="17"/>
      <c r="G876" s="91"/>
      <c r="H876" s="17"/>
      <c r="I876" s="17"/>
      <c r="J876" s="91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91"/>
      <c r="E877" s="17"/>
      <c r="F877" s="17"/>
      <c r="G877" s="91"/>
      <c r="H877" s="17"/>
      <c r="I877" s="17"/>
      <c r="J877" s="91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91"/>
      <c r="E878" s="17"/>
      <c r="F878" s="17"/>
      <c r="G878" s="91"/>
      <c r="H878" s="17"/>
      <c r="I878" s="17"/>
      <c r="J878" s="91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91"/>
      <c r="E879" s="17"/>
      <c r="F879" s="17"/>
      <c r="G879" s="91"/>
      <c r="H879" s="17"/>
      <c r="I879" s="17"/>
      <c r="J879" s="91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91"/>
      <c r="E880" s="17"/>
      <c r="F880" s="17"/>
      <c r="G880" s="91"/>
      <c r="H880" s="17"/>
      <c r="I880" s="17"/>
      <c r="J880" s="91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91"/>
      <c r="E881" s="17"/>
      <c r="F881" s="17"/>
      <c r="G881" s="91"/>
      <c r="H881" s="17"/>
      <c r="I881" s="17"/>
      <c r="J881" s="91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91"/>
      <c r="E882" s="17"/>
      <c r="F882" s="17"/>
      <c r="G882" s="91"/>
      <c r="H882" s="17"/>
      <c r="I882" s="17" t="str">
        <f>IFERROR(__xludf.DUMMYFUNCTION("""COMPUTED_VALUE"""),"ASESORÍA Y GESTIÓN ADUANAL - OTRO")</f>
        <v>ASESORÍA Y GESTIÓN ADUANAL - OTRO</v>
      </c>
      <c r="J882" s="91">
        <f>IFERROR(__xludf.DUMMYFUNCTION("""COMPUTED_VALUE"""),0.0)</f>
        <v>0</v>
      </c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91"/>
      <c r="E883" s="17"/>
      <c r="F883" s="17"/>
      <c r="G883" s="91"/>
      <c r="H883" s="17"/>
      <c r="I883" s="17" t="str">
        <f>IFERROR(__xludf.DUMMYFUNCTION("""COMPUTED_VALUE"""),"DECLARACIÓN ESCALONADA - OTRO")</f>
        <v>DECLARACIÓN ESCALONADA - OTRO</v>
      </c>
      <c r="J883" s="91">
        <f>IFERROR(__xludf.DUMMYFUNCTION("""COMPUTED_VALUE"""),0.0)</f>
        <v>0</v>
      </c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91"/>
      <c r="E884" s="17"/>
      <c r="F884" s="17"/>
      <c r="G884" s="91"/>
      <c r="H884" s="17"/>
      <c r="I884" s="17" t="str">
        <f>IFERROR(__xludf.DUMMYFUNCTION("""COMPUTED_VALUE"""),"ELABORACIÓN DUCA T - OTRO")</f>
        <v>ELABORACIÓN DUCA T - OTRO</v>
      </c>
      <c r="J884" s="91">
        <f>IFERROR(__xludf.DUMMYFUNCTION("""COMPUTED_VALUE"""),0.0)</f>
        <v>0</v>
      </c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91"/>
      <c r="E885" s="17"/>
      <c r="F885" s="17"/>
      <c r="G885" s="91"/>
      <c r="H885" s="17"/>
      <c r="I885" s="17" t="str">
        <f>IFERROR(__xludf.DUMMYFUNCTION("""COMPUTED_VALUE"""),"GESTIÓN DE PERMISO DE SALUD - OTRO")</f>
        <v>GESTIÓN DE PERMISO DE SALUD - OTRO</v>
      </c>
      <c r="J885" s="91">
        <f>IFERROR(__xludf.DUMMYFUNCTION("""COMPUTED_VALUE"""),0.0)</f>
        <v>0</v>
      </c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91"/>
      <c r="E886" s="17"/>
      <c r="F886" s="17"/>
      <c r="G886" s="91"/>
      <c r="H886" s="17"/>
      <c r="I886" s="17" t="str">
        <f>IFERROR(__xludf.DUMMYFUNCTION("""COMPUTED_VALUE"""),"GESTIÓN POR MULTA - OTRO")</f>
        <v>GESTIÓN POR MULTA - OTRO</v>
      </c>
      <c r="J886" s="91">
        <f>IFERROR(__xludf.DUMMYFUNCTION("""COMPUTED_VALUE"""),0.0)</f>
        <v>0</v>
      </c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91"/>
      <c r="E887" s="17"/>
      <c r="F887" s="17"/>
      <c r="G887" s="91"/>
      <c r="H887" s="17"/>
      <c r="I887" s="17" t="str">
        <f>IFERROR(__xludf.DUMMYFUNCTION("""COMPUTED_VALUE"""),"GESTIÓN POR SELECTIVO ROJO - OTRO")</f>
        <v>GESTIÓN POR SELECTIVO ROJO - OTRO</v>
      </c>
      <c r="J887" s="91">
        <f>IFERROR(__xludf.DUMMYFUNCTION("""COMPUTED_VALUE"""),0.0)</f>
        <v>0</v>
      </c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91"/>
      <c r="E888" s="17"/>
      <c r="F888" s="17"/>
      <c r="G888" s="91"/>
      <c r="H888" s="17"/>
      <c r="I888" s="17" t="str">
        <f>IFERROR(__xludf.DUMMYFUNCTION("""COMPUTED_VALUE"""),"GESTIÓN REVISIÓN DAN - OTRO")</f>
        <v>GESTIÓN REVISIÓN DAN - OTRO</v>
      </c>
      <c r="J888" s="91">
        <f>IFERROR(__xludf.DUMMYFUNCTION("""COMPUTED_VALUE"""),0.0)</f>
        <v>0</v>
      </c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91"/>
      <c r="E889" s="17"/>
      <c r="F889" s="17"/>
      <c r="G889" s="91"/>
      <c r="H889" s="17"/>
      <c r="I889" s="17" t="str">
        <f>IFERROR(__xludf.DUMMYFUNCTION("""COMPUTED_VALUE"""),"REGISTRO SANITARIO POR PRODUCTO - OTRO")</f>
        <v>REGISTRO SANITARIO POR PRODUCTO - OTRO</v>
      </c>
      <c r="J889" s="91">
        <f>IFERROR(__xludf.DUMMYFUNCTION("""COMPUTED_VALUE"""),0.0)</f>
        <v>0</v>
      </c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91"/>
      <c r="E890" s="17"/>
      <c r="F890" s="17"/>
      <c r="G890" s="91"/>
      <c r="H890" s="17"/>
      <c r="I890" s="17" t="str">
        <f>IFERROR(__xludf.DUMMYFUNCTION("""COMPUTED_VALUE"""),"SERVICIO DE CUADRILLA - OTRO")</f>
        <v>SERVICIO DE CUADRILLA - OTRO</v>
      </c>
      <c r="J890" s="91">
        <f>IFERROR(__xludf.DUMMYFUNCTION("""COMPUTED_VALUE"""),0.0)</f>
        <v>0</v>
      </c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91"/>
      <c r="E891" s="17"/>
      <c r="F891" s="17"/>
      <c r="G891" s="91"/>
      <c r="H891" s="17"/>
      <c r="I891" s="17" t="str">
        <f>IFERROR(__xludf.DUMMYFUNCTION("""COMPUTED_VALUE"""),"TRANSPORTE LOCAL - OTRO")</f>
        <v>TRANSPORTE LOCAL - OTRO</v>
      </c>
      <c r="J891" s="91">
        <f>IFERROR(__xludf.DUMMYFUNCTION("""COMPUTED_VALUE"""),0.0)</f>
        <v>0</v>
      </c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91"/>
      <c r="E892" s="17"/>
      <c r="F892" s="17"/>
      <c r="G892" s="91"/>
      <c r="H892" s="17"/>
      <c r="I892" s="17"/>
      <c r="J892" s="91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91"/>
      <c r="E893" s="17"/>
      <c r="F893" s="17"/>
      <c r="G893" s="91"/>
      <c r="H893" s="17"/>
      <c r="I893" s="17"/>
      <c r="J893" s="91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91"/>
      <c r="E894" s="17"/>
      <c r="F894" s="17"/>
      <c r="G894" s="91"/>
      <c r="H894" s="17"/>
      <c r="I894" s="17"/>
      <c r="J894" s="91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91"/>
      <c r="E895" s="17"/>
      <c r="F895" s="17"/>
      <c r="G895" s="91"/>
      <c r="H895" s="17"/>
      <c r="I895" s="17"/>
      <c r="J895" s="91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91"/>
      <c r="E896" s="17"/>
      <c r="F896" s="17"/>
      <c r="G896" s="91"/>
      <c r="H896" s="17"/>
      <c r="I896" s="17"/>
      <c r="J896" s="91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91"/>
      <c r="E897" s="17"/>
      <c r="F897" s="17"/>
      <c r="G897" s="91"/>
      <c r="H897" s="17"/>
      <c r="I897" s="17"/>
      <c r="J897" s="91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91"/>
      <c r="E898" s="17"/>
      <c r="F898" s="17"/>
      <c r="G898" s="91"/>
      <c r="H898" s="17"/>
      <c r="I898" s="17"/>
      <c r="J898" s="91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91"/>
      <c r="E899" s="17"/>
      <c r="F899" s="17"/>
      <c r="G899" s="91"/>
      <c r="H899" s="17"/>
      <c r="I899" s="17"/>
      <c r="J899" s="91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91"/>
      <c r="E900" s="17"/>
      <c r="F900" s="17"/>
      <c r="G900" s="91"/>
      <c r="H900" s="17"/>
      <c r="I900" s="17"/>
      <c r="J900" s="91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91"/>
      <c r="E901" s="17"/>
      <c r="F901" s="17"/>
      <c r="G901" s="91"/>
      <c r="H901" s="17"/>
      <c r="I901" s="17"/>
      <c r="J901" s="91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91"/>
      <c r="E902" s="17"/>
      <c r="F902" s="17"/>
      <c r="G902" s="91"/>
      <c r="H902" s="17"/>
      <c r="I902" s="17"/>
      <c r="J902" s="91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91"/>
      <c r="E903" s="17"/>
      <c r="F903" s="17"/>
      <c r="G903" s="91"/>
      <c r="H903" s="17"/>
      <c r="I903" s="17"/>
      <c r="J903" s="91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91"/>
      <c r="E904" s="17"/>
      <c r="F904" s="17"/>
      <c r="G904" s="91"/>
      <c r="H904" s="17"/>
      <c r="I904" s="17"/>
      <c r="J904" s="91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91"/>
      <c r="E905" s="17"/>
      <c r="F905" s="17"/>
      <c r="G905" s="91"/>
      <c r="H905" s="17"/>
      <c r="I905" s="17"/>
      <c r="J905" s="91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91"/>
      <c r="E906" s="17"/>
      <c r="F906" s="17"/>
      <c r="G906" s="91"/>
      <c r="H906" s="17"/>
      <c r="I906" s="17"/>
      <c r="J906" s="91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91"/>
      <c r="E907" s="17"/>
      <c r="F907" s="17"/>
      <c r="G907" s="91"/>
      <c r="H907" s="17"/>
      <c r="I907" s="17"/>
      <c r="J907" s="91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91"/>
      <c r="E908" s="17"/>
      <c r="F908" s="17"/>
      <c r="G908" s="91"/>
      <c r="H908" s="17"/>
      <c r="I908" s="17"/>
      <c r="J908" s="91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91"/>
      <c r="E909" s="17"/>
      <c r="F909" s="17"/>
      <c r="G909" s="91"/>
      <c r="H909" s="17"/>
      <c r="I909" s="17"/>
      <c r="J909" s="91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91"/>
      <c r="E910" s="17"/>
      <c r="F910" s="17"/>
      <c r="G910" s="91"/>
      <c r="H910" s="17"/>
      <c r="I910" s="17"/>
      <c r="J910" s="91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91"/>
      <c r="E911" s="17"/>
      <c r="F911" s="17"/>
      <c r="G911" s="91"/>
      <c r="H911" s="17"/>
      <c r="I911" s="17"/>
      <c r="J911" s="91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91"/>
      <c r="E912" s="17"/>
      <c r="F912" s="17"/>
      <c r="G912" s="91"/>
      <c r="H912" s="17"/>
      <c r="I912" s="17"/>
      <c r="J912" s="91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91"/>
      <c r="E913" s="17"/>
      <c r="F913" s="17"/>
      <c r="G913" s="91"/>
      <c r="H913" s="17"/>
      <c r="I913" s="17"/>
      <c r="J913" s="91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91"/>
      <c r="E914" s="17"/>
      <c r="F914" s="17"/>
      <c r="G914" s="91"/>
      <c r="H914" s="17"/>
      <c r="I914" s="17"/>
      <c r="J914" s="91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91"/>
      <c r="E915" s="17"/>
      <c r="F915" s="17"/>
      <c r="G915" s="91"/>
      <c r="H915" s="17"/>
      <c r="I915" s="17"/>
      <c r="J915" s="91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91"/>
      <c r="E916" s="17"/>
      <c r="F916" s="17"/>
      <c r="G916" s="91"/>
      <c r="H916" s="17"/>
      <c r="I916" s="17"/>
      <c r="J916" s="91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91"/>
      <c r="E917" s="17"/>
      <c r="F917" s="17"/>
      <c r="G917" s="91"/>
      <c r="H917" s="17"/>
      <c r="I917" s="17"/>
      <c r="J917" s="91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91"/>
      <c r="E918" s="17"/>
      <c r="F918" s="17"/>
      <c r="G918" s="91"/>
      <c r="H918" s="17"/>
      <c r="I918" s="17"/>
      <c r="J918" s="91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91"/>
      <c r="E919" s="17"/>
      <c r="F919" s="17"/>
      <c r="G919" s="91"/>
      <c r="H919" s="17"/>
      <c r="I919" s="17"/>
      <c r="J919" s="91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91"/>
      <c r="E920" s="17"/>
      <c r="F920" s="17"/>
      <c r="G920" s="91"/>
      <c r="H920" s="17"/>
      <c r="I920" s="17"/>
      <c r="J920" s="91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91"/>
      <c r="E921" s="17"/>
      <c r="F921" s="17"/>
      <c r="G921" s="91"/>
      <c r="H921" s="17"/>
      <c r="I921" s="17"/>
      <c r="J921" s="91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91"/>
      <c r="E922" s="17"/>
      <c r="F922" s="17"/>
      <c r="G922" s="91"/>
      <c r="H922" s="17"/>
      <c r="I922" s="17"/>
      <c r="J922" s="91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91"/>
      <c r="E923" s="17"/>
      <c r="F923" s="17"/>
      <c r="G923" s="91"/>
      <c r="H923" s="17"/>
      <c r="I923" s="17"/>
      <c r="J923" s="91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91"/>
      <c r="E924" s="17"/>
      <c r="F924" s="17"/>
      <c r="G924" s="91"/>
      <c r="H924" s="17"/>
      <c r="I924" s="17"/>
      <c r="J924" s="91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91"/>
      <c r="E925" s="17"/>
      <c r="F925" s="17"/>
      <c r="G925" s="91"/>
      <c r="H925" s="17"/>
      <c r="I925" s="17"/>
      <c r="J925" s="91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91"/>
      <c r="E926" s="17"/>
      <c r="F926" s="17"/>
      <c r="G926" s="91"/>
      <c r="H926" s="17"/>
      <c r="I926" s="17"/>
      <c r="J926" s="91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91"/>
      <c r="E927" s="17"/>
      <c r="F927" s="17"/>
      <c r="G927" s="91"/>
      <c r="H927" s="17"/>
      <c r="I927" s="17"/>
      <c r="J927" s="91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91"/>
      <c r="E928" s="17"/>
      <c r="F928" s="17"/>
      <c r="G928" s="91"/>
      <c r="H928" s="17"/>
      <c r="I928" s="17"/>
      <c r="J928" s="91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91"/>
      <c r="E929" s="17"/>
      <c r="F929" s="17"/>
      <c r="G929" s="91"/>
      <c r="H929" s="17"/>
      <c r="I929" s="17"/>
      <c r="J929" s="91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91"/>
      <c r="E930" s="17"/>
      <c r="F930" s="17"/>
      <c r="G930" s="91"/>
      <c r="H930" s="17"/>
      <c r="I930" s="17"/>
      <c r="J930" s="91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91"/>
      <c r="E931" s="17"/>
      <c r="F931" s="17"/>
      <c r="G931" s="91"/>
      <c r="H931" s="17"/>
      <c r="I931" s="17"/>
      <c r="J931" s="91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91"/>
      <c r="E932" s="17"/>
      <c r="F932" s="17"/>
      <c r="G932" s="91"/>
      <c r="H932" s="17"/>
      <c r="I932" s="17"/>
      <c r="J932" s="91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91"/>
      <c r="E933" s="17"/>
      <c r="F933" s="17"/>
      <c r="G933" s="91"/>
      <c r="H933" s="17"/>
      <c r="I933" s="17"/>
      <c r="J933" s="91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91"/>
      <c r="E934" s="17"/>
      <c r="F934" s="17"/>
      <c r="G934" s="91"/>
      <c r="H934" s="17"/>
      <c r="I934" s="17"/>
      <c r="J934" s="91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91"/>
      <c r="E935" s="17"/>
      <c r="F935" s="17"/>
      <c r="G935" s="91"/>
      <c r="H935" s="17"/>
      <c r="I935" s="17"/>
      <c r="J935" s="91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91"/>
      <c r="E936" s="17"/>
      <c r="F936" s="17"/>
      <c r="G936" s="91"/>
      <c r="H936" s="17"/>
      <c r="I936" s="17"/>
      <c r="J936" s="91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91"/>
      <c r="E937" s="17"/>
      <c r="F937" s="17"/>
      <c r="G937" s="91"/>
      <c r="H937" s="17"/>
      <c r="I937" s="17"/>
      <c r="J937" s="91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91"/>
      <c r="E938" s="17"/>
      <c r="F938" s="17"/>
      <c r="G938" s="91"/>
      <c r="H938" s="17"/>
      <c r="I938" s="17"/>
      <c r="J938" s="91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91"/>
      <c r="E939" s="17"/>
      <c r="F939" s="17"/>
      <c r="G939" s="91"/>
      <c r="H939" s="17"/>
      <c r="I939" s="17"/>
      <c r="J939" s="91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91"/>
      <c r="E940" s="17"/>
      <c r="F940" s="17"/>
      <c r="G940" s="91"/>
      <c r="H940" s="17"/>
      <c r="I940" s="17"/>
      <c r="J940" s="91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91"/>
      <c r="E941" s="17"/>
      <c r="F941" s="17"/>
      <c r="G941" s="91"/>
      <c r="H941" s="17"/>
      <c r="I941" s="17"/>
      <c r="J941" s="91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91"/>
      <c r="E942" s="17"/>
      <c r="F942" s="17"/>
      <c r="G942" s="91"/>
      <c r="H942" s="17"/>
      <c r="I942" s="17"/>
      <c r="J942" s="91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91"/>
      <c r="E943" s="17"/>
      <c r="F943" s="17"/>
      <c r="G943" s="91"/>
      <c r="H943" s="17"/>
      <c r="I943" s="17"/>
      <c r="J943" s="91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91"/>
      <c r="E944" s="17"/>
      <c r="F944" s="17"/>
      <c r="G944" s="91"/>
      <c r="H944" s="17"/>
      <c r="I944" s="17"/>
      <c r="J944" s="91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91"/>
      <c r="E945" s="17"/>
      <c r="F945" s="17"/>
      <c r="G945" s="91"/>
      <c r="H945" s="17"/>
      <c r="I945" s="17"/>
      <c r="J945" s="91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91"/>
      <c r="E946" s="17"/>
      <c r="F946" s="17"/>
      <c r="G946" s="91"/>
      <c r="H946" s="17"/>
      <c r="I946" s="17"/>
      <c r="J946" s="91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91"/>
      <c r="E947" s="17"/>
      <c r="F947" s="17"/>
      <c r="G947" s="91"/>
      <c r="H947" s="17"/>
      <c r="I947" s="17"/>
      <c r="J947" s="91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91"/>
      <c r="E948" s="17"/>
      <c r="F948" s="17"/>
      <c r="G948" s="91"/>
      <c r="H948" s="17"/>
      <c r="I948" s="17"/>
      <c r="J948" s="91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91"/>
      <c r="E949" s="17"/>
      <c r="F949" s="17"/>
      <c r="G949" s="91"/>
      <c r="H949" s="17"/>
      <c r="I949" s="17"/>
      <c r="J949" s="91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91"/>
      <c r="E950" s="17"/>
      <c r="F950" s="17"/>
      <c r="G950" s="91"/>
      <c r="H950" s="17"/>
      <c r="I950" s="17"/>
      <c r="J950" s="91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91"/>
      <c r="E951" s="17"/>
      <c r="F951" s="17"/>
      <c r="G951" s="91"/>
      <c r="H951" s="17"/>
      <c r="I951" s="17"/>
      <c r="J951" s="91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91"/>
      <c r="E952" s="17"/>
      <c r="F952" s="17"/>
      <c r="G952" s="91"/>
      <c r="H952" s="17"/>
      <c r="I952" s="17"/>
      <c r="J952" s="91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91"/>
      <c r="E953" s="17"/>
      <c r="F953" s="17"/>
      <c r="G953" s="91"/>
      <c r="H953" s="17"/>
      <c r="I953" s="17"/>
      <c r="J953" s="91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91"/>
      <c r="E954" s="17"/>
      <c r="F954" s="17"/>
      <c r="G954" s="91"/>
      <c r="H954" s="17"/>
      <c r="I954" s="17"/>
      <c r="J954" s="91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91"/>
      <c r="E955" s="17"/>
      <c r="F955" s="17"/>
      <c r="G955" s="91"/>
      <c r="H955" s="17"/>
      <c r="I955" s="17"/>
      <c r="J955" s="91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91"/>
      <c r="E956" s="17"/>
      <c r="F956" s="17"/>
      <c r="G956" s="91"/>
      <c r="H956" s="17"/>
      <c r="I956" s="17"/>
      <c r="J956" s="91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91"/>
      <c r="E957" s="17"/>
      <c r="F957" s="17"/>
      <c r="G957" s="91"/>
      <c r="H957" s="17"/>
      <c r="I957" s="17"/>
      <c r="J957" s="91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91"/>
      <c r="E958" s="17"/>
      <c r="F958" s="17"/>
      <c r="G958" s="91"/>
      <c r="H958" s="17"/>
      <c r="I958" s="17"/>
      <c r="J958" s="91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91"/>
      <c r="E959" s="17"/>
      <c r="F959" s="17"/>
      <c r="G959" s="91"/>
      <c r="H959" s="17"/>
      <c r="I959" s="17"/>
      <c r="J959" s="91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91"/>
      <c r="E960" s="17"/>
      <c r="F960" s="17"/>
      <c r="G960" s="91"/>
      <c r="H960" s="17"/>
      <c r="I960" s="17"/>
      <c r="J960" s="91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91"/>
      <c r="E961" s="17"/>
      <c r="F961" s="17"/>
      <c r="G961" s="91"/>
      <c r="H961" s="17"/>
      <c r="I961" s="17"/>
      <c r="J961" s="91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91"/>
      <c r="E962" s="17"/>
      <c r="F962" s="17"/>
      <c r="G962" s="91"/>
      <c r="H962" s="17"/>
      <c r="I962" s="17"/>
      <c r="J962" s="91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91"/>
      <c r="E963" s="17"/>
      <c r="F963" s="17"/>
      <c r="G963" s="91"/>
      <c r="H963" s="17"/>
      <c r="I963" s="17"/>
      <c r="J963" s="91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91"/>
      <c r="E964" s="17"/>
      <c r="F964" s="17"/>
      <c r="G964" s="91"/>
      <c r="H964" s="17"/>
      <c r="I964" s="17"/>
      <c r="J964" s="91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91"/>
      <c r="E965" s="17"/>
      <c r="F965" s="17"/>
      <c r="G965" s="91"/>
      <c r="H965" s="17"/>
      <c r="I965" s="17"/>
      <c r="J965" s="91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91"/>
      <c r="E966" s="17"/>
      <c r="F966" s="17"/>
      <c r="G966" s="91"/>
      <c r="H966" s="17"/>
      <c r="I966" s="17"/>
      <c r="J966" s="91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91"/>
      <c r="E967" s="17"/>
      <c r="F967" s="17"/>
      <c r="G967" s="91"/>
      <c r="H967" s="17"/>
      <c r="I967" s="17"/>
      <c r="J967" s="91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91"/>
      <c r="E968" s="17"/>
      <c r="F968" s="17"/>
      <c r="G968" s="91"/>
      <c r="H968" s="17"/>
      <c r="I968" s="17"/>
      <c r="J968" s="91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91"/>
      <c r="E969" s="17"/>
      <c r="F969" s="17"/>
      <c r="G969" s="91"/>
      <c r="H969" s="17"/>
      <c r="I969" s="17"/>
      <c r="J969" s="91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91"/>
      <c r="E970" s="17"/>
      <c r="F970" s="17"/>
      <c r="G970" s="91"/>
      <c r="H970" s="17"/>
      <c r="I970" s="17"/>
      <c r="J970" s="91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91"/>
      <c r="E971" s="17"/>
      <c r="F971" s="17"/>
      <c r="G971" s="91"/>
      <c r="H971" s="17"/>
      <c r="I971" s="17"/>
      <c r="J971" s="91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91"/>
      <c r="E972" s="17"/>
      <c r="F972" s="17"/>
      <c r="G972" s="91"/>
      <c r="H972" s="17"/>
      <c r="I972" s="17"/>
      <c r="J972" s="91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91"/>
      <c r="E973" s="17"/>
      <c r="F973" s="17"/>
      <c r="G973" s="91"/>
      <c r="H973" s="17"/>
      <c r="I973" s="17"/>
      <c r="J973" s="91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91"/>
      <c r="E974" s="17"/>
      <c r="F974" s="17"/>
      <c r="G974" s="91"/>
      <c r="H974" s="17"/>
      <c r="I974" s="17"/>
      <c r="J974" s="91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91"/>
      <c r="E975" s="17"/>
      <c r="F975" s="17"/>
      <c r="G975" s="91"/>
      <c r="H975" s="17"/>
      <c r="I975" s="17"/>
      <c r="J975" s="91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91"/>
      <c r="E976" s="17"/>
      <c r="F976" s="17"/>
      <c r="G976" s="91"/>
      <c r="H976" s="17"/>
      <c r="I976" s="17"/>
      <c r="J976" s="91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91"/>
      <c r="E977" s="17"/>
      <c r="F977" s="17"/>
      <c r="G977" s="91"/>
      <c r="H977" s="17"/>
      <c r="I977" s="17"/>
      <c r="J977" s="91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91"/>
      <c r="E978" s="17"/>
      <c r="F978" s="17"/>
      <c r="G978" s="91"/>
      <c r="H978" s="17"/>
      <c r="I978" s="17"/>
      <c r="J978" s="91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91"/>
      <c r="E979" s="17"/>
      <c r="F979" s="17"/>
      <c r="G979" s="91"/>
      <c r="H979" s="17"/>
      <c r="I979" s="17"/>
      <c r="J979" s="91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91"/>
      <c r="E980" s="17"/>
      <c r="F980" s="17"/>
      <c r="G980" s="91"/>
      <c r="H980" s="17"/>
      <c r="I980" s="17"/>
      <c r="J980" s="91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91"/>
      <c r="E981" s="17"/>
      <c r="F981" s="17"/>
      <c r="G981" s="91"/>
      <c r="H981" s="17"/>
      <c r="I981" s="17"/>
      <c r="J981" s="91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91"/>
      <c r="E982" s="17"/>
      <c r="F982" s="17"/>
      <c r="G982" s="91"/>
      <c r="H982" s="17"/>
      <c r="I982" s="17"/>
      <c r="J982" s="91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91"/>
      <c r="E983" s="17"/>
      <c r="F983" s="17"/>
      <c r="G983" s="91"/>
      <c r="H983" s="17"/>
      <c r="I983" s="17"/>
      <c r="J983" s="91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91"/>
      <c r="E984" s="17"/>
      <c r="F984" s="17"/>
      <c r="G984" s="91"/>
      <c r="H984" s="17"/>
      <c r="I984" s="17"/>
      <c r="J984" s="91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91"/>
      <c r="E985" s="17"/>
      <c r="F985" s="17"/>
      <c r="G985" s="91"/>
      <c r="H985" s="17"/>
      <c r="I985" s="17"/>
      <c r="J985" s="91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91"/>
      <c r="E986" s="17"/>
      <c r="F986" s="17"/>
      <c r="G986" s="91"/>
      <c r="H986" s="17"/>
      <c r="I986" s="17"/>
      <c r="J986" s="91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91"/>
      <c r="E987" s="17"/>
      <c r="F987" s="17"/>
      <c r="G987" s="91"/>
      <c r="H987" s="17"/>
      <c r="I987" s="17"/>
      <c r="J987" s="91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91"/>
      <c r="E988" s="17"/>
      <c r="F988" s="17"/>
      <c r="G988" s="91"/>
      <c r="H988" s="17"/>
      <c r="I988" s="17"/>
      <c r="J988" s="91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91"/>
      <c r="E989" s="17"/>
      <c r="F989" s="17"/>
      <c r="G989" s="91"/>
      <c r="H989" s="17"/>
      <c r="I989" s="17"/>
      <c r="J989" s="91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91"/>
      <c r="E990" s="17"/>
      <c r="F990" s="17"/>
      <c r="G990" s="91"/>
      <c r="H990" s="17"/>
      <c r="I990" s="17"/>
      <c r="J990" s="91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91"/>
      <c r="E991" s="17"/>
      <c r="F991" s="17"/>
      <c r="G991" s="91"/>
      <c r="H991" s="17"/>
      <c r="I991" s="17"/>
      <c r="J991" s="91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91"/>
      <c r="E992" s="17"/>
      <c r="F992" s="17"/>
      <c r="G992" s="91"/>
      <c r="H992" s="17"/>
      <c r="I992" s="17"/>
      <c r="J992" s="91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91"/>
      <c r="E993" s="17"/>
      <c r="F993" s="17"/>
      <c r="G993" s="91"/>
      <c r="H993" s="17"/>
      <c r="I993" s="17"/>
      <c r="J993" s="91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91"/>
      <c r="E994" s="17"/>
      <c r="F994" s="17"/>
      <c r="G994" s="91"/>
      <c r="H994" s="17"/>
      <c r="I994" s="17"/>
      <c r="J994" s="91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91"/>
      <c r="E995" s="17"/>
      <c r="F995" s="17"/>
      <c r="G995" s="91"/>
      <c r="H995" s="17"/>
      <c r="I995" s="17"/>
      <c r="J995" s="91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91"/>
      <c r="E996" s="17"/>
      <c r="F996" s="17"/>
      <c r="G996" s="91"/>
      <c r="H996" s="17"/>
      <c r="I996" s="17"/>
      <c r="J996" s="91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91"/>
      <c r="E997" s="17"/>
      <c r="F997" s="17"/>
      <c r="G997" s="91"/>
      <c r="H997" s="17"/>
      <c r="I997" s="17"/>
      <c r="J997" s="91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91"/>
      <c r="E998" s="17"/>
      <c r="F998" s="17"/>
      <c r="G998" s="91"/>
      <c r="H998" s="17"/>
      <c r="I998" s="17"/>
      <c r="J998" s="91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91"/>
      <c r="E999" s="17"/>
      <c r="F999" s="17"/>
      <c r="G999" s="91"/>
      <c r="H999" s="17"/>
      <c r="I999" s="17"/>
      <c r="J999" s="91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91"/>
      <c r="E1000" s="17"/>
      <c r="F1000" s="17"/>
      <c r="G1000" s="91"/>
      <c r="H1000" s="17"/>
      <c r="I1000" s="17"/>
      <c r="J1000" s="91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2">
    <mergeCell ref="F1:G1"/>
    <mergeCell ref="I1:J1"/>
  </mergeCells>
  <conditionalFormatting sqref="I2:J1000">
    <cfRule type="expression" dxfId="13" priority="1">
      <formula>NOT(ISBLANK(I2:I13))</formula>
    </cfRule>
  </conditionalFormatting>
  <drawing r:id="rId1"/>
</worksheet>
</file>